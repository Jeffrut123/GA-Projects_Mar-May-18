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G:\Inv_rsch\CORE\BR\Data Science\"/>
    </mc:Choice>
  </mc:AlternateContent>
  <bookViews>
    <workbookView xWindow="0" yWindow="0" windowWidth="28800" windowHeight="12375" firstSheet="1" activeTab="1"/>
  </bookViews>
  <sheets>
    <sheet name="__FDSCACHE__" sheetId="4" state="veryHidden" r:id="rId1"/>
    <sheet name="20151231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24" i="3" l="1"/>
  <c r="L674" i="3"/>
  <c r="L341" i="3"/>
  <c r="L939" i="3"/>
  <c r="L671" i="3"/>
  <c r="L675" i="3"/>
  <c r="L795" i="3"/>
  <c r="L731" i="3"/>
  <c r="L762" i="3"/>
  <c r="L603" i="3"/>
  <c r="L445" i="3"/>
  <c r="L82" i="3"/>
  <c r="L81" i="3"/>
  <c r="L528" i="3"/>
  <c r="L444" i="3"/>
  <c r="L89" i="3"/>
  <c r="L607" i="3"/>
  <c r="L415" i="3"/>
  <c r="L439" i="3"/>
  <c r="L6" i="3"/>
  <c r="L261" i="3"/>
  <c r="L560" i="3"/>
  <c r="L531" i="3"/>
  <c r="L408" i="3"/>
  <c r="L219" i="3"/>
  <c r="L938" i="3"/>
  <c r="L411" i="3"/>
  <c r="L412" i="3"/>
  <c r="L151" i="3"/>
  <c r="L416" i="3"/>
  <c r="L729" i="3"/>
  <c r="L514" i="3"/>
  <c r="L559" i="3"/>
  <c r="L287" i="3"/>
  <c r="L629" i="3"/>
  <c r="L669" i="3"/>
  <c r="L161" i="3"/>
  <c r="L513" i="3"/>
  <c r="L481" i="3"/>
  <c r="L200" i="3"/>
  <c r="L767" i="3"/>
  <c r="L73" i="3"/>
  <c r="L845" i="3"/>
  <c r="L730" i="3"/>
  <c r="L80" i="3"/>
  <c r="L299" i="3"/>
  <c r="L673" i="3"/>
  <c r="L973" i="3"/>
  <c r="L937" i="3"/>
  <c r="L848" i="3"/>
  <c r="L846" i="3"/>
  <c r="L850" i="3"/>
  <c r="L32" i="3"/>
  <c r="L601" i="3"/>
  <c r="L958" i="3"/>
  <c r="L732" i="3"/>
  <c r="L278" i="3"/>
  <c r="L188" i="3"/>
  <c r="L764" i="3"/>
  <c r="L763" i="3"/>
  <c r="L679" i="3"/>
  <c r="L201" i="3"/>
  <c r="L849" i="3"/>
  <c r="L561" i="3"/>
  <c r="L396" i="3"/>
  <c r="L834" i="3"/>
  <c r="L279" i="3"/>
  <c r="L202" i="3"/>
  <c r="L35" i="3"/>
  <c r="L38" i="3"/>
  <c r="L346" i="3"/>
  <c r="L684" i="3"/>
  <c r="L345" i="3"/>
  <c r="L680" i="3"/>
  <c r="L347" i="3"/>
  <c r="L267" i="3"/>
  <c r="L3" i="3"/>
  <c r="L203" i="3"/>
  <c r="L899" i="3"/>
  <c r="L443" i="3"/>
  <c r="L223" i="3"/>
  <c r="L681" i="3"/>
  <c r="L645" i="3"/>
  <c r="L564" i="3"/>
  <c r="L199" i="3"/>
  <c r="L957" i="3"/>
  <c r="L254" i="3"/>
  <c r="L212" i="3"/>
  <c r="L179" i="3"/>
  <c r="L168" i="3"/>
  <c r="L2" i="3"/>
  <c r="L36" i="3"/>
  <c r="L129" i="3"/>
  <c r="L19" i="3"/>
  <c r="L349" i="3"/>
  <c r="L635" i="3"/>
  <c r="L920" i="3"/>
  <c r="L284" i="3"/>
  <c r="L165" i="3"/>
  <c r="L581" i="3"/>
  <c r="L566" i="3"/>
  <c r="L215" i="3"/>
  <c r="L665" i="3"/>
  <c r="L604" i="3"/>
  <c r="L410" i="3"/>
  <c r="L915" i="3"/>
  <c r="L979" i="3"/>
  <c r="L924" i="3"/>
  <c r="L825" i="3"/>
  <c r="L167" i="3"/>
  <c r="L847" i="3"/>
  <c r="L300" i="3"/>
  <c r="L145" i="3"/>
  <c r="L144" i="3"/>
  <c r="L260" i="3"/>
  <c r="L921" i="3"/>
  <c r="L482" i="3"/>
  <c r="L521" i="3"/>
  <c r="L85" i="3"/>
  <c r="L304" i="3"/>
  <c r="L86" i="3"/>
  <c r="L612" i="3"/>
  <c r="L98" i="3"/>
  <c r="L548" i="3"/>
  <c r="L325" i="3"/>
  <c r="L350" i="3"/>
  <c r="L405" i="3"/>
  <c r="L838" i="3"/>
  <c r="L446" i="3"/>
  <c r="L773" i="3"/>
  <c r="L568" i="3"/>
  <c r="L776" i="3"/>
  <c r="L517" i="3"/>
  <c r="L890" i="3"/>
  <c r="L351" i="3"/>
  <c r="L56" i="3"/>
  <c r="L146" i="3"/>
  <c r="L611" i="3"/>
  <c r="L172" i="3"/>
  <c r="L418" i="3"/>
  <c r="L397" i="3"/>
  <c r="L352" i="3"/>
  <c r="L686" i="3"/>
  <c r="L419" i="3"/>
  <c r="L115" i="3"/>
  <c r="L891" i="3"/>
  <c r="L853" i="3"/>
  <c r="L113" i="3"/>
  <c r="L836" i="3"/>
  <c r="L262" i="3"/>
  <c r="L399" i="3"/>
  <c r="L420" i="3"/>
  <c r="L314" i="3"/>
  <c r="L114" i="3"/>
  <c r="L398" i="3"/>
  <c r="L183" i="3"/>
  <c r="L44" i="3"/>
  <c r="L967" i="3"/>
  <c r="L39" i="3"/>
  <c r="L837" i="3"/>
  <c r="L523" i="3"/>
  <c r="L770" i="3"/>
  <c r="L780" i="3"/>
  <c r="L302" i="3"/>
  <c r="L951" i="3"/>
  <c r="L158" i="3"/>
  <c r="L682" i="3"/>
  <c r="L944" i="3"/>
  <c r="L280" i="3"/>
  <c r="L354" i="3"/>
  <c r="L860" i="3"/>
  <c r="L449" i="3"/>
  <c r="L734" i="3"/>
  <c r="L94" i="3"/>
  <c r="L208" i="3"/>
  <c r="L733" i="3"/>
  <c r="L943" i="3"/>
  <c r="L282" i="3"/>
  <c r="L42" i="3"/>
  <c r="L448" i="3"/>
  <c r="L735" i="3"/>
  <c r="L232" i="3"/>
  <c r="L8" i="3"/>
  <c r="L136" i="3"/>
  <c r="L389" i="3"/>
  <c r="L406" i="3"/>
  <c r="L244" i="3"/>
  <c r="L116" i="3"/>
  <c r="L775" i="3"/>
  <c r="L720" i="3"/>
  <c r="L283" i="3"/>
  <c r="L451" i="3"/>
  <c r="L246" i="3"/>
  <c r="L132" i="3"/>
  <c r="L901" i="3"/>
  <c r="L163" i="3"/>
  <c r="L854" i="3"/>
  <c r="L687" i="3"/>
  <c r="L485" i="3"/>
  <c r="L690" i="3"/>
  <c r="L450" i="3"/>
  <c r="L131" i="3"/>
  <c r="L452" i="3"/>
  <c r="L90" i="3"/>
  <c r="L499" i="3"/>
  <c r="L947" i="3"/>
  <c r="L779" i="3"/>
  <c r="L616" i="3"/>
  <c r="L777" i="3"/>
  <c r="L453" i="3"/>
  <c r="L171" i="3"/>
  <c r="L782" i="3"/>
  <c r="L857" i="3"/>
  <c r="L33" i="3"/>
  <c r="L45" i="3"/>
  <c r="L92" i="3"/>
  <c r="L230" i="3"/>
  <c r="L231" i="3"/>
  <c r="L772" i="3"/>
  <c r="L484" i="3"/>
  <c r="L91" i="3"/>
  <c r="L585" i="3"/>
  <c r="L781" i="3"/>
  <c r="L774" i="3"/>
  <c r="L421" i="3"/>
  <c r="L271" i="3"/>
  <c r="L940" i="3"/>
  <c r="L620" i="3"/>
  <c r="L955" i="3"/>
  <c r="L529" i="3"/>
  <c r="L119" i="3"/>
  <c r="L619" i="3"/>
  <c r="L530" i="3"/>
  <c r="L400" i="3"/>
  <c r="L923" i="3"/>
  <c r="L552" i="3"/>
  <c r="L93" i="3"/>
  <c r="L964" i="3"/>
  <c r="L785" i="3"/>
  <c r="L413" i="3"/>
  <c r="L911" i="3"/>
  <c r="L52" i="3"/>
  <c r="L623" i="3"/>
  <c r="L50" i="3"/>
  <c r="L49" i="3"/>
  <c r="L58" i="3"/>
  <c r="L48" i="3"/>
  <c r="L788" i="3"/>
  <c r="L859" i="3"/>
  <c r="L709" i="3"/>
  <c r="L220" i="3"/>
  <c r="L120" i="3"/>
  <c r="L263" i="3"/>
  <c r="L121" i="3"/>
  <c r="L47" i="3"/>
  <c r="L54" i="3"/>
  <c r="L414" i="3"/>
  <c r="L697" i="3"/>
  <c r="L912" i="3"/>
  <c r="L5" i="3"/>
  <c r="L21" i="3"/>
  <c r="L308" i="3"/>
  <c r="L696" i="3"/>
  <c r="L570" i="3"/>
  <c r="L269" i="3"/>
  <c r="L797" i="3"/>
  <c r="L595" i="3"/>
  <c r="L22" i="3"/>
  <c r="L372" i="3"/>
  <c r="L748" i="3"/>
  <c r="L454" i="3"/>
  <c r="L407" i="3"/>
  <c r="L913" i="3"/>
  <c r="L693" i="3"/>
  <c r="L205" i="3"/>
  <c r="L532" i="3"/>
  <c r="L805" i="3"/>
  <c r="L286" i="3"/>
  <c r="L234" i="3"/>
  <c r="L438" i="3"/>
  <c r="L29" i="3"/>
  <c r="L149" i="3"/>
  <c r="L862" i="3"/>
  <c r="L455" i="3"/>
  <c r="L371" i="3"/>
  <c r="L520" i="3"/>
  <c r="L150" i="3"/>
  <c r="L960" i="3"/>
  <c r="L365" i="3"/>
  <c r="L917" i="3"/>
  <c r="L625" i="3"/>
  <c r="L634" i="3"/>
  <c r="L526" i="3"/>
  <c r="L362" i="3"/>
  <c r="L288" i="3"/>
  <c r="L51" i="3"/>
  <c r="L851" i="3"/>
  <c r="L311" i="3"/>
  <c r="L364" i="3"/>
  <c r="L858" i="3"/>
  <c r="L204" i="3"/>
  <c r="L323" i="3"/>
  <c r="L893" i="3"/>
  <c r="L589" i="3"/>
  <c r="L868" i="3"/>
  <c r="L363" i="3"/>
  <c r="L442" i="3"/>
  <c r="L699" i="3"/>
  <c r="L565" i="3"/>
  <c r="L310" i="3"/>
  <c r="L626" i="3"/>
  <c r="L266" i="3"/>
  <c r="L945" i="3"/>
  <c r="L76" i="3"/>
  <c r="L736" i="3"/>
  <c r="L366" i="3"/>
  <c r="L926" i="3"/>
  <c r="L55" i="3"/>
  <c r="L813" i="3"/>
  <c r="L174" i="3"/>
  <c r="L617" i="3"/>
  <c r="L563" i="3"/>
  <c r="L456" i="3"/>
  <c r="L458" i="3"/>
  <c r="L796" i="3"/>
  <c r="L368" i="3"/>
  <c r="L739" i="3"/>
  <c r="L740" i="3"/>
  <c r="L96" i="3"/>
  <c r="L553" i="3"/>
  <c r="L863" i="3"/>
  <c r="L489" i="3"/>
  <c r="L142" i="3"/>
  <c r="L867" i="3"/>
  <c r="L866" i="3"/>
  <c r="L573" i="3"/>
  <c r="L237" i="3"/>
  <c r="L555" i="3"/>
  <c r="L140" i="3"/>
  <c r="L577" i="3"/>
  <c r="L424" i="3"/>
  <c r="L23" i="3"/>
  <c r="L181" i="3"/>
  <c r="L742" i="3"/>
  <c r="L527" i="3"/>
  <c r="L959" i="3"/>
  <c r="L986" i="3"/>
  <c r="L390" i="3"/>
  <c r="L315" i="3"/>
  <c r="L46" i="3"/>
  <c r="L460" i="3"/>
  <c r="L864" i="3"/>
  <c r="L57" i="3"/>
  <c r="L631" i="3"/>
  <c r="L402" i="3"/>
  <c r="L927" i="3"/>
  <c r="L222" i="3"/>
  <c r="L703" i="3"/>
  <c r="L331" i="3"/>
  <c r="L646" i="3"/>
  <c r="L744" i="3"/>
  <c r="L929" i="3"/>
  <c r="L207" i="3"/>
  <c r="L766" i="3"/>
  <c r="L241" i="3"/>
  <c r="L152" i="3"/>
  <c r="L872" i="3"/>
  <c r="L391" i="3"/>
  <c r="L25" i="3"/>
  <c r="L243" i="3"/>
  <c r="L632" i="3"/>
  <c r="L578" i="3"/>
  <c r="L426" i="3"/>
  <c r="L743" i="3"/>
  <c r="L461" i="3"/>
  <c r="L936" i="3"/>
  <c r="L605" i="3"/>
  <c r="L562" i="3"/>
  <c r="L9" i="3"/>
  <c r="L427" i="3"/>
  <c r="L166" i="3"/>
  <c r="L543" i="3"/>
  <c r="L835" i="3"/>
  <c r="L707" i="3"/>
  <c r="L949" i="3"/>
  <c r="L633" i="3"/>
  <c r="L977" i="3"/>
  <c r="L428" i="3"/>
  <c r="L963" i="3"/>
  <c r="L185" i="3"/>
  <c r="L318" i="3"/>
  <c r="L289" i="3"/>
  <c r="L184" i="3"/>
  <c r="L255" i="3"/>
  <c r="L741" i="3"/>
  <c r="L392" i="3"/>
  <c r="L462" i="3"/>
  <c r="L126" i="3"/>
  <c r="L431" i="3"/>
  <c r="L360" i="3"/>
  <c r="L627" i="3"/>
  <c r="L914" i="3"/>
  <c r="L432" i="3"/>
  <c r="L753" i="3"/>
  <c r="L77" i="3"/>
  <c r="L147" i="3"/>
  <c r="L153" i="3"/>
  <c r="L984" i="3"/>
  <c r="L430" i="3"/>
  <c r="L747" i="3"/>
  <c r="L768" i="3"/>
  <c r="L330" i="3"/>
  <c r="L429" i="3"/>
  <c r="L495" i="3"/>
  <c r="L749" i="3"/>
  <c r="L370" i="3"/>
  <c r="L801" i="3"/>
  <c r="L746" i="3"/>
  <c r="L812" i="3"/>
  <c r="L745" i="3"/>
  <c r="L127" i="3"/>
  <c r="L409" i="3"/>
  <c r="L154" i="3"/>
  <c r="L355" i="3"/>
  <c r="L569" i="3"/>
  <c r="L239" i="3"/>
  <c r="L928" i="3"/>
  <c r="L536" i="3"/>
  <c r="L572" i="3"/>
  <c r="L582" i="3"/>
  <c r="L988" i="3"/>
  <c r="L27" i="3"/>
  <c r="L567" i="3"/>
  <c r="L403" i="3"/>
  <c r="L463" i="3"/>
  <c r="L290" i="3"/>
  <c r="L965" i="3"/>
  <c r="L876" i="3"/>
  <c r="L498" i="3"/>
  <c r="L875" i="3"/>
  <c r="L718" i="3"/>
  <c r="L538" i="3"/>
  <c r="L155" i="3"/>
  <c r="L118" i="3"/>
  <c r="L596" i="3"/>
  <c r="L393" i="3"/>
  <c r="L904" i="3"/>
  <c r="L537" i="3"/>
  <c r="L701" i="3"/>
  <c r="L464" i="3"/>
  <c r="L932" i="3"/>
  <c r="L874" i="3"/>
  <c r="L966" i="3"/>
  <c r="L907" i="3"/>
  <c r="L249" i="3"/>
  <c r="L10" i="3"/>
  <c r="L71" i="3"/>
  <c r="L839" i="3"/>
  <c r="L99" i="3"/>
  <c r="L663" i="3"/>
  <c r="L228" i="3"/>
  <c r="L540" i="3"/>
  <c r="L291" i="3"/>
  <c r="L711" i="3"/>
  <c r="L968" i="3"/>
  <c r="L433" i="3"/>
  <c r="L807" i="3"/>
  <c r="L206" i="3"/>
  <c r="L465" i="3"/>
  <c r="L466" i="3"/>
  <c r="L956" i="3"/>
  <c r="L467" i="3"/>
  <c r="L293" i="3"/>
  <c r="L375" i="3"/>
  <c r="L809" i="3"/>
  <c r="L374" i="3"/>
  <c r="L700" i="3"/>
  <c r="L976" i="3"/>
  <c r="L321" i="3"/>
  <c r="L187" i="3"/>
  <c r="L584" i="3"/>
  <c r="L987" i="3"/>
  <c r="L522" i="3"/>
  <c r="L971" i="3"/>
  <c r="L128" i="3"/>
  <c r="L541" i="3"/>
  <c r="L112" i="3"/>
  <c r="L554" i="3"/>
  <c r="L320" i="3"/>
  <c r="L62" i="3"/>
  <c r="L417" i="3"/>
  <c r="L156" i="3"/>
  <c r="L878" i="3"/>
  <c r="L342" i="3"/>
  <c r="L141" i="3"/>
  <c r="L101" i="3"/>
  <c r="L865" i="3"/>
  <c r="L102" i="3"/>
  <c r="L12" i="3"/>
  <c r="L329" i="3"/>
  <c r="L258" i="3"/>
  <c r="L356" i="3"/>
  <c r="L404" i="3"/>
  <c r="L435" i="3"/>
  <c r="L972" i="3"/>
  <c r="L394" i="3"/>
  <c r="L373" i="3"/>
  <c r="L59" i="3"/>
  <c r="L792" i="3"/>
  <c r="L547" i="3"/>
  <c r="L879" i="3"/>
  <c r="L376" i="3"/>
  <c r="L880" i="3"/>
  <c r="L980" i="3"/>
  <c r="L250" i="3"/>
  <c r="L295" i="3"/>
  <c r="L752" i="3"/>
  <c r="L637" i="3"/>
  <c r="L292" i="3"/>
  <c r="L641" i="3"/>
  <c r="L650" i="3"/>
  <c r="L840" i="3"/>
  <c r="L274" i="3"/>
  <c r="L586" i="3"/>
  <c r="L437" i="3"/>
  <c r="L676" i="3"/>
  <c r="L378" i="3"/>
  <c r="L68" i="3"/>
  <c r="L332" i="3"/>
  <c r="L307" i="3"/>
  <c r="L716" i="3"/>
  <c r="L130" i="3"/>
  <c r="L276" i="3"/>
  <c r="L275" i="3"/>
  <c r="L189" i="3"/>
  <c r="L598" i="3"/>
  <c r="L636" i="3"/>
  <c r="L103" i="3"/>
  <c r="L13" i="3"/>
  <c r="L117" i="3"/>
  <c r="L933" i="3"/>
  <c r="L765" i="3"/>
  <c r="L285" i="3"/>
  <c r="L545" i="3"/>
  <c r="L883" i="3"/>
  <c r="L4" i="3"/>
  <c r="L379" i="3"/>
  <c r="L630" i="3"/>
  <c r="L441" i="3"/>
  <c r="L787" i="3"/>
  <c r="L580" i="3"/>
  <c r="L683" i="3"/>
  <c r="L251" i="3"/>
  <c r="L106" i="3"/>
  <c r="L459" i="3"/>
  <c r="L388" i="3"/>
  <c r="L469" i="3"/>
  <c r="L301" i="3"/>
  <c r="L252" i="3"/>
  <c r="L340" i="3"/>
  <c r="L191" i="3"/>
  <c r="L281" i="3"/>
  <c r="L434" i="3"/>
  <c r="L105" i="3"/>
  <c r="L296" i="3"/>
  <c r="L353" i="3"/>
  <c r="L750" i="3"/>
  <c r="L209" i="3"/>
  <c r="L647" i="3"/>
  <c r="L196" i="3"/>
  <c r="L386" i="3"/>
  <c r="L268" i="3"/>
  <c r="L468" i="3"/>
  <c r="L436" i="3"/>
  <c r="L841" i="3"/>
  <c r="L210" i="3"/>
  <c r="L672" i="3"/>
  <c r="L164" i="3"/>
  <c r="L343" i="3"/>
  <c r="L265" i="3"/>
  <c r="L844" i="3"/>
  <c r="L546" i="3"/>
  <c r="L953" i="3"/>
  <c r="L978" i="3"/>
  <c r="L34" i="3"/>
  <c r="L930" i="3"/>
  <c r="L897" i="3"/>
  <c r="L524" i="3"/>
  <c r="L719" i="3"/>
  <c r="L256" i="3"/>
  <c r="L190" i="3"/>
  <c r="L253" i="3"/>
  <c r="L842" i="3"/>
  <c r="L952" i="3"/>
  <c r="L640" i="3"/>
  <c r="L193" i="3"/>
  <c r="L380" i="3"/>
  <c r="L710" i="3"/>
  <c r="L133" i="3"/>
  <c r="L65" i="3"/>
  <c r="L818" i="3"/>
  <c r="L503" i="3"/>
  <c r="L334" i="3"/>
  <c r="L500" i="3"/>
  <c r="L815" i="3"/>
  <c r="L335" i="3"/>
  <c r="L66" i="3"/>
  <c r="L369" i="3"/>
  <c r="L159" i="3"/>
  <c r="L677" i="3"/>
  <c r="L648" i="3"/>
  <c r="L644" i="3"/>
  <c r="L884" i="3"/>
  <c r="L981" i="3"/>
  <c r="L381" i="3"/>
  <c r="L757" i="3"/>
  <c r="L471" i="3"/>
  <c r="L660" i="3"/>
  <c r="L758" i="3"/>
  <c r="L17" i="3"/>
  <c r="L588" i="3"/>
  <c r="L507" i="3"/>
  <c r="L855" i="3"/>
  <c r="L30" i="3"/>
  <c r="L297" i="3"/>
  <c r="L802" i="3"/>
  <c r="L721" i="3"/>
  <c r="L472" i="3"/>
  <c r="L16" i="3"/>
  <c r="L336" i="3"/>
  <c r="L395" i="3"/>
  <c r="L440" i="3"/>
  <c r="L474" i="3"/>
  <c r="L821" i="3"/>
  <c r="L357" i="3"/>
  <c r="L724" i="3"/>
  <c r="L885" i="3"/>
  <c r="L473" i="3"/>
  <c r="L327" i="3"/>
  <c r="L983" i="3"/>
  <c r="L79" i="3"/>
  <c r="L535" i="3"/>
  <c r="L935" i="3"/>
  <c r="L18" i="3"/>
  <c r="L384" i="3"/>
  <c r="L898" i="3"/>
  <c r="L192" i="3"/>
  <c r="L383" i="3"/>
  <c r="L298" i="3"/>
  <c r="L109" i="3"/>
  <c r="L108" i="3"/>
  <c r="L475" i="3"/>
  <c r="L385" i="3"/>
  <c r="L655" i="3"/>
  <c r="L909" i="3"/>
  <c r="L887" i="3"/>
  <c r="L590" i="3"/>
  <c r="L148" i="3"/>
  <c r="L823" i="3"/>
  <c r="L726" i="3"/>
  <c r="L654" i="3"/>
  <c r="L69" i="3"/>
  <c r="L339" i="3"/>
  <c r="L137" i="3"/>
  <c r="L591" i="3"/>
  <c r="L759" i="3"/>
  <c r="L70" i="3"/>
  <c r="L713" i="3"/>
  <c r="L659" i="3"/>
  <c r="L324" i="3"/>
  <c r="L843" i="3"/>
  <c r="L888" i="3"/>
  <c r="L476" i="3"/>
  <c r="L556" i="3"/>
  <c r="L160" i="3"/>
  <c r="L756" i="3"/>
  <c r="L197" i="3"/>
  <c r="L338" i="3"/>
  <c r="L248" i="3"/>
  <c r="L490" i="3"/>
  <c r="L227" i="3"/>
  <c r="L670" i="3"/>
  <c r="L727" i="3"/>
  <c r="L689" i="3"/>
  <c r="L706" i="3"/>
  <c r="L974" i="3"/>
  <c r="L962" i="3"/>
  <c r="L692" i="3"/>
  <c r="L217" i="3"/>
  <c r="L702" i="3"/>
  <c r="L831" i="3"/>
  <c r="L760" i="3"/>
  <c r="L761" i="3"/>
  <c r="L551" i="3"/>
  <c r="L722" i="3"/>
  <c r="L889" i="3"/>
  <c r="L72" i="3"/>
  <c r="L492" i="3"/>
  <c r="L714" i="3"/>
  <c r="L558" i="3"/>
  <c r="L233" i="3"/>
  <c r="L685" i="3"/>
  <c r="L423" i="3"/>
  <c r="L63" i="3"/>
  <c r="L110" i="3"/>
  <c r="L621" i="3"/>
  <c r="L182" i="3"/>
  <c r="L218" i="3"/>
  <c r="L579" i="3"/>
  <c r="L486" i="3"/>
  <c r="L615" i="3"/>
  <c r="L970" i="3"/>
  <c r="L941" i="3"/>
  <c r="L856" i="3"/>
  <c r="L87" i="3"/>
  <c r="L95" i="3"/>
  <c r="L512" i="3"/>
  <c r="L326" i="3"/>
  <c r="L808" i="3"/>
  <c r="L728" i="3"/>
  <c r="L496" i="3"/>
  <c r="L123" i="3"/>
  <c r="L83" i="3"/>
  <c r="L804" i="3"/>
  <c r="L794" i="3"/>
  <c r="L961" i="3"/>
  <c r="L88" i="3"/>
  <c r="L216" i="3"/>
  <c r="L694" i="3"/>
  <c r="L827" i="3"/>
  <c r="L479" i="3"/>
  <c r="L908" i="3"/>
  <c r="L348" i="3"/>
  <c r="L510" i="3"/>
  <c r="L478" i="3"/>
  <c r="L533" i="3"/>
  <c r="L169" i="3"/>
  <c r="L550" i="3"/>
  <c r="L15" i="3"/>
  <c r="L800" i="3"/>
  <c r="L975" i="3"/>
  <c r="L178" i="3"/>
  <c r="L715" i="3"/>
  <c r="L60" i="3"/>
  <c r="L198" i="3"/>
  <c r="L903" i="3"/>
  <c r="L919" i="3"/>
  <c r="L830" i="3"/>
  <c r="L852" i="3"/>
  <c r="L74" i="3"/>
  <c r="L78" i="3"/>
  <c r="L614" i="3"/>
  <c r="L717" i="3"/>
  <c r="L143" i="3"/>
  <c r="L925" i="3"/>
  <c r="L737" i="3"/>
  <c r="L14" i="3"/>
  <c r="L668" i="3"/>
  <c r="L139" i="3"/>
  <c r="L769" i="3"/>
  <c r="L138" i="3"/>
  <c r="L61" i="3"/>
  <c r="L67" i="3"/>
  <c r="L922" i="3"/>
  <c r="L235" i="3"/>
  <c r="L814" i="3"/>
  <c r="L519" i="3"/>
  <c r="L229" i="3"/>
  <c r="L225" i="3"/>
  <c r="L525" i="3"/>
  <c r="L221" i="3"/>
  <c r="L824" i="3"/>
  <c r="L819" i="3"/>
  <c r="L544" i="3"/>
  <c r="L725" i="3"/>
  <c r="L238" i="3"/>
  <c r="L245" i="3"/>
  <c r="L20" i="3"/>
  <c r="L806" i="3"/>
  <c r="L882" i="3"/>
  <c r="L946" i="3"/>
  <c r="L322" i="3"/>
  <c r="L826" i="3"/>
  <c r="L176" i="3"/>
  <c r="L97" i="3"/>
  <c r="L306" i="3"/>
  <c r="L942" i="3"/>
  <c r="L628" i="3"/>
  <c r="L600" i="3"/>
  <c r="L820" i="3"/>
  <c r="L447" i="3"/>
  <c r="L502" i="3"/>
  <c r="L483" i="3"/>
  <c r="L664" i="3"/>
  <c r="L40" i="3"/>
  <c r="L170" i="3"/>
  <c r="L638" i="3"/>
  <c r="L75" i="3"/>
  <c r="L100" i="3"/>
  <c r="L662" i="3"/>
  <c r="L195" i="3"/>
  <c r="L477" i="3"/>
  <c r="L470" i="3"/>
  <c r="L377" i="3"/>
  <c r="L905" i="3"/>
  <c r="L695" i="3"/>
  <c r="L799" i="3"/>
  <c r="L594" i="3"/>
  <c r="L549" i="3"/>
  <c r="L816" i="3"/>
  <c r="L303" i="3"/>
  <c r="L240" i="3"/>
  <c r="L639" i="3"/>
  <c r="L264" i="3"/>
  <c r="L194" i="3"/>
  <c r="L361" i="3"/>
  <c r="L817" i="3"/>
  <c r="L26" i="3"/>
  <c r="L135" i="3"/>
  <c r="L934" i="3"/>
  <c r="L789" i="3"/>
  <c r="L906" i="3"/>
  <c r="L317" i="3"/>
  <c r="L173" i="3"/>
  <c r="L53" i="3"/>
  <c r="L518" i="3"/>
  <c r="L480" i="3"/>
  <c r="L125" i="3"/>
  <c r="L43" i="3"/>
  <c r="L593" i="3"/>
  <c r="L425" i="3"/>
  <c r="L649" i="3"/>
  <c r="L624" i="3"/>
  <c r="L24" i="3"/>
  <c r="L226" i="3"/>
  <c r="L754" i="3"/>
  <c r="L688" i="3"/>
  <c r="L790" i="3"/>
  <c r="L180" i="3"/>
  <c r="L599" i="3"/>
  <c r="L873" i="3"/>
  <c r="L643" i="3"/>
  <c r="L892" i="3"/>
  <c r="L642" i="3"/>
  <c r="L661" i="3"/>
  <c r="L542" i="3"/>
  <c r="L31" i="3"/>
  <c r="L508" i="3"/>
  <c r="L509" i="3"/>
  <c r="L539" i="3"/>
  <c r="L678" i="3"/>
  <c r="L712" i="3"/>
  <c r="L28" i="3"/>
  <c r="L613" i="3"/>
  <c r="L738" i="3"/>
  <c r="L950" i="3"/>
  <c r="L608" i="3"/>
  <c r="L829" i="3"/>
  <c r="L457" i="3"/>
  <c r="L895" i="3"/>
  <c r="L723" i="3"/>
  <c r="L213" i="3"/>
  <c r="L691" i="3"/>
  <c r="L242" i="3"/>
  <c r="L698" i="3"/>
  <c r="L667" i="3"/>
  <c r="L833" i="3"/>
  <c r="L534" i="3"/>
  <c r="L583" i="3"/>
  <c r="L602" i="3"/>
  <c r="L312" i="3"/>
  <c r="L494" i="3"/>
  <c r="L571" i="3"/>
  <c r="L358" i="3"/>
  <c r="L784" i="3"/>
  <c r="L948" i="3"/>
  <c r="L576" i="3"/>
  <c r="L111" i="3"/>
  <c r="L803" i="3"/>
  <c r="L657" i="3"/>
  <c r="L328" i="3"/>
  <c r="L294" i="3"/>
  <c r="L37" i="3"/>
  <c r="L134" i="3"/>
  <c r="L877" i="3"/>
  <c r="L107" i="3"/>
  <c r="L316" i="3"/>
  <c r="L778" i="3"/>
  <c r="L382" i="3"/>
  <c r="L504" i="3"/>
  <c r="L708" i="3"/>
  <c r="L931" i="3"/>
  <c r="L828" i="3"/>
  <c r="L881" i="3"/>
  <c r="L557" i="3"/>
  <c r="L896" i="3"/>
  <c r="L810" i="3"/>
  <c r="L592" i="3"/>
  <c r="L186" i="3"/>
  <c r="L793" i="3"/>
  <c r="L704" i="3"/>
  <c r="L755" i="3"/>
  <c r="L902" i="3"/>
  <c r="L497" i="3"/>
  <c r="L487" i="3"/>
  <c r="L894" i="3"/>
  <c r="L333" i="3"/>
  <c r="L359" i="3"/>
  <c r="L918" i="3"/>
  <c r="L786" i="3"/>
  <c r="L305" i="3"/>
  <c r="L622" i="3"/>
  <c r="L272" i="3"/>
  <c r="L575" i="3"/>
  <c r="L798" i="3"/>
  <c r="L871" i="3"/>
  <c r="L515" i="3"/>
  <c r="L822" i="3"/>
  <c r="L236" i="3"/>
  <c r="L606" i="3"/>
  <c r="L501" i="3"/>
  <c r="L175" i="3"/>
  <c r="L177" i="3"/>
  <c r="L162" i="3"/>
  <c r="L969" i="3"/>
  <c r="L870" i="3"/>
  <c r="L309" i="3"/>
  <c r="L259" i="3"/>
  <c r="L705" i="3"/>
  <c r="L247" i="3"/>
  <c r="L214" i="3"/>
  <c r="L910" i="3"/>
  <c r="L64" i="3"/>
  <c r="L506" i="3"/>
  <c r="L104" i="3"/>
  <c r="L597" i="3"/>
  <c r="L916" i="3"/>
  <c r="L422" i="3"/>
  <c r="L157" i="3"/>
  <c r="L122" i="3"/>
  <c r="L257" i="3"/>
  <c r="L618" i="3"/>
  <c r="L666" i="3"/>
  <c r="L41" i="3"/>
  <c r="L771" i="3"/>
  <c r="L869" i="3"/>
  <c r="L751" i="3"/>
  <c r="L367" i="3"/>
  <c r="L574" i="3"/>
  <c r="L493" i="3"/>
  <c r="L84" i="3"/>
  <c r="L587" i="3"/>
  <c r="L344" i="3"/>
  <c r="L491" i="3"/>
  <c r="L7" i="3"/>
  <c r="L609" i="3"/>
  <c r="L337" i="3"/>
  <c r="L651" i="3"/>
  <c r="L658" i="3"/>
  <c r="L124" i="3"/>
  <c r="L11" i="3"/>
  <c r="L783" i="3"/>
  <c r="L954" i="3"/>
  <c r="L832" i="3"/>
  <c r="L652" i="3"/>
  <c r="L610" i="3"/>
  <c r="L900" i="3"/>
  <c r="L401" i="3"/>
  <c r="L982" i="3"/>
  <c r="L387" i="3"/>
  <c r="L211" i="3"/>
  <c r="L277" i="3"/>
  <c r="L313" i="3"/>
  <c r="L273" i="3"/>
  <c r="L653" i="3"/>
  <c r="L791" i="3"/>
  <c r="L656" i="3"/>
  <c r="L811" i="3"/>
  <c r="L861" i="3"/>
  <c r="L511" i="3"/>
  <c r="L886" i="3"/>
  <c r="L985" i="3"/>
  <c r="L319" i="3"/>
  <c r="L505" i="3"/>
  <c r="L488" i="3"/>
  <c r="L270" i="3"/>
  <c r="L516" i="3"/>
  <c r="E224" i="3"/>
  <c r="H224" i="3"/>
  <c r="I224" i="3"/>
  <c r="H674" i="3"/>
  <c r="I674" i="3"/>
  <c r="H341" i="3"/>
  <c r="I341" i="3"/>
  <c r="H939" i="3"/>
  <c r="I939" i="3"/>
  <c r="H671" i="3"/>
  <c r="I671" i="3"/>
  <c r="H675" i="3"/>
  <c r="I675" i="3"/>
  <c r="H795" i="3"/>
  <c r="I795" i="3"/>
  <c r="H731" i="3"/>
  <c r="I731" i="3"/>
  <c r="H762" i="3"/>
  <c r="I762" i="3"/>
  <c r="H603" i="3"/>
  <c r="I603" i="3"/>
  <c r="H445" i="3"/>
  <c r="I445" i="3"/>
  <c r="H82" i="3"/>
  <c r="I82" i="3"/>
  <c r="H81" i="3"/>
  <c r="I81" i="3"/>
  <c r="H528" i="3"/>
  <c r="I528" i="3"/>
  <c r="H444" i="3"/>
  <c r="I444" i="3"/>
  <c r="H89" i="3"/>
  <c r="I89" i="3"/>
  <c r="H607" i="3"/>
  <c r="I607" i="3"/>
  <c r="H415" i="3"/>
  <c r="I415" i="3"/>
  <c r="H439" i="3"/>
  <c r="I439" i="3"/>
  <c r="H6" i="3"/>
  <c r="I6" i="3"/>
  <c r="H261" i="3"/>
  <c r="I261" i="3"/>
  <c r="H560" i="3"/>
  <c r="I560" i="3"/>
  <c r="H531" i="3"/>
  <c r="I531" i="3"/>
  <c r="H408" i="3"/>
  <c r="I408" i="3"/>
  <c r="H219" i="3"/>
  <c r="I219" i="3"/>
  <c r="H938" i="3"/>
  <c r="I938" i="3"/>
  <c r="H411" i="3"/>
  <c r="I411" i="3"/>
  <c r="H412" i="3"/>
  <c r="I412" i="3"/>
  <c r="H151" i="3"/>
  <c r="I151" i="3"/>
  <c r="H416" i="3"/>
  <c r="I416" i="3"/>
  <c r="H729" i="3"/>
  <c r="I729" i="3"/>
  <c r="H514" i="3"/>
  <c r="I514" i="3"/>
  <c r="H559" i="3"/>
  <c r="I559" i="3"/>
  <c r="H287" i="3"/>
  <c r="I287" i="3"/>
  <c r="H629" i="3"/>
  <c r="I629" i="3"/>
  <c r="H669" i="3"/>
  <c r="I669" i="3"/>
  <c r="H161" i="3"/>
  <c r="I161" i="3"/>
  <c r="H513" i="3"/>
  <c r="I513" i="3"/>
  <c r="H481" i="3"/>
  <c r="I481" i="3"/>
  <c r="H200" i="3"/>
  <c r="I200" i="3"/>
  <c r="H767" i="3"/>
  <c r="I767" i="3"/>
  <c r="H73" i="3"/>
  <c r="I73" i="3"/>
  <c r="H845" i="3"/>
  <c r="I845" i="3"/>
  <c r="H730" i="3"/>
  <c r="I730" i="3"/>
  <c r="H80" i="3"/>
  <c r="I80" i="3"/>
  <c r="H299" i="3"/>
  <c r="I299" i="3"/>
  <c r="H673" i="3"/>
  <c r="I673" i="3"/>
  <c r="H973" i="3"/>
  <c r="I973" i="3"/>
  <c r="H937" i="3"/>
  <c r="I937" i="3"/>
  <c r="H848" i="3"/>
  <c r="I848" i="3"/>
  <c r="H846" i="3"/>
  <c r="I846" i="3"/>
  <c r="H850" i="3"/>
  <c r="I850" i="3"/>
  <c r="H32" i="3"/>
  <c r="I32" i="3"/>
  <c r="H601" i="3"/>
  <c r="I601" i="3"/>
  <c r="H958" i="3"/>
  <c r="I958" i="3"/>
  <c r="H732" i="3"/>
  <c r="I732" i="3"/>
  <c r="H278" i="3"/>
  <c r="I278" i="3"/>
  <c r="H188" i="3"/>
  <c r="I188" i="3"/>
  <c r="H764" i="3"/>
  <c r="I764" i="3"/>
  <c r="H763" i="3"/>
  <c r="I763" i="3"/>
  <c r="H679" i="3"/>
  <c r="I679" i="3"/>
  <c r="H201" i="3"/>
  <c r="I201" i="3"/>
  <c r="H849" i="3"/>
  <c r="I849" i="3"/>
  <c r="H561" i="3"/>
  <c r="I561" i="3"/>
  <c r="H396" i="3"/>
  <c r="I396" i="3"/>
  <c r="H834" i="3"/>
  <c r="I834" i="3"/>
  <c r="H279" i="3"/>
  <c r="I279" i="3"/>
  <c r="H202" i="3"/>
  <c r="I202" i="3"/>
  <c r="H35" i="3"/>
  <c r="I35" i="3"/>
  <c r="H38" i="3"/>
  <c r="I38" i="3"/>
  <c r="H346" i="3"/>
  <c r="I346" i="3"/>
  <c r="H684" i="3"/>
  <c r="I684" i="3"/>
  <c r="H345" i="3"/>
  <c r="I345" i="3"/>
  <c r="H680" i="3"/>
  <c r="I680" i="3"/>
  <c r="H347" i="3"/>
  <c r="I347" i="3"/>
  <c r="H267" i="3"/>
  <c r="I267" i="3"/>
  <c r="H3" i="3"/>
  <c r="I3" i="3"/>
  <c r="H203" i="3"/>
  <c r="I203" i="3"/>
  <c r="H899" i="3"/>
  <c r="I899" i="3"/>
  <c r="H443" i="3"/>
  <c r="I443" i="3"/>
  <c r="H223" i="3"/>
  <c r="I223" i="3"/>
  <c r="H681" i="3"/>
  <c r="I681" i="3"/>
  <c r="H645" i="3"/>
  <c r="I645" i="3"/>
  <c r="H564" i="3"/>
  <c r="I564" i="3"/>
  <c r="H199" i="3"/>
  <c r="I199" i="3"/>
  <c r="H957" i="3"/>
  <c r="I957" i="3"/>
  <c r="H254" i="3"/>
  <c r="I254" i="3"/>
  <c r="H212" i="3"/>
  <c r="I212" i="3"/>
  <c r="H179" i="3"/>
  <c r="I179" i="3"/>
  <c r="H168" i="3"/>
  <c r="I168" i="3"/>
  <c r="H2" i="3"/>
  <c r="I2" i="3"/>
  <c r="H36" i="3"/>
  <c r="I36" i="3"/>
  <c r="H129" i="3"/>
  <c r="I129" i="3"/>
  <c r="H19" i="3"/>
  <c r="I19" i="3"/>
  <c r="H349" i="3"/>
  <c r="I349" i="3"/>
  <c r="H635" i="3"/>
  <c r="I635" i="3"/>
  <c r="H920" i="3"/>
  <c r="I920" i="3"/>
  <c r="H284" i="3"/>
  <c r="I284" i="3"/>
  <c r="H165" i="3"/>
  <c r="I165" i="3"/>
  <c r="H581" i="3"/>
  <c r="I581" i="3"/>
  <c r="H566" i="3"/>
  <c r="I566" i="3"/>
  <c r="H215" i="3"/>
  <c r="I215" i="3"/>
  <c r="H665" i="3"/>
  <c r="I665" i="3"/>
  <c r="H604" i="3"/>
  <c r="I604" i="3"/>
  <c r="H410" i="3"/>
  <c r="I410" i="3"/>
  <c r="H915" i="3"/>
  <c r="I915" i="3"/>
  <c r="H979" i="3"/>
  <c r="I979" i="3"/>
  <c r="H924" i="3"/>
  <c r="I924" i="3"/>
  <c r="H825" i="3"/>
  <c r="I825" i="3"/>
  <c r="H167" i="3"/>
  <c r="I167" i="3"/>
  <c r="H847" i="3"/>
  <c r="I847" i="3"/>
  <c r="H300" i="3"/>
  <c r="I300" i="3"/>
  <c r="H145" i="3"/>
  <c r="I145" i="3"/>
  <c r="H144" i="3"/>
  <c r="I144" i="3"/>
  <c r="H260" i="3"/>
  <c r="I260" i="3"/>
  <c r="H921" i="3"/>
  <c r="I921" i="3"/>
  <c r="H482" i="3"/>
  <c r="I482" i="3"/>
  <c r="H521" i="3"/>
  <c r="I521" i="3"/>
  <c r="H85" i="3"/>
  <c r="I85" i="3"/>
  <c r="H304" i="3"/>
  <c r="I304" i="3"/>
  <c r="H86" i="3"/>
  <c r="I86" i="3"/>
  <c r="H612" i="3"/>
  <c r="I612" i="3"/>
  <c r="H98" i="3"/>
  <c r="I98" i="3"/>
  <c r="H548" i="3"/>
  <c r="I548" i="3"/>
  <c r="H325" i="3"/>
  <c r="I325" i="3"/>
  <c r="H350" i="3"/>
  <c r="I350" i="3"/>
  <c r="H405" i="3"/>
  <c r="I405" i="3"/>
  <c r="H838" i="3"/>
  <c r="I838" i="3"/>
  <c r="H446" i="3"/>
  <c r="I446" i="3"/>
  <c r="H773" i="3"/>
  <c r="I773" i="3"/>
  <c r="H568" i="3"/>
  <c r="I568" i="3"/>
  <c r="H776" i="3"/>
  <c r="I776" i="3"/>
  <c r="H517" i="3"/>
  <c r="I517" i="3"/>
  <c r="H890" i="3"/>
  <c r="I890" i="3"/>
  <c r="H351" i="3"/>
  <c r="I351" i="3"/>
  <c r="H56" i="3"/>
  <c r="I56" i="3"/>
  <c r="H146" i="3"/>
  <c r="I146" i="3"/>
  <c r="H611" i="3"/>
  <c r="I611" i="3"/>
  <c r="H172" i="3"/>
  <c r="I172" i="3"/>
  <c r="H418" i="3"/>
  <c r="I418" i="3"/>
  <c r="H397" i="3"/>
  <c r="I397" i="3"/>
  <c r="H352" i="3"/>
  <c r="I352" i="3"/>
  <c r="H686" i="3"/>
  <c r="I686" i="3"/>
  <c r="H419" i="3"/>
  <c r="I419" i="3"/>
  <c r="H115" i="3"/>
  <c r="I115" i="3"/>
  <c r="H891" i="3"/>
  <c r="I891" i="3"/>
  <c r="H853" i="3"/>
  <c r="I853" i="3"/>
  <c r="H113" i="3"/>
  <c r="I113" i="3"/>
  <c r="H836" i="3"/>
  <c r="I836" i="3"/>
  <c r="H262" i="3"/>
  <c r="I262" i="3"/>
  <c r="H399" i="3"/>
  <c r="I399" i="3"/>
  <c r="H420" i="3"/>
  <c r="I420" i="3"/>
  <c r="H314" i="3"/>
  <c r="I314" i="3"/>
  <c r="H114" i="3"/>
  <c r="I114" i="3"/>
  <c r="H398" i="3"/>
  <c r="I398" i="3"/>
  <c r="H183" i="3"/>
  <c r="I183" i="3"/>
  <c r="H44" i="3"/>
  <c r="I44" i="3"/>
  <c r="H967" i="3"/>
  <c r="I967" i="3"/>
  <c r="H39" i="3"/>
  <c r="I39" i="3"/>
  <c r="H837" i="3"/>
  <c r="I837" i="3"/>
  <c r="H523" i="3"/>
  <c r="I523" i="3"/>
  <c r="H770" i="3"/>
  <c r="I770" i="3"/>
  <c r="H780" i="3"/>
  <c r="I780" i="3"/>
  <c r="H302" i="3"/>
  <c r="I302" i="3"/>
  <c r="H951" i="3"/>
  <c r="I951" i="3"/>
  <c r="H158" i="3"/>
  <c r="I158" i="3"/>
  <c r="H682" i="3"/>
  <c r="I682" i="3"/>
  <c r="H944" i="3"/>
  <c r="I944" i="3"/>
  <c r="H280" i="3"/>
  <c r="I280" i="3"/>
  <c r="H354" i="3"/>
  <c r="I354" i="3"/>
  <c r="H860" i="3"/>
  <c r="I860" i="3"/>
  <c r="H449" i="3"/>
  <c r="I449" i="3"/>
  <c r="H734" i="3"/>
  <c r="I734" i="3"/>
  <c r="H94" i="3"/>
  <c r="I94" i="3"/>
  <c r="H208" i="3"/>
  <c r="I208" i="3"/>
  <c r="H733" i="3"/>
  <c r="I733" i="3"/>
  <c r="H943" i="3"/>
  <c r="I943" i="3"/>
  <c r="H282" i="3"/>
  <c r="I282" i="3"/>
  <c r="H42" i="3"/>
  <c r="I42" i="3"/>
  <c r="H448" i="3"/>
  <c r="I448" i="3"/>
  <c r="H735" i="3"/>
  <c r="I735" i="3"/>
  <c r="H232" i="3"/>
  <c r="I232" i="3"/>
  <c r="H8" i="3"/>
  <c r="I8" i="3"/>
  <c r="H136" i="3"/>
  <c r="I136" i="3"/>
  <c r="H389" i="3"/>
  <c r="I389" i="3"/>
  <c r="H406" i="3"/>
  <c r="I406" i="3"/>
  <c r="H244" i="3"/>
  <c r="I244" i="3"/>
  <c r="H116" i="3"/>
  <c r="I116" i="3"/>
  <c r="H775" i="3"/>
  <c r="I775" i="3"/>
  <c r="H720" i="3"/>
  <c r="I720" i="3"/>
  <c r="H283" i="3"/>
  <c r="I283" i="3"/>
  <c r="H451" i="3"/>
  <c r="I451" i="3"/>
  <c r="H246" i="3"/>
  <c r="I246" i="3"/>
  <c r="H132" i="3"/>
  <c r="I132" i="3"/>
  <c r="H901" i="3"/>
  <c r="I901" i="3"/>
  <c r="H163" i="3"/>
  <c r="I163" i="3"/>
  <c r="H854" i="3"/>
  <c r="I854" i="3"/>
  <c r="H687" i="3"/>
  <c r="I687" i="3"/>
  <c r="H485" i="3"/>
  <c r="I485" i="3"/>
  <c r="H690" i="3"/>
  <c r="I690" i="3"/>
  <c r="H450" i="3"/>
  <c r="I450" i="3"/>
  <c r="H131" i="3"/>
  <c r="I131" i="3"/>
  <c r="H452" i="3"/>
  <c r="I452" i="3"/>
  <c r="H90" i="3"/>
  <c r="I90" i="3"/>
  <c r="H499" i="3"/>
  <c r="I499" i="3"/>
  <c r="H947" i="3"/>
  <c r="I947" i="3"/>
  <c r="H779" i="3"/>
  <c r="I779" i="3"/>
  <c r="H616" i="3"/>
  <c r="I616" i="3"/>
  <c r="H777" i="3"/>
  <c r="I777" i="3"/>
  <c r="H453" i="3"/>
  <c r="I453" i="3"/>
  <c r="H171" i="3"/>
  <c r="I171" i="3"/>
  <c r="H782" i="3"/>
  <c r="I782" i="3"/>
  <c r="H857" i="3"/>
  <c r="I857" i="3"/>
  <c r="H33" i="3"/>
  <c r="I33" i="3"/>
  <c r="H45" i="3"/>
  <c r="I45" i="3"/>
  <c r="H92" i="3"/>
  <c r="I92" i="3"/>
  <c r="H230" i="3"/>
  <c r="I230" i="3"/>
  <c r="H231" i="3"/>
  <c r="I231" i="3"/>
  <c r="H772" i="3"/>
  <c r="I772" i="3"/>
  <c r="H484" i="3"/>
  <c r="I484" i="3"/>
  <c r="H91" i="3"/>
  <c r="I91" i="3"/>
  <c r="H585" i="3"/>
  <c r="I585" i="3"/>
  <c r="H781" i="3"/>
  <c r="I781" i="3"/>
  <c r="H774" i="3"/>
  <c r="I774" i="3"/>
  <c r="H421" i="3"/>
  <c r="I421" i="3"/>
  <c r="H271" i="3"/>
  <c r="I271" i="3"/>
  <c r="H940" i="3"/>
  <c r="I940" i="3"/>
  <c r="H620" i="3"/>
  <c r="I620" i="3"/>
  <c r="H955" i="3"/>
  <c r="I955" i="3"/>
  <c r="H529" i="3"/>
  <c r="I529" i="3"/>
  <c r="H119" i="3"/>
  <c r="I119" i="3"/>
  <c r="H619" i="3"/>
  <c r="I619" i="3"/>
  <c r="H530" i="3"/>
  <c r="I530" i="3"/>
  <c r="H400" i="3"/>
  <c r="I400" i="3"/>
  <c r="H923" i="3"/>
  <c r="I923" i="3"/>
  <c r="H552" i="3"/>
  <c r="I552" i="3"/>
  <c r="H93" i="3"/>
  <c r="I93" i="3"/>
  <c r="H964" i="3"/>
  <c r="I964" i="3"/>
  <c r="H785" i="3"/>
  <c r="I785" i="3"/>
  <c r="H413" i="3"/>
  <c r="I413" i="3"/>
  <c r="H911" i="3"/>
  <c r="I911" i="3"/>
  <c r="H52" i="3"/>
  <c r="I52" i="3"/>
  <c r="H623" i="3"/>
  <c r="I623" i="3"/>
  <c r="H50" i="3"/>
  <c r="I50" i="3"/>
  <c r="H49" i="3"/>
  <c r="I49" i="3"/>
  <c r="H58" i="3"/>
  <c r="I58" i="3"/>
  <c r="H48" i="3"/>
  <c r="I48" i="3"/>
  <c r="H788" i="3"/>
  <c r="I788" i="3"/>
  <c r="H859" i="3"/>
  <c r="I859" i="3"/>
  <c r="H709" i="3"/>
  <c r="I709" i="3"/>
  <c r="H220" i="3"/>
  <c r="I220" i="3"/>
  <c r="H120" i="3"/>
  <c r="I120" i="3"/>
  <c r="H263" i="3"/>
  <c r="I263" i="3"/>
  <c r="H121" i="3"/>
  <c r="I121" i="3"/>
  <c r="H47" i="3"/>
  <c r="I47" i="3"/>
  <c r="H54" i="3"/>
  <c r="I54" i="3"/>
  <c r="H414" i="3"/>
  <c r="I414" i="3"/>
  <c r="H697" i="3"/>
  <c r="I697" i="3"/>
  <c r="H912" i="3"/>
  <c r="I912" i="3"/>
  <c r="H5" i="3"/>
  <c r="I5" i="3"/>
  <c r="H21" i="3"/>
  <c r="I21" i="3"/>
  <c r="H308" i="3"/>
  <c r="I308" i="3"/>
  <c r="H696" i="3"/>
  <c r="I696" i="3"/>
  <c r="H570" i="3"/>
  <c r="I570" i="3"/>
  <c r="H269" i="3"/>
  <c r="I269" i="3"/>
  <c r="H797" i="3"/>
  <c r="I797" i="3"/>
  <c r="H595" i="3"/>
  <c r="I595" i="3"/>
  <c r="H22" i="3"/>
  <c r="I22" i="3"/>
  <c r="H372" i="3"/>
  <c r="I372" i="3"/>
  <c r="H748" i="3"/>
  <c r="I748" i="3"/>
  <c r="H454" i="3"/>
  <c r="I454" i="3"/>
  <c r="H407" i="3"/>
  <c r="I407" i="3"/>
  <c r="H913" i="3"/>
  <c r="I913" i="3"/>
  <c r="H693" i="3"/>
  <c r="I693" i="3"/>
  <c r="H205" i="3"/>
  <c r="I205" i="3"/>
  <c r="H532" i="3"/>
  <c r="I532" i="3"/>
  <c r="H805" i="3"/>
  <c r="I805" i="3"/>
  <c r="H286" i="3"/>
  <c r="I286" i="3"/>
  <c r="H234" i="3"/>
  <c r="I234" i="3"/>
  <c r="H438" i="3"/>
  <c r="I438" i="3"/>
  <c r="H29" i="3"/>
  <c r="I29" i="3"/>
  <c r="H149" i="3"/>
  <c r="I149" i="3"/>
  <c r="H862" i="3"/>
  <c r="I862" i="3"/>
  <c r="H455" i="3"/>
  <c r="I455" i="3"/>
  <c r="H371" i="3"/>
  <c r="I371" i="3"/>
  <c r="H520" i="3"/>
  <c r="I520" i="3"/>
  <c r="H150" i="3"/>
  <c r="I150" i="3"/>
  <c r="H960" i="3"/>
  <c r="I960" i="3"/>
  <c r="H365" i="3"/>
  <c r="I365" i="3"/>
  <c r="H917" i="3"/>
  <c r="I917" i="3"/>
  <c r="H625" i="3"/>
  <c r="I625" i="3"/>
  <c r="H634" i="3"/>
  <c r="I634" i="3"/>
  <c r="H526" i="3"/>
  <c r="I526" i="3"/>
  <c r="H362" i="3"/>
  <c r="I362" i="3"/>
  <c r="H288" i="3"/>
  <c r="I288" i="3"/>
  <c r="H51" i="3"/>
  <c r="I51" i="3"/>
  <c r="H851" i="3"/>
  <c r="I851" i="3"/>
  <c r="H311" i="3"/>
  <c r="I311" i="3"/>
  <c r="H364" i="3"/>
  <c r="I364" i="3"/>
  <c r="H858" i="3"/>
  <c r="I858" i="3"/>
  <c r="H204" i="3"/>
  <c r="I204" i="3"/>
  <c r="H323" i="3"/>
  <c r="I323" i="3"/>
  <c r="H893" i="3"/>
  <c r="I893" i="3"/>
  <c r="H589" i="3"/>
  <c r="I589" i="3"/>
  <c r="H868" i="3"/>
  <c r="I868" i="3"/>
  <c r="H363" i="3"/>
  <c r="I363" i="3"/>
  <c r="H442" i="3"/>
  <c r="I442" i="3"/>
  <c r="H699" i="3"/>
  <c r="I699" i="3"/>
  <c r="H565" i="3"/>
  <c r="I565" i="3"/>
  <c r="H310" i="3"/>
  <c r="I310" i="3"/>
  <c r="H626" i="3"/>
  <c r="I626" i="3"/>
  <c r="H266" i="3"/>
  <c r="I266" i="3"/>
  <c r="H945" i="3"/>
  <c r="I945" i="3"/>
  <c r="H76" i="3"/>
  <c r="I76" i="3"/>
  <c r="H736" i="3"/>
  <c r="I736" i="3"/>
  <c r="H366" i="3"/>
  <c r="I366" i="3"/>
  <c r="H926" i="3"/>
  <c r="I926" i="3"/>
  <c r="H55" i="3"/>
  <c r="I55" i="3"/>
  <c r="H813" i="3"/>
  <c r="I813" i="3"/>
  <c r="H174" i="3"/>
  <c r="I174" i="3"/>
  <c r="H617" i="3"/>
  <c r="I617" i="3"/>
  <c r="H563" i="3"/>
  <c r="I563" i="3"/>
  <c r="H456" i="3"/>
  <c r="I456" i="3"/>
  <c r="H458" i="3"/>
  <c r="I458" i="3"/>
  <c r="H796" i="3"/>
  <c r="I796" i="3"/>
  <c r="H368" i="3"/>
  <c r="I368" i="3"/>
  <c r="H739" i="3"/>
  <c r="I739" i="3"/>
  <c r="H740" i="3"/>
  <c r="I740" i="3"/>
  <c r="H96" i="3"/>
  <c r="I96" i="3"/>
  <c r="H553" i="3"/>
  <c r="I553" i="3"/>
  <c r="H863" i="3"/>
  <c r="I863" i="3"/>
  <c r="H489" i="3"/>
  <c r="I489" i="3"/>
  <c r="H142" i="3"/>
  <c r="I142" i="3"/>
  <c r="H867" i="3"/>
  <c r="I867" i="3"/>
  <c r="H866" i="3"/>
  <c r="I866" i="3"/>
  <c r="H573" i="3"/>
  <c r="I573" i="3"/>
  <c r="H237" i="3"/>
  <c r="I237" i="3"/>
  <c r="H555" i="3"/>
  <c r="I555" i="3"/>
  <c r="H140" i="3"/>
  <c r="I140" i="3"/>
  <c r="H577" i="3"/>
  <c r="I577" i="3"/>
  <c r="H424" i="3"/>
  <c r="I424" i="3"/>
  <c r="H23" i="3"/>
  <c r="I23" i="3"/>
  <c r="H181" i="3"/>
  <c r="I181" i="3"/>
  <c r="H742" i="3"/>
  <c r="I742" i="3"/>
  <c r="H527" i="3"/>
  <c r="I527" i="3"/>
  <c r="H959" i="3"/>
  <c r="I959" i="3"/>
  <c r="H986" i="3"/>
  <c r="I986" i="3"/>
  <c r="H390" i="3"/>
  <c r="I390" i="3"/>
  <c r="H315" i="3"/>
  <c r="I315" i="3"/>
  <c r="H46" i="3"/>
  <c r="I46" i="3"/>
  <c r="H460" i="3"/>
  <c r="I460" i="3"/>
  <c r="H864" i="3"/>
  <c r="I864" i="3"/>
  <c r="H57" i="3"/>
  <c r="I57" i="3"/>
  <c r="H631" i="3"/>
  <c r="I631" i="3"/>
  <c r="H402" i="3"/>
  <c r="I402" i="3"/>
  <c r="H927" i="3"/>
  <c r="I927" i="3"/>
  <c r="H222" i="3"/>
  <c r="I222" i="3"/>
  <c r="H703" i="3"/>
  <c r="I703" i="3"/>
  <c r="H331" i="3"/>
  <c r="I331" i="3"/>
  <c r="H646" i="3"/>
  <c r="I646" i="3"/>
  <c r="H744" i="3"/>
  <c r="I744" i="3"/>
  <c r="H929" i="3"/>
  <c r="I929" i="3"/>
  <c r="H207" i="3"/>
  <c r="I207" i="3"/>
  <c r="H766" i="3"/>
  <c r="I766" i="3"/>
  <c r="H241" i="3"/>
  <c r="I241" i="3"/>
  <c r="H152" i="3"/>
  <c r="I152" i="3"/>
  <c r="H872" i="3"/>
  <c r="I872" i="3"/>
  <c r="H391" i="3"/>
  <c r="I391" i="3"/>
  <c r="H25" i="3"/>
  <c r="I25" i="3"/>
  <c r="H243" i="3"/>
  <c r="I243" i="3"/>
  <c r="H632" i="3"/>
  <c r="I632" i="3"/>
  <c r="H578" i="3"/>
  <c r="I578" i="3"/>
  <c r="H426" i="3"/>
  <c r="I426" i="3"/>
  <c r="H743" i="3"/>
  <c r="I743" i="3"/>
  <c r="H461" i="3"/>
  <c r="I461" i="3"/>
  <c r="H936" i="3"/>
  <c r="I936" i="3"/>
  <c r="H605" i="3"/>
  <c r="I605" i="3"/>
  <c r="H562" i="3"/>
  <c r="I562" i="3"/>
  <c r="H9" i="3"/>
  <c r="I9" i="3"/>
  <c r="H427" i="3"/>
  <c r="I427" i="3"/>
  <c r="H166" i="3"/>
  <c r="I166" i="3"/>
  <c r="H543" i="3"/>
  <c r="I543" i="3"/>
  <c r="H835" i="3"/>
  <c r="I835" i="3"/>
  <c r="H707" i="3"/>
  <c r="I707" i="3"/>
  <c r="H949" i="3"/>
  <c r="I949" i="3"/>
  <c r="H633" i="3"/>
  <c r="I633" i="3"/>
  <c r="H977" i="3"/>
  <c r="I977" i="3"/>
  <c r="H428" i="3"/>
  <c r="I428" i="3"/>
  <c r="H963" i="3"/>
  <c r="I963" i="3"/>
  <c r="H185" i="3"/>
  <c r="I185" i="3"/>
  <c r="H318" i="3"/>
  <c r="I318" i="3"/>
  <c r="H289" i="3"/>
  <c r="I289" i="3"/>
  <c r="H184" i="3"/>
  <c r="I184" i="3"/>
  <c r="H255" i="3"/>
  <c r="I255" i="3"/>
  <c r="H741" i="3"/>
  <c r="I741" i="3"/>
  <c r="H392" i="3"/>
  <c r="I392" i="3"/>
  <c r="H462" i="3"/>
  <c r="I462" i="3"/>
  <c r="H126" i="3"/>
  <c r="I126" i="3"/>
  <c r="H431" i="3"/>
  <c r="I431" i="3"/>
  <c r="H360" i="3"/>
  <c r="I360" i="3"/>
  <c r="H627" i="3"/>
  <c r="I627" i="3"/>
  <c r="H914" i="3"/>
  <c r="I914" i="3"/>
  <c r="H432" i="3"/>
  <c r="I432" i="3"/>
  <c r="H753" i="3"/>
  <c r="I753" i="3"/>
  <c r="H77" i="3"/>
  <c r="I77" i="3"/>
  <c r="H147" i="3"/>
  <c r="I147" i="3"/>
  <c r="H153" i="3"/>
  <c r="I153" i="3"/>
  <c r="H984" i="3"/>
  <c r="I984" i="3"/>
  <c r="H430" i="3"/>
  <c r="I430" i="3"/>
  <c r="H747" i="3"/>
  <c r="I747" i="3"/>
  <c r="H768" i="3"/>
  <c r="I768" i="3"/>
  <c r="H330" i="3"/>
  <c r="I330" i="3"/>
  <c r="H429" i="3"/>
  <c r="I429" i="3"/>
  <c r="H495" i="3"/>
  <c r="I495" i="3"/>
  <c r="H749" i="3"/>
  <c r="I749" i="3"/>
  <c r="H370" i="3"/>
  <c r="I370" i="3"/>
  <c r="H801" i="3"/>
  <c r="I801" i="3"/>
  <c r="H746" i="3"/>
  <c r="I746" i="3"/>
  <c r="H812" i="3"/>
  <c r="I812" i="3"/>
  <c r="H745" i="3"/>
  <c r="I745" i="3"/>
  <c r="H127" i="3"/>
  <c r="I127" i="3"/>
  <c r="H409" i="3"/>
  <c r="I409" i="3"/>
  <c r="H154" i="3"/>
  <c r="I154" i="3"/>
  <c r="H355" i="3"/>
  <c r="I355" i="3"/>
  <c r="H569" i="3"/>
  <c r="I569" i="3"/>
  <c r="H239" i="3"/>
  <c r="I239" i="3"/>
  <c r="H928" i="3"/>
  <c r="I928" i="3"/>
  <c r="H536" i="3"/>
  <c r="I536" i="3"/>
  <c r="H572" i="3"/>
  <c r="I572" i="3"/>
  <c r="H582" i="3"/>
  <c r="I582" i="3"/>
  <c r="H988" i="3"/>
  <c r="I988" i="3"/>
  <c r="H27" i="3"/>
  <c r="I27" i="3"/>
  <c r="H567" i="3"/>
  <c r="I567" i="3"/>
  <c r="H403" i="3"/>
  <c r="I403" i="3"/>
  <c r="H463" i="3"/>
  <c r="I463" i="3"/>
  <c r="H290" i="3"/>
  <c r="I290" i="3"/>
  <c r="H965" i="3"/>
  <c r="I965" i="3"/>
  <c r="H876" i="3"/>
  <c r="I876" i="3"/>
  <c r="H498" i="3"/>
  <c r="I498" i="3"/>
  <c r="H875" i="3"/>
  <c r="I875" i="3"/>
  <c r="H718" i="3"/>
  <c r="I718" i="3"/>
  <c r="H538" i="3"/>
  <c r="I538" i="3"/>
  <c r="H155" i="3"/>
  <c r="I155" i="3"/>
  <c r="H118" i="3"/>
  <c r="I118" i="3"/>
  <c r="H596" i="3"/>
  <c r="I596" i="3"/>
  <c r="H393" i="3"/>
  <c r="I393" i="3"/>
  <c r="H904" i="3"/>
  <c r="I904" i="3"/>
  <c r="H537" i="3"/>
  <c r="I537" i="3"/>
  <c r="H701" i="3"/>
  <c r="I701" i="3"/>
  <c r="H464" i="3"/>
  <c r="I464" i="3"/>
  <c r="H932" i="3"/>
  <c r="I932" i="3"/>
  <c r="H874" i="3"/>
  <c r="I874" i="3"/>
  <c r="H966" i="3"/>
  <c r="I966" i="3"/>
  <c r="H907" i="3"/>
  <c r="I907" i="3"/>
  <c r="H249" i="3"/>
  <c r="I249" i="3"/>
  <c r="H10" i="3"/>
  <c r="I10" i="3"/>
  <c r="H71" i="3"/>
  <c r="I71" i="3"/>
  <c r="H839" i="3"/>
  <c r="I839" i="3"/>
  <c r="H99" i="3"/>
  <c r="I99" i="3"/>
  <c r="H663" i="3"/>
  <c r="I663" i="3"/>
  <c r="H228" i="3"/>
  <c r="I228" i="3"/>
  <c r="H540" i="3"/>
  <c r="I540" i="3"/>
  <c r="H291" i="3"/>
  <c r="I291" i="3"/>
  <c r="H711" i="3"/>
  <c r="I711" i="3"/>
  <c r="H968" i="3"/>
  <c r="I968" i="3"/>
  <c r="H433" i="3"/>
  <c r="I433" i="3"/>
  <c r="H807" i="3"/>
  <c r="I807" i="3"/>
  <c r="H206" i="3"/>
  <c r="I206" i="3"/>
  <c r="H465" i="3"/>
  <c r="I465" i="3"/>
  <c r="H466" i="3"/>
  <c r="I466" i="3"/>
  <c r="H956" i="3"/>
  <c r="I956" i="3"/>
  <c r="H467" i="3"/>
  <c r="I467" i="3"/>
  <c r="H293" i="3"/>
  <c r="I293" i="3"/>
  <c r="H375" i="3"/>
  <c r="I375" i="3"/>
  <c r="H809" i="3"/>
  <c r="I809" i="3"/>
  <c r="H374" i="3"/>
  <c r="I374" i="3"/>
  <c r="H700" i="3"/>
  <c r="I700" i="3"/>
  <c r="H976" i="3"/>
  <c r="I976" i="3"/>
  <c r="H321" i="3"/>
  <c r="I321" i="3"/>
  <c r="H187" i="3"/>
  <c r="I187" i="3"/>
  <c r="H584" i="3"/>
  <c r="I584" i="3"/>
  <c r="H987" i="3"/>
  <c r="I987" i="3"/>
  <c r="H522" i="3"/>
  <c r="I522" i="3"/>
  <c r="H971" i="3"/>
  <c r="I971" i="3"/>
  <c r="H128" i="3"/>
  <c r="I128" i="3"/>
  <c r="H541" i="3"/>
  <c r="I541" i="3"/>
  <c r="H112" i="3"/>
  <c r="I112" i="3"/>
  <c r="H554" i="3"/>
  <c r="I554" i="3"/>
  <c r="H320" i="3"/>
  <c r="I320" i="3"/>
  <c r="H62" i="3"/>
  <c r="I62" i="3"/>
  <c r="H417" i="3"/>
  <c r="I417" i="3"/>
  <c r="H156" i="3"/>
  <c r="I156" i="3"/>
  <c r="H878" i="3"/>
  <c r="I878" i="3"/>
  <c r="H342" i="3"/>
  <c r="I342" i="3"/>
  <c r="H141" i="3"/>
  <c r="I141" i="3"/>
  <c r="H101" i="3"/>
  <c r="I101" i="3"/>
  <c r="H865" i="3"/>
  <c r="I865" i="3"/>
  <c r="H102" i="3"/>
  <c r="I102" i="3"/>
  <c r="H12" i="3"/>
  <c r="I12" i="3"/>
  <c r="H329" i="3"/>
  <c r="I329" i="3"/>
  <c r="H258" i="3"/>
  <c r="I258" i="3"/>
  <c r="H356" i="3"/>
  <c r="I356" i="3"/>
  <c r="H404" i="3"/>
  <c r="I404" i="3"/>
  <c r="H435" i="3"/>
  <c r="I435" i="3"/>
  <c r="H972" i="3"/>
  <c r="I972" i="3"/>
  <c r="H394" i="3"/>
  <c r="I394" i="3"/>
  <c r="H373" i="3"/>
  <c r="I373" i="3"/>
  <c r="H59" i="3"/>
  <c r="I59" i="3"/>
  <c r="H792" i="3"/>
  <c r="I792" i="3"/>
  <c r="H547" i="3"/>
  <c r="I547" i="3"/>
  <c r="H879" i="3"/>
  <c r="I879" i="3"/>
  <c r="H376" i="3"/>
  <c r="I376" i="3"/>
  <c r="H880" i="3"/>
  <c r="I880" i="3"/>
  <c r="H980" i="3"/>
  <c r="I980" i="3"/>
  <c r="H250" i="3"/>
  <c r="I250" i="3"/>
  <c r="H295" i="3"/>
  <c r="I295" i="3"/>
  <c r="H752" i="3"/>
  <c r="I752" i="3"/>
  <c r="H637" i="3"/>
  <c r="I637" i="3"/>
  <c r="H292" i="3"/>
  <c r="I292" i="3"/>
  <c r="H641" i="3"/>
  <c r="I641" i="3"/>
  <c r="H650" i="3"/>
  <c r="I650" i="3"/>
  <c r="H840" i="3"/>
  <c r="I840" i="3"/>
  <c r="H274" i="3"/>
  <c r="I274" i="3"/>
  <c r="H586" i="3"/>
  <c r="I586" i="3"/>
  <c r="H437" i="3"/>
  <c r="I437" i="3"/>
  <c r="H676" i="3"/>
  <c r="I676" i="3"/>
  <c r="H378" i="3"/>
  <c r="I378" i="3"/>
  <c r="H68" i="3"/>
  <c r="I68" i="3"/>
  <c r="H332" i="3"/>
  <c r="I332" i="3"/>
  <c r="H307" i="3"/>
  <c r="I307" i="3"/>
  <c r="H716" i="3"/>
  <c r="I716" i="3"/>
  <c r="H130" i="3"/>
  <c r="I130" i="3"/>
  <c r="H276" i="3"/>
  <c r="I276" i="3"/>
  <c r="H275" i="3"/>
  <c r="I275" i="3"/>
  <c r="H189" i="3"/>
  <c r="I189" i="3"/>
  <c r="H598" i="3"/>
  <c r="I598" i="3"/>
  <c r="H636" i="3"/>
  <c r="I636" i="3"/>
  <c r="H103" i="3"/>
  <c r="I103" i="3"/>
  <c r="H13" i="3"/>
  <c r="I13" i="3"/>
  <c r="H117" i="3"/>
  <c r="I117" i="3"/>
  <c r="H933" i="3"/>
  <c r="I933" i="3"/>
  <c r="H765" i="3"/>
  <c r="I765" i="3"/>
  <c r="H285" i="3"/>
  <c r="I285" i="3"/>
  <c r="H545" i="3"/>
  <c r="I545" i="3"/>
  <c r="H883" i="3"/>
  <c r="I883" i="3"/>
  <c r="H4" i="3"/>
  <c r="I4" i="3"/>
  <c r="H379" i="3"/>
  <c r="I379" i="3"/>
  <c r="H630" i="3"/>
  <c r="I630" i="3"/>
  <c r="H441" i="3"/>
  <c r="I441" i="3"/>
  <c r="H787" i="3"/>
  <c r="I787" i="3"/>
  <c r="H580" i="3"/>
  <c r="I580" i="3"/>
  <c r="H683" i="3"/>
  <c r="I683" i="3"/>
  <c r="H251" i="3"/>
  <c r="I251" i="3"/>
  <c r="H106" i="3"/>
  <c r="I106" i="3"/>
  <c r="H459" i="3"/>
  <c r="I459" i="3"/>
  <c r="H388" i="3"/>
  <c r="I388" i="3"/>
  <c r="H469" i="3"/>
  <c r="I469" i="3"/>
  <c r="H301" i="3"/>
  <c r="I301" i="3"/>
  <c r="H252" i="3"/>
  <c r="I252" i="3"/>
  <c r="H340" i="3"/>
  <c r="I340" i="3"/>
  <c r="H191" i="3"/>
  <c r="I191" i="3"/>
  <c r="H281" i="3"/>
  <c r="I281" i="3"/>
  <c r="H434" i="3"/>
  <c r="I434" i="3"/>
  <c r="H105" i="3"/>
  <c r="I105" i="3"/>
  <c r="H296" i="3"/>
  <c r="I296" i="3"/>
  <c r="H353" i="3"/>
  <c r="I353" i="3"/>
  <c r="H750" i="3"/>
  <c r="I750" i="3"/>
  <c r="H209" i="3"/>
  <c r="I209" i="3"/>
  <c r="H647" i="3"/>
  <c r="I647" i="3"/>
  <c r="H196" i="3"/>
  <c r="I196" i="3"/>
  <c r="H386" i="3"/>
  <c r="I386" i="3"/>
  <c r="H268" i="3"/>
  <c r="I268" i="3"/>
  <c r="H468" i="3"/>
  <c r="I468" i="3"/>
  <c r="H436" i="3"/>
  <c r="I436" i="3"/>
  <c r="H841" i="3"/>
  <c r="I841" i="3"/>
  <c r="H210" i="3"/>
  <c r="I210" i="3"/>
  <c r="H672" i="3"/>
  <c r="I672" i="3"/>
  <c r="H164" i="3"/>
  <c r="I164" i="3"/>
  <c r="H343" i="3"/>
  <c r="I343" i="3"/>
  <c r="H265" i="3"/>
  <c r="I265" i="3"/>
  <c r="H844" i="3"/>
  <c r="I844" i="3"/>
  <c r="H546" i="3"/>
  <c r="I546" i="3"/>
  <c r="H953" i="3"/>
  <c r="I953" i="3"/>
  <c r="H978" i="3"/>
  <c r="I978" i="3"/>
  <c r="H34" i="3"/>
  <c r="I34" i="3"/>
  <c r="H930" i="3"/>
  <c r="I930" i="3"/>
  <c r="H897" i="3"/>
  <c r="I897" i="3"/>
  <c r="H524" i="3"/>
  <c r="I524" i="3"/>
  <c r="H719" i="3"/>
  <c r="I719" i="3"/>
  <c r="H256" i="3"/>
  <c r="I256" i="3"/>
  <c r="H190" i="3"/>
  <c r="I190" i="3"/>
  <c r="H253" i="3"/>
  <c r="I253" i="3"/>
  <c r="H842" i="3"/>
  <c r="I842" i="3"/>
  <c r="H952" i="3"/>
  <c r="I952" i="3"/>
  <c r="H640" i="3"/>
  <c r="I640" i="3"/>
  <c r="H193" i="3"/>
  <c r="I193" i="3"/>
  <c r="H380" i="3"/>
  <c r="I380" i="3"/>
  <c r="H710" i="3"/>
  <c r="I710" i="3"/>
  <c r="H133" i="3"/>
  <c r="I133" i="3"/>
  <c r="H65" i="3"/>
  <c r="I65" i="3"/>
  <c r="H818" i="3"/>
  <c r="I818" i="3"/>
  <c r="H503" i="3"/>
  <c r="I503" i="3"/>
  <c r="H334" i="3"/>
  <c r="I334" i="3"/>
  <c r="H500" i="3"/>
  <c r="I500" i="3"/>
  <c r="H815" i="3"/>
  <c r="I815" i="3"/>
  <c r="H335" i="3"/>
  <c r="I335" i="3"/>
  <c r="H66" i="3"/>
  <c r="I66" i="3"/>
  <c r="H369" i="3"/>
  <c r="I369" i="3"/>
  <c r="H159" i="3"/>
  <c r="I159" i="3"/>
  <c r="H677" i="3"/>
  <c r="I677" i="3"/>
  <c r="H648" i="3"/>
  <c r="I648" i="3"/>
  <c r="H644" i="3"/>
  <c r="I644" i="3"/>
  <c r="H884" i="3"/>
  <c r="I884" i="3"/>
  <c r="H981" i="3"/>
  <c r="I981" i="3"/>
  <c r="H381" i="3"/>
  <c r="I381" i="3"/>
  <c r="H757" i="3"/>
  <c r="I757" i="3"/>
  <c r="H471" i="3"/>
  <c r="I471" i="3"/>
  <c r="H660" i="3"/>
  <c r="I660" i="3"/>
  <c r="H758" i="3"/>
  <c r="I758" i="3"/>
  <c r="H17" i="3"/>
  <c r="I17" i="3"/>
  <c r="H588" i="3"/>
  <c r="I588" i="3"/>
  <c r="H507" i="3"/>
  <c r="I507" i="3"/>
  <c r="H855" i="3"/>
  <c r="I855" i="3"/>
  <c r="H30" i="3"/>
  <c r="I30" i="3"/>
  <c r="H297" i="3"/>
  <c r="I297" i="3"/>
  <c r="H802" i="3"/>
  <c r="I802" i="3"/>
  <c r="H721" i="3"/>
  <c r="I721" i="3"/>
  <c r="H472" i="3"/>
  <c r="I472" i="3"/>
  <c r="H16" i="3"/>
  <c r="I16" i="3"/>
  <c r="H336" i="3"/>
  <c r="I336" i="3"/>
  <c r="H395" i="3"/>
  <c r="I395" i="3"/>
  <c r="H440" i="3"/>
  <c r="I440" i="3"/>
  <c r="H474" i="3"/>
  <c r="I474" i="3"/>
  <c r="H821" i="3"/>
  <c r="I821" i="3"/>
  <c r="H357" i="3"/>
  <c r="I357" i="3"/>
  <c r="H724" i="3"/>
  <c r="I724" i="3"/>
  <c r="H885" i="3"/>
  <c r="I885" i="3"/>
  <c r="H473" i="3"/>
  <c r="I473" i="3"/>
  <c r="H327" i="3"/>
  <c r="I327" i="3"/>
  <c r="H983" i="3"/>
  <c r="I983" i="3"/>
  <c r="H79" i="3"/>
  <c r="I79" i="3"/>
  <c r="H535" i="3"/>
  <c r="I535" i="3"/>
  <c r="H935" i="3"/>
  <c r="I935" i="3"/>
  <c r="H18" i="3"/>
  <c r="I18" i="3"/>
  <c r="H384" i="3"/>
  <c r="I384" i="3"/>
  <c r="H898" i="3"/>
  <c r="I898" i="3"/>
  <c r="H192" i="3"/>
  <c r="I192" i="3"/>
  <c r="H383" i="3"/>
  <c r="I383" i="3"/>
  <c r="H298" i="3"/>
  <c r="I298" i="3"/>
  <c r="H109" i="3"/>
  <c r="I109" i="3"/>
  <c r="H108" i="3"/>
  <c r="I108" i="3"/>
  <c r="H475" i="3"/>
  <c r="I475" i="3"/>
  <c r="H385" i="3"/>
  <c r="I385" i="3"/>
  <c r="H655" i="3"/>
  <c r="I655" i="3"/>
  <c r="H909" i="3"/>
  <c r="I909" i="3"/>
  <c r="H887" i="3"/>
  <c r="I887" i="3"/>
  <c r="H590" i="3"/>
  <c r="I590" i="3"/>
  <c r="H148" i="3"/>
  <c r="I148" i="3"/>
  <c r="H823" i="3"/>
  <c r="I823" i="3"/>
  <c r="H726" i="3"/>
  <c r="I726" i="3"/>
  <c r="H654" i="3"/>
  <c r="I654" i="3"/>
  <c r="H69" i="3"/>
  <c r="I69" i="3"/>
  <c r="H339" i="3"/>
  <c r="I339" i="3"/>
  <c r="H137" i="3"/>
  <c r="I137" i="3"/>
  <c r="H591" i="3"/>
  <c r="I591" i="3"/>
  <c r="H759" i="3"/>
  <c r="I759" i="3"/>
  <c r="H70" i="3"/>
  <c r="I70" i="3"/>
  <c r="H713" i="3"/>
  <c r="I713" i="3"/>
  <c r="H659" i="3"/>
  <c r="I659" i="3"/>
  <c r="H324" i="3"/>
  <c r="I324" i="3"/>
  <c r="H843" i="3"/>
  <c r="I843" i="3"/>
  <c r="H888" i="3"/>
  <c r="I888" i="3"/>
  <c r="H476" i="3"/>
  <c r="I476" i="3"/>
  <c r="H556" i="3"/>
  <c r="I556" i="3"/>
  <c r="H160" i="3"/>
  <c r="I160" i="3"/>
  <c r="H756" i="3"/>
  <c r="I756" i="3"/>
  <c r="H197" i="3"/>
  <c r="I197" i="3"/>
  <c r="H338" i="3"/>
  <c r="I338" i="3"/>
  <c r="H248" i="3"/>
  <c r="I248" i="3"/>
  <c r="H490" i="3"/>
  <c r="I490" i="3"/>
  <c r="H227" i="3"/>
  <c r="I227" i="3"/>
  <c r="H670" i="3"/>
  <c r="I670" i="3"/>
  <c r="H727" i="3"/>
  <c r="I727" i="3"/>
  <c r="H689" i="3"/>
  <c r="I689" i="3"/>
  <c r="H706" i="3"/>
  <c r="I706" i="3"/>
  <c r="H974" i="3"/>
  <c r="I974" i="3"/>
  <c r="H962" i="3"/>
  <c r="I962" i="3"/>
  <c r="H692" i="3"/>
  <c r="I692" i="3"/>
  <c r="H217" i="3"/>
  <c r="I217" i="3"/>
  <c r="H702" i="3"/>
  <c r="I702" i="3"/>
  <c r="H831" i="3"/>
  <c r="I831" i="3"/>
  <c r="H760" i="3"/>
  <c r="I760" i="3"/>
  <c r="H761" i="3"/>
  <c r="I761" i="3"/>
  <c r="H551" i="3"/>
  <c r="I551" i="3"/>
  <c r="H722" i="3"/>
  <c r="I722" i="3"/>
  <c r="H889" i="3"/>
  <c r="I889" i="3"/>
  <c r="H72" i="3"/>
  <c r="I72" i="3"/>
  <c r="H492" i="3"/>
  <c r="I492" i="3"/>
  <c r="H714" i="3"/>
  <c r="I714" i="3"/>
  <c r="H558" i="3"/>
  <c r="I558" i="3"/>
  <c r="H233" i="3"/>
  <c r="I233" i="3"/>
  <c r="H685" i="3"/>
  <c r="I685" i="3"/>
  <c r="H423" i="3"/>
  <c r="I423" i="3"/>
  <c r="H63" i="3"/>
  <c r="I63" i="3"/>
  <c r="H110" i="3"/>
  <c r="I110" i="3"/>
  <c r="H621" i="3"/>
  <c r="I621" i="3"/>
  <c r="H182" i="3"/>
  <c r="I182" i="3"/>
  <c r="H218" i="3"/>
  <c r="I218" i="3"/>
  <c r="H579" i="3"/>
  <c r="I579" i="3"/>
  <c r="H486" i="3"/>
  <c r="I486" i="3"/>
  <c r="H615" i="3"/>
  <c r="I615" i="3"/>
  <c r="H970" i="3"/>
  <c r="I970" i="3"/>
  <c r="H941" i="3"/>
  <c r="I941" i="3"/>
  <c r="H856" i="3"/>
  <c r="I856" i="3"/>
  <c r="H87" i="3"/>
  <c r="I87" i="3"/>
  <c r="H95" i="3"/>
  <c r="I95" i="3"/>
  <c r="H512" i="3"/>
  <c r="I512" i="3"/>
  <c r="H326" i="3"/>
  <c r="I326" i="3"/>
  <c r="H808" i="3"/>
  <c r="I808" i="3"/>
  <c r="H728" i="3"/>
  <c r="I728" i="3"/>
  <c r="H496" i="3"/>
  <c r="I496" i="3"/>
  <c r="H123" i="3"/>
  <c r="I123" i="3"/>
  <c r="H83" i="3"/>
  <c r="I83" i="3"/>
  <c r="H804" i="3"/>
  <c r="I804" i="3"/>
  <c r="H794" i="3"/>
  <c r="I794" i="3"/>
  <c r="H961" i="3"/>
  <c r="I961" i="3"/>
  <c r="H88" i="3"/>
  <c r="I88" i="3"/>
  <c r="H216" i="3"/>
  <c r="I216" i="3"/>
  <c r="H694" i="3"/>
  <c r="I694" i="3"/>
  <c r="H827" i="3"/>
  <c r="I827" i="3"/>
  <c r="H479" i="3"/>
  <c r="I479" i="3"/>
  <c r="H908" i="3"/>
  <c r="I908" i="3"/>
  <c r="H348" i="3"/>
  <c r="I348" i="3"/>
  <c r="H510" i="3"/>
  <c r="I510" i="3"/>
  <c r="H478" i="3"/>
  <c r="I478" i="3"/>
  <c r="H533" i="3"/>
  <c r="I533" i="3"/>
  <c r="H169" i="3"/>
  <c r="I169" i="3"/>
  <c r="H550" i="3"/>
  <c r="I550" i="3"/>
  <c r="H15" i="3"/>
  <c r="I15" i="3"/>
  <c r="H800" i="3"/>
  <c r="I800" i="3"/>
  <c r="H975" i="3"/>
  <c r="I975" i="3"/>
  <c r="H178" i="3"/>
  <c r="I178" i="3"/>
  <c r="H715" i="3"/>
  <c r="I715" i="3"/>
  <c r="H60" i="3"/>
  <c r="I60" i="3"/>
  <c r="H198" i="3"/>
  <c r="I198" i="3"/>
  <c r="H903" i="3"/>
  <c r="I903" i="3"/>
  <c r="H919" i="3"/>
  <c r="I919" i="3"/>
  <c r="H830" i="3"/>
  <c r="I830" i="3"/>
  <c r="H852" i="3"/>
  <c r="I852" i="3"/>
  <c r="H74" i="3"/>
  <c r="I74" i="3"/>
  <c r="H78" i="3"/>
  <c r="I78" i="3"/>
  <c r="H614" i="3"/>
  <c r="I614" i="3"/>
  <c r="H717" i="3"/>
  <c r="I717" i="3"/>
  <c r="H143" i="3"/>
  <c r="I143" i="3"/>
  <c r="H925" i="3"/>
  <c r="I925" i="3"/>
  <c r="H737" i="3"/>
  <c r="I737" i="3"/>
  <c r="H14" i="3"/>
  <c r="I14" i="3"/>
  <c r="H668" i="3"/>
  <c r="I668" i="3"/>
  <c r="H139" i="3"/>
  <c r="I139" i="3"/>
  <c r="H769" i="3"/>
  <c r="I769" i="3"/>
  <c r="H138" i="3"/>
  <c r="I138" i="3"/>
  <c r="H61" i="3"/>
  <c r="I61" i="3"/>
  <c r="H67" i="3"/>
  <c r="I67" i="3"/>
  <c r="H922" i="3"/>
  <c r="I922" i="3"/>
  <c r="H235" i="3"/>
  <c r="I235" i="3"/>
  <c r="H814" i="3"/>
  <c r="I814" i="3"/>
  <c r="H519" i="3"/>
  <c r="I519" i="3"/>
  <c r="H229" i="3"/>
  <c r="I229" i="3"/>
  <c r="H225" i="3"/>
  <c r="I225" i="3"/>
  <c r="H525" i="3"/>
  <c r="I525" i="3"/>
  <c r="H221" i="3"/>
  <c r="I221" i="3"/>
  <c r="H824" i="3"/>
  <c r="I824" i="3"/>
  <c r="H819" i="3"/>
  <c r="I819" i="3"/>
  <c r="H544" i="3"/>
  <c r="I544" i="3"/>
  <c r="H725" i="3"/>
  <c r="I725" i="3"/>
  <c r="H238" i="3"/>
  <c r="I238" i="3"/>
  <c r="H245" i="3"/>
  <c r="I245" i="3"/>
  <c r="H20" i="3"/>
  <c r="I20" i="3"/>
  <c r="H806" i="3"/>
  <c r="I806" i="3"/>
  <c r="H882" i="3"/>
  <c r="I882" i="3"/>
  <c r="H946" i="3"/>
  <c r="I946" i="3"/>
  <c r="H322" i="3"/>
  <c r="I322" i="3"/>
  <c r="H826" i="3"/>
  <c r="I826" i="3"/>
  <c r="H176" i="3"/>
  <c r="I176" i="3"/>
  <c r="H97" i="3"/>
  <c r="I97" i="3"/>
  <c r="H306" i="3"/>
  <c r="I306" i="3"/>
  <c r="H942" i="3"/>
  <c r="I942" i="3"/>
  <c r="H628" i="3"/>
  <c r="I628" i="3"/>
  <c r="H600" i="3"/>
  <c r="I600" i="3"/>
  <c r="H820" i="3"/>
  <c r="I820" i="3"/>
  <c r="H447" i="3"/>
  <c r="I447" i="3"/>
  <c r="H502" i="3"/>
  <c r="I502" i="3"/>
  <c r="H483" i="3"/>
  <c r="I483" i="3"/>
  <c r="H664" i="3"/>
  <c r="I664" i="3"/>
  <c r="H40" i="3"/>
  <c r="I40" i="3"/>
  <c r="H170" i="3"/>
  <c r="I170" i="3"/>
  <c r="H638" i="3"/>
  <c r="I638" i="3"/>
  <c r="H75" i="3"/>
  <c r="I75" i="3"/>
  <c r="H100" i="3"/>
  <c r="I100" i="3"/>
  <c r="H662" i="3"/>
  <c r="I662" i="3"/>
  <c r="H195" i="3"/>
  <c r="I195" i="3"/>
  <c r="H477" i="3"/>
  <c r="I477" i="3"/>
  <c r="H470" i="3"/>
  <c r="I470" i="3"/>
  <c r="H377" i="3"/>
  <c r="I377" i="3"/>
  <c r="H905" i="3"/>
  <c r="I905" i="3"/>
  <c r="H695" i="3"/>
  <c r="I695" i="3"/>
  <c r="H799" i="3"/>
  <c r="I799" i="3"/>
  <c r="H594" i="3"/>
  <c r="I594" i="3"/>
  <c r="H549" i="3"/>
  <c r="I549" i="3"/>
  <c r="H816" i="3"/>
  <c r="I816" i="3"/>
  <c r="H303" i="3"/>
  <c r="I303" i="3"/>
  <c r="H240" i="3"/>
  <c r="I240" i="3"/>
  <c r="H639" i="3"/>
  <c r="I639" i="3"/>
  <c r="H264" i="3"/>
  <c r="I264" i="3"/>
  <c r="H194" i="3"/>
  <c r="I194" i="3"/>
  <c r="H361" i="3"/>
  <c r="I361" i="3"/>
  <c r="H817" i="3"/>
  <c r="I817" i="3"/>
  <c r="H26" i="3"/>
  <c r="I26" i="3"/>
  <c r="H135" i="3"/>
  <c r="I135" i="3"/>
  <c r="H934" i="3"/>
  <c r="I934" i="3"/>
  <c r="H789" i="3"/>
  <c r="I789" i="3"/>
  <c r="H906" i="3"/>
  <c r="I906" i="3"/>
  <c r="H317" i="3"/>
  <c r="I317" i="3"/>
  <c r="H173" i="3"/>
  <c r="I173" i="3"/>
  <c r="H53" i="3"/>
  <c r="I53" i="3"/>
  <c r="H518" i="3"/>
  <c r="I518" i="3"/>
  <c r="H480" i="3"/>
  <c r="I480" i="3"/>
  <c r="H125" i="3"/>
  <c r="I125" i="3"/>
  <c r="H43" i="3"/>
  <c r="I43" i="3"/>
  <c r="H593" i="3"/>
  <c r="I593" i="3"/>
  <c r="H425" i="3"/>
  <c r="I425" i="3"/>
  <c r="H649" i="3"/>
  <c r="I649" i="3"/>
  <c r="H624" i="3"/>
  <c r="I624" i="3"/>
  <c r="H24" i="3"/>
  <c r="I24" i="3"/>
  <c r="H226" i="3"/>
  <c r="I226" i="3"/>
  <c r="H754" i="3"/>
  <c r="I754" i="3"/>
  <c r="H688" i="3"/>
  <c r="I688" i="3"/>
  <c r="H790" i="3"/>
  <c r="I790" i="3"/>
  <c r="H180" i="3"/>
  <c r="I180" i="3"/>
  <c r="H599" i="3"/>
  <c r="I599" i="3"/>
  <c r="H873" i="3"/>
  <c r="I873" i="3"/>
  <c r="H643" i="3"/>
  <c r="I643" i="3"/>
  <c r="H892" i="3"/>
  <c r="I892" i="3"/>
  <c r="H642" i="3"/>
  <c r="I642" i="3"/>
  <c r="H661" i="3"/>
  <c r="I661" i="3"/>
  <c r="H542" i="3"/>
  <c r="I542" i="3"/>
  <c r="H31" i="3"/>
  <c r="I31" i="3"/>
  <c r="H508" i="3"/>
  <c r="I508" i="3"/>
  <c r="H509" i="3"/>
  <c r="I509" i="3"/>
  <c r="H539" i="3"/>
  <c r="I539" i="3"/>
  <c r="H678" i="3"/>
  <c r="I678" i="3"/>
  <c r="H712" i="3"/>
  <c r="I712" i="3"/>
  <c r="H28" i="3"/>
  <c r="I28" i="3"/>
  <c r="H613" i="3"/>
  <c r="I613" i="3"/>
  <c r="H738" i="3"/>
  <c r="I738" i="3"/>
  <c r="H950" i="3"/>
  <c r="I950" i="3"/>
  <c r="H608" i="3"/>
  <c r="I608" i="3"/>
  <c r="H829" i="3"/>
  <c r="I829" i="3"/>
  <c r="H457" i="3"/>
  <c r="I457" i="3"/>
  <c r="H895" i="3"/>
  <c r="I895" i="3"/>
  <c r="H723" i="3"/>
  <c r="I723" i="3"/>
  <c r="H213" i="3"/>
  <c r="I213" i="3"/>
  <c r="H691" i="3"/>
  <c r="I691" i="3"/>
  <c r="H242" i="3"/>
  <c r="I242" i="3"/>
  <c r="H698" i="3"/>
  <c r="I698" i="3"/>
  <c r="H667" i="3"/>
  <c r="I667" i="3"/>
  <c r="H833" i="3"/>
  <c r="I833" i="3"/>
  <c r="H534" i="3"/>
  <c r="I534" i="3"/>
  <c r="H583" i="3"/>
  <c r="I583" i="3"/>
  <c r="H602" i="3"/>
  <c r="I602" i="3"/>
  <c r="H312" i="3"/>
  <c r="I312" i="3"/>
  <c r="H494" i="3"/>
  <c r="I494" i="3"/>
  <c r="H571" i="3"/>
  <c r="I571" i="3"/>
  <c r="H358" i="3"/>
  <c r="I358" i="3"/>
  <c r="H784" i="3"/>
  <c r="I784" i="3"/>
  <c r="H948" i="3"/>
  <c r="I948" i="3"/>
  <c r="H576" i="3"/>
  <c r="I576" i="3"/>
  <c r="H111" i="3"/>
  <c r="I111" i="3"/>
  <c r="H803" i="3"/>
  <c r="I803" i="3"/>
  <c r="H657" i="3"/>
  <c r="I657" i="3"/>
  <c r="H328" i="3"/>
  <c r="I328" i="3"/>
  <c r="H294" i="3"/>
  <c r="I294" i="3"/>
  <c r="H37" i="3"/>
  <c r="I37" i="3"/>
  <c r="H134" i="3"/>
  <c r="I134" i="3"/>
  <c r="H877" i="3"/>
  <c r="I877" i="3"/>
  <c r="H107" i="3"/>
  <c r="I107" i="3"/>
  <c r="H316" i="3"/>
  <c r="I316" i="3"/>
  <c r="H778" i="3"/>
  <c r="I778" i="3"/>
  <c r="H382" i="3"/>
  <c r="I382" i="3"/>
  <c r="H504" i="3"/>
  <c r="I504" i="3"/>
  <c r="H708" i="3"/>
  <c r="I708" i="3"/>
  <c r="H931" i="3"/>
  <c r="I931" i="3"/>
  <c r="H828" i="3"/>
  <c r="I828" i="3"/>
  <c r="H881" i="3"/>
  <c r="I881" i="3"/>
  <c r="H557" i="3"/>
  <c r="I557" i="3"/>
  <c r="H896" i="3"/>
  <c r="I896" i="3"/>
  <c r="H810" i="3"/>
  <c r="I810" i="3"/>
  <c r="H592" i="3"/>
  <c r="I592" i="3"/>
  <c r="H186" i="3"/>
  <c r="I186" i="3"/>
  <c r="H793" i="3"/>
  <c r="I793" i="3"/>
  <c r="H704" i="3"/>
  <c r="I704" i="3"/>
  <c r="H755" i="3"/>
  <c r="I755" i="3"/>
  <c r="H902" i="3"/>
  <c r="I902" i="3"/>
  <c r="H497" i="3"/>
  <c r="I497" i="3"/>
  <c r="H487" i="3"/>
  <c r="I487" i="3"/>
  <c r="H894" i="3"/>
  <c r="I894" i="3"/>
  <c r="H333" i="3"/>
  <c r="I333" i="3"/>
  <c r="H359" i="3"/>
  <c r="I359" i="3"/>
  <c r="H918" i="3"/>
  <c r="I918" i="3"/>
  <c r="H786" i="3"/>
  <c r="I786" i="3"/>
  <c r="H305" i="3"/>
  <c r="I305" i="3"/>
  <c r="H622" i="3"/>
  <c r="I622" i="3"/>
  <c r="H272" i="3"/>
  <c r="I272" i="3"/>
  <c r="H575" i="3"/>
  <c r="I575" i="3"/>
  <c r="H798" i="3"/>
  <c r="I798" i="3"/>
  <c r="H871" i="3"/>
  <c r="I871" i="3"/>
  <c r="H515" i="3"/>
  <c r="I515" i="3"/>
  <c r="H822" i="3"/>
  <c r="I822" i="3"/>
  <c r="H236" i="3"/>
  <c r="I236" i="3"/>
  <c r="H606" i="3"/>
  <c r="I606" i="3"/>
  <c r="H501" i="3"/>
  <c r="I501" i="3"/>
  <c r="H175" i="3"/>
  <c r="I175" i="3"/>
  <c r="H177" i="3"/>
  <c r="I177" i="3"/>
  <c r="H162" i="3"/>
  <c r="I162" i="3"/>
  <c r="H969" i="3"/>
  <c r="I969" i="3"/>
  <c r="H870" i="3"/>
  <c r="I870" i="3"/>
  <c r="H309" i="3"/>
  <c r="I309" i="3"/>
  <c r="H259" i="3"/>
  <c r="I259" i="3"/>
  <c r="H705" i="3"/>
  <c r="I705" i="3"/>
  <c r="H247" i="3"/>
  <c r="I247" i="3"/>
  <c r="H214" i="3"/>
  <c r="I214" i="3"/>
  <c r="H910" i="3"/>
  <c r="I910" i="3"/>
  <c r="H64" i="3"/>
  <c r="I64" i="3"/>
  <c r="H506" i="3"/>
  <c r="I506" i="3"/>
  <c r="H104" i="3"/>
  <c r="I104" i="3"/>
  <c r="H597" i="3"/>
  <c r="I597" i="3"/>
  <c r="H916" i="3"/>
  <c r="I916" i="3"/>
  <c r="H422" i="3"/>
  <c r="I422" i="3"/>
  <c r="H157" i="3"/>
  <c r="I157" i="3"/>
  <c r="H122" i="3"/>
  <c r="I122" i="3"/>
  <c r="H257" i="3"/>
  <c r="I257" i="3"/>
  <c r="H618" i="3"/>
  <c r="I618" i="3"/>
  <c r="H666" i="3"/>
  <c r="I666" i="3"/>
  <c r="H41" i="3"/>
  <c r="I41" i="3"/>
  <c r="H771" i="3"/>
  <c r="I771" i="3"/>
  <c r="H869" i="3"/>
  <c r="I869" i="3"/>
  <c r="H751" i="3"/>
  <c r="I751" i="3"/>
  <c r="H367" i="3"/>
  <c r="I367" i="3"/>
  <c r="H574" i="3"/>
  <c r="I574" i="3"/>
  <c r="H493" i="3"/>
  <c r="I493" i="3"/>
  <c r="H84" i="3"/>
  <c r="I84" i="3"/>
  <c r="H587" i="3"/>
  <c r="I587" i="3"/>
  <c r="H344" i="3"/>
  <c r="I344" i="3"/>
  <c r="H491" i="3"/>
  <c r="I491" i="3"/>
  <c r="H7" i="3"/>
  <c r="I7" i="3"/>
  <c r="H609" i="3"/>
  <c r="I609" i="3"/>
  <c r="H337" i="3"/>
  <c r="I337" i="3"/>
  <c r="H651" i="3"/>
  <c r="I651" i="3"/>
  <c r="H658" i="3"/>
  <c r="I658" i="3"/>
  <c r="H124" i="3"/>
  <c r="I124" i="3"/>
  <c r="H11" i="3"/>
  <c r="I11" i="3"/>
  <c r="H783" i="3"/>
  <c r="I783" i="3"/>
  <c r="H954" i="3"/>
  <c r="I954" i="3"/>
  <c r="H832" i="3"/>
  <c r="I832" i="3"/>
  <c r="H652" i="3"/>
  <c r="I652" i="3"/>
  <c r="H610" i="3"/>
  <c r="I610" i="3"/>
  <c r="H900" i="3"/>
  <c r="I900" i="3"/>
  <c r="H401" i="3"/>
  <c r="I401" i="3"/>
  <c r="H982" i="3"/>
  <c r="I982" i="3"/>
  <c r="H387" i="3"/>
  <c r="I387" i="3"/>
  <c r="H211" i="3"/>
  <c r="I211" i="3"/>
  <c r="H277" i="3"/>
  <c r="I277" i="3"/>
  <c r="H313" i="3"/>
  <c r="I313" i="3"/>
  <c r="H273" i="3"/>
  <c r="I273" i="3"/>
  <c r="H653" i="3"/>
  <c r="I653" i="3"/>
  <c r="H791" i="3"/>
  <c r="I791" i="3"/>
  <c r="H656" i="3"/>
  <c r="I656" i="3"/>
  <c r="H811" i="3"/>
  <c r="I811" i="3"/>
  <c r="H861" i="3"/>
  <c r="I861" i="3"/>
  <c r="H511" i="3"/>
  <c r="I511" i="3"/>
  <c r="H886" i="3"/>
  <c r="I886" i="3"/>
  <c r="H985" i="3"/>
  <c r="I985" i="3"/>
  <c r="H319" i="3"/>
  <c r="I319" i="3"/>
  <c r="H505" i="3"/>
  <c r="I505" i="3"/>
  <c r="H488" i="3"/>
  <c r="I488" i="3"/>
  <c r="H270" i="3"/>
  <c r="I270" i="3"/>
  <c r="H516" i="3"/>
  <c r="I516" i="3"/>
  <c r="D674" i="3"/>
  <c r="C671" i="3"/>
  <c r="D603" i="3"/>
  <c r="C81" i="3"/>
  <c r="D415" i="3"/>
  <c r="C261" i="3"/>
  <c r="D938" i="3"/>
  <c r="C151" i="3"/>
  <c r="D287" i="3"/>
  <c r="C161" i="3"/>
  <c r="D73" i="3"/>
  <c r="C80" i="3"/>
  <c r="D848" i="3"/>
  <c r="C32" i="3"/>
  <c r="D188" i="3"/>
  <c r="C679" i="3"/>
  <c r="D834" i="3"/>
  <c r="C35" i="3"/>
  <c r="D680" i="3"/>
  <c r="C3" i="3"/>
  <c r="D681" i="3"/>
  <c r="C199" i="3"/>
  <c r="D168" i="3"/>
  <c r="C129" i="3"/>
  <c r="D284" i="3"/>
  <c r="C566" i="3"/>
  <c r="D915" i="3"/>
  <c r="C825" i="3"/>
  <c r="D144" i="3"/>
  <c r="C482" i="3"/>
  <c r="D612" i="3"/>
  <c r="C325" i="3"/>
  <c r="D773" i="3"/>
  <c r="C517" i="3"/>
  <c r="D611" i="3"/>
  <c r="C397" i="3"/>
  <c r="D891" i="3"/>
  <c r="C836" i="3"/>
  <c r="D114" i="3"/>
  <c r="C44" i="3"/>
  <c r="D770" i="3"/>
  <c r="C951" i="3"/>
  <c r="D354" i="3"/>
  <c r="C734" i="3"/>
  <c r="D282" i="3"/>
  <c r="C735" i="3"/>
  <c r="D406" i="3"/>
  <c r="C775" i="3"/>
  <c r="D132" i="3"/>
  <c r="C854" i="3"/>
  <c r="D131" i="3"/>
  <c r="C499" i="3"/>
  <c r="D453" i="3"/>
  <c r="C857" i="3"/>
  <c r="D231" i="3"/>
  <c r="C91" i="3"/>
  <c r="D271" i="3"/>
  <c r="C955" i="3"/>
  <c r="D400" i="3"/>
  <c r="C93" i="3"/>
  <c r="D52" i="3"/>
  <c r="C49" i="3"/>
  <c r="D709" i="3"/>
  <c r="C263" i="3"/>
  <c r="D697" i="3"/>
  <c r="C21" i="3"/>
  <c r="D797" i="3"/>
  <c r="C372" i="3"/>
  <c r="D693" i="3"/>
  <c r="C805" i="3"/>
  <c r="D149" i="3"/>
  <c r="C371" i="3"/>
  <c r="D917" i="3"/>
  <c r="D671" i="3"/>
  <c r="C731" i="3"/>
  <c r="D81" i="3"/>
  <c r="C89" i="3"/>
  <c r="D261" i="3"/>
  <c r="C408" i="3"/>
  <c r="D151" i="3"/>
  <c r="C514" i="3"/>
  <c r="D161" i="3"/>
  <c r="C200" i="3"/>
  <c r="D80" i="3"/>
  <c r="C973" i="3"/>
  <c r="D32" i="3"/>
  <c r="C732" i="3"/>
  <c r="D679" i="3"/>
  <c r="C561" i="3"/>
  <c r="D35" i="3"/>
  <c r="C684" i="3"/>
  <c r="D3" i="3"/>
  <c r="C443" i="3"/>
  <c r="D199" i="3"/>
  <c r="C212" i="3"/>
  <c r="D129" i="3"/>
  <c r="C635" i="3"/>
  <c r="D566" i="3"/>
  <c r="C604" i="3"/>
  <c r="D825" i="3"/>
  <c r="C300" i="3"/>
  <c r="D482" i="3"/>
  <c r="C304" i="3"/>
  <c r="D325" i="3"/>
  <c r="C838" i="3"/>
  <c r="D517" i="3"/>
  <c r="C56" i="3"/>
  <c r="D397" i="3"/>
  <c r="C419" i="3"/>
  <c r="D836" i="3"/>
  <c r="C420" i="3"/>
  <c r="D44" i="3"/>
  <c r="C837" i="3"/>
  <c r="D951" i="3"/>
  <c r="C944" i="3"/>
  <c r="D734" i="3"/>
  <c r="C733" i="3"/>
  <c r="D735" i="3"/>
  <c r="C136" i="3"/>
  <c r="D775" i="3"/>
  <c r="C451" i="3"/>
  <c r="D854" i="3"/>
  <c r="C690" i="3"/>
  <c r="D499" i="3"/>
  <c r="C616" i="3"/>
  <c r="D857" i="3"/>
  <c r="C92" i="3"/>
  <c r="D91" i="3"/>
  <c r="C774" i="3"/>
  <c r="D955" i="3"/>
  <c r="C619" i="3"/>
  <c r="D93" i="3"/>
  <c r="C413" i="3"/>
  <c r="D49" i="3"/>
  <c r="C788" i="3"/>
  <c r="D263" i="3"/>
  <c r="C54" i="3"/>
  <c r="D21" i="3"/>
  <c r="C570" i="3"/>
  <c r="D372" i="3"/>
  <c r="C407" i="3"/>
  <c r="D805" i="3"/>
  <c r="C438" i="3"/>
  <c r="D371" i="3"/>
  <c r="C960" i="3"/>
  <c r="C341" i="3"/>
  <c r="D675" i="3"/>
  <c r="C607" i="3"/>
  <c r="D6" i="3"/>
  <c r="D408" i="3"/>
  <c r="C729" i="3"/>
  <c r="C629" i="3"/>
  <c r="D513" i="3"/>
  <c r="C937" i="3"/>
  <c r="D850" i="3"/>
  <c r="D732" i="3"/>
  <c r="C849" i="3"/>
  <c r="C279" i="3"/>
  <c r="D38" i="3"/>
  <c r="C223" i="3"/>
  <c r="D564" i="3"/>
  <c r="D212" i="3"/>
  <c r="C349" i="3"/>
  <c r="C165" i="3"/>
  <c r="D215" i="3"/>
  <c r="C145" i="3"/>
  <c r="D921" i="3"/>
  <c r="D304" i="3"/>
  <c r="C405" i="3"/>
  <c r="C568" i="3"/>
  <c r="D890" i="3"/>
  <c r="C115" i="3"/>
  <c r="D113" i="3"/>
  <c r="D420" i="3"/>
  <c r="C39" i="3"/>
  <c r="C780" i="3"/>
  <c r="D158" i="3"/>
  <c r="C943" i="3"/>
  <c r="D448" i="3"/>
  <c r="D136" i="3"/>
  <c r="C283" i="3"/>
  <c r="C901" i="3"/>
  <c r="D687" i="3"/>
  <c r="C777" i="3"/>
  <c r="D782" i="3"/>
  <c r="D92" i="3"/>
  <c r="C781" i="3"/>
  <c r="C940" i="3"/>
  <c r="D529" i="3"/>
  <c r="C911" i="3"/>
  <c r="D50" i="3"/>
  <c r="D788" i="3"/>
  <c r="C47" i="3"/>
  <c r="C912" i="3"/>
  <c r="D308" i="3"/>
  <c r="C913" i="3"/>
  <c r="D532" i="3"/>
  <c r="D438" i="3"/>
  <c r="C150" i="3"/>
  <c r="C625" i="3"/>
  <c r="D51" i="3"/>
  <c r="C364" i="3"/>
  <c r="D589" i="3"/>
  <c r="C442" i="3"/>
  <c r="D266" i="3"/>
  <c r="C736" i="3"/>
  <c r="D174" i="3"/>
  <c r="C456" i="3"/>
  <c r="D740" i="3"/>
  <c r="C863" i="3"/>
  <c r="D573" i="3"/>
  <c r="C140" i="3"/>
  <c r="D742" i="3"/>
  <c r="C986" i="3"/>
  <c r="D864" i="3"/>
  <c r="C402" i="3"/>
  <c r="D646" i="3"/>
  <c r="C207" i="3"/>
  <c r="D391" i="3"/>
  <c r="C632" i="3"/>
  <c r="D341" i="3"/>
  <c r="C603" i="3"/>
  <c r="C528" i="3"/>
  <c r="D607" i="3"/>
  <c r="C412" i="3"/>
  <c r="D729" i="3"/>
  <c r="D629" i="3"/>
  <c r="C73" i="3"/>
  <c r="C299" i="3"/>
  <c r="D937" i="3"/>
  <c r="C763" i="3"/>
  <c r="D849" i="3"/>
  <c r="D279" i="3"/>
  <c r="C680" i="3"/>
  <c r="C203" i="3"/>
  <c r="D223" i="3"/>
  <c r="C36" i="3"/>
  <c r="D349" i="3"/>
  <c r="D165" i="3"/>
  <c r="C915" i="3"/>
  <c r="C167" i="3"/>
  <c r="D145" i="3"/>
  <c r="C548" i="3"/>
  <c r="D405" i="3"/>
  <c r="D568" i="3"/>
  <c r="C611" i="3"/>
  <c r="C352" i="3"/>
  <c r="D115" i="3"/>
  <c r="C183" i="3"/>
  <c r="D39" i="3"/>
  <c r="D780" i="3"/>
  <c r="C354" i="3"/>
  <c r="C94" i="3"/>
  <c r="D943" i="3"/>
  <c r="C116" i="3"/>
  <c r="D283" i="3"/>
  <c r="D901" i="3"/>
  <c r="C131" i="3"/>
  <c r="C947" i="3"/>
  <c r="D777" i="3"/>
  <c r="C484" i="3"/>
  <c r="D781" i="3"/>
  <c r="D940" i="3"/>
  <c r="C400" i="3"/>
  <c r="C964" i="3"/>
  <c r="D911" i="3"/>
  <c r="C120" i="3"/>
  <c r="D47" i="3"/>
  <c r="D912" i="3"/>
  <c r="C797" i="3"/>
  <c r="C748" i="3"/>
  <c r="D913" i="3"/>
  <c r="C455" i="3"/>
  <c r="D150" i="3"/>
  <c r="D625" i="3"/>
  <c r="C362" i="3"/>
  <c r="D364" i="3"/>
  <c r="C323" i="3"/>
  <c r="D442" i="3"/>
  <c r="C310" i="3"/>
  <c r="D736" i="3"/>
  <c r="C55" i="3"/>
  <c r="D456" i="3"/>
  <c r="C368" i="3"/>
  <c r="D863" i="3"/>
  <c r="C867" i="3"/>
  <c r="D140" i="3"/>
  <c r="C23" i="3"/>
  <c r="D986" i="3"/>
  <c r="C46" i="3"/>
  <c r="D402" i="3"/>
  <c r="C703" i="3"/>
  <c r="D207" i="3"/>
  <c r="D731" i="3"/>
  <c r="D82" i="3"/>
  <c r="D560" i="3"/>
  <c r="C411" i="3"/>
  <c r="D514" i="3"/>
  <c r="D669" i="3"/>
  <c r="C767" i="3"/>
  <c r="D299" i="3"/>
  <c r="C846" i="3"/>
  <c r="C958" i="3"/>
  <c r="D763" i="3"/>
  <c r="C396" i="3"/>
  <c r="C347" i="3"/>
  <c r="C899" i="3"/>
  <c r="C179" i="3"/>
  <c r="C665" i="3"/>
  <c r="D300" i="3"/>
  <c r="D350" i="3"/>
  <c r="D56" i="3"/>
  <c r="D418" i="3"/>
  <c r="D262" i="3"/>
  <c r="C398" i="3"/>
  <c r="D837" i="3"/>
  <c r="D302" i="3"/>
  <c r="C280" i="3"/>
  <c r="D94" i="3"/>
  <c r="C42" i="3"/>
  <c r="C8" i="3"/>
  <c r="D116" i="3"/>
  <c r="C246" i="3"/>
  <c r="C452" i="3"/>
  <c r="C779" i="3"/>
  <c r="C230" i="3"/>
  <c r="C119" i="3"/>
  <c r="D413" i="3"/>
  <c r="D121" i="3"/>
  <c r="D570" i="3"/>
  <c r="D22" i="3"/>
  <c r="D286" i="3"/>
  <c r="C862" i="3"/>
  <c r="D960" i="3"/>
  <c r="D634" i="3"/>
  <c r="C893" i="3"/>
  <c r="D363" i="3"/>
  <c r="D310" i="3"/>
  <c r="C926" i="3"/>
  <c r="C617" i="3"/>
  <c r="D458" i="3"/>
  <c r="C866" i="3"/>
  <c r="D555" i="3"/>
  <c r="D23" i="3"/>
  <c r="C315" i="3"/>
  <c r="C57" i="3"/>
  <c r="D927" i="3"/>
  <c r="D461" i="3"/>
  <c r="C562" i="3"/>
  <c r="D835" i="3"/>
  <c r="C633" i="3"/>
  <c r="D318" i="3"/>
  <c r="C255" i="3"/>
  <c r="D431" i="3"/>
  <c r="C914" i="3"/>
  <c r="D153" i="3"/>
  <c r="C747" i="3"/>
  <c r="D749" i="3"/>
  <c r="C746" i="3"/>
  <c r="D154" i="3"/>
  <c r="C239" i="3"/>
  <c r="D988" i="3"/>
  <c r="C403" i="3"/>
  <c r="D498" i="3"/>
  <c r="C538" i="3"/>
  <c r="D904" i="3"/>
  <c r="C464" i="3"/>
  <c r="D249" i="3"/>
  <c r="C839" i="3"/>
  <c r="D291" i="3"/>
  <c r="C433" i="3"/>
  <c r="D956" i="3"/>
  <c r="C375" i="3"/>
  <c r="D321" i="3"/>
  <c r="C987" i="3"/>
  <c r="D112" i="3"/>
  <c r="C62" i="3"/>
  <c r="D141" i="3"/>
  <c r="C102" i="3"/>
  <c r="D404" i="3"/>
  <c r="C394" i="3"/>
  <c r="D879" i="3"/>
  <c r="C980" i="3"/>
  <c r="D292" i="3"/>
  <c r="C840" i="3"/>
  <c r="D378" i="3"/>
  <c r="C307" i="3"/>
  <c r="D189" i="3"/>
  <c r="C103" i="3"/>
  <c r="D285" i="3"/>
  <c r="C4" i="3"/>
  <c r="D580" i="3"/>
  <c r="C106" i="3"/>
  <c r="D252" i="3"/>
  <c r="C281" i="3"/>
  <c r="D750" i="3"/>
  <c r="C196" i="3"/>
  <c r="D841" i="3"/>
  <c r="C164" i="3"/>
  <c r="D953" i="3"/>
  <c r="C930" i="3"/>
  <c r="D190" i="3"/>
  <c r="C952" i="3"/>
  <c r="D133" i="3"/>
  <c r="C503" i="3"/>
  <c r="D66" i="3"/>
  <c r="C677" i="3"/>
  <c r="D381" i="3"/>
  <c r="C660" i="3"/>
  <c r="D855" i="3"/>
  <c r="C802" i="3"/>
  <c r="D395" i="3"/>
  <c r="C821" i="3"/>
  <c r="D327" i="3"/>
  <c r="C535" i="3"/>
  <c r="D192" i="3"/>
  <c r="C109" i="3"/>
  <c r="D909" i="3"/>
  <c r="C148" i="3"/>
  <c r="D339" i="3"/>
  <c r="C759" i="3"/>
  <c r="D843" i="3"/>
  <c r="C556" i="3"/>
  <c r="D248" i="3"/>
  <c r="C670" i="3"/>
  <c r="D962" i="3"/>
  <c r="C702" i="3"/>
  <c r="D722" i="3"/>
  <c r="C492" i="3"/>
  <c r="D423" i="3"/>
  <c r="C621" i="3"/>
  <c r="D615" i="3"/>
  <c r="C856" i="3"/>
  <c r="D808" i="3"/>
  <c r="C123" i="3"/>
  <c r="D88" i="3"/>
  <c r="C939" i="3"/>
  <c r="C415" i="3"/>
  <c r="D411" i="3"/>
  <c r="D767" i="3"/>
  <c r="D846" i="3"/>
  <c r="D958" i="3"/>
  <c r="D396" i="3"/>
  <c r="C38" i="3"/>
  <c r="D347" i="3"/>
  <c r="D899" i="3"/>
  <c r="C564" i="3"/>
  <c r="D179" i="3"/>
  <c r="C19" i="3"/>
  <c r="C284" i="3"/>
  <c r="D665" i="3"/>
  <c r="C924" i="3"/>
  <c r="C521" i="3"/>
  <c r="C612" i="3"/>
  <c r="C776" i="3"/>
  <c r="C891" i="3"/>
  <c r="D398" i="3"/>
  <c r="D280" i="3"/>
  <c r="D42" i="3"/>
  <c r="D8" i="3"/>
  <c r="D246" i="3"/>
  <c r="C687" i="3"/>
  <c r="D452" i="3"/>
  <c r="D779" i="3"/>
  <c r="C782" i="3"/>
  <c r="D230" i="3"/>
  <c r="C585" i="3"/>
  <c r="C271" i="3"/>
  <c r="D119" i="3"/>
  <c r="C552" i="3"/>
  <c r="C58" i="3"/>
  <c r="C709" i="3"/>
  <c r="C5" i="3"/>
  <c r="C693" i="3"/>
  <c r="D862" i="3"/>
  <c r="C51" i="3"/>
  <c r="C858" i="3"/>
  <c r="D893" i="3"/>
  <c r="C76" i="3"/>
  <c r="D926" i="3"/>
  <c r="D617" i="3"/>
  <c r="C740" i="3"/>
  <c r="C489" i="3"/>
  <c r="D866" i="3"/>
  <c r="C959" i="3"/>
  <c r="D315" i="3"/>
  <c r="D57" i="3"/>
  <c r="C646" i="3"/>
  <c r="C766" i="3"/>
  <c r="C872" i="3"/>
  <c r="C243" i="3"/>
  <c r="C426" i="3"/>
  <c r="D562" i="3"/>
  <c r="C166" i="3"/>
  <c r="D633" i="3"/>
  <c r="C963" i="3"/>
  <c r="D255" i="3"/>
  <c r="C462" i="3"/>
  <c r="D914" i="3"/>
  <c r="C77" i="3"/>
  <c r="D747" i="3"/>
  <c r="C429" i="3"/>
  <c r="D746" i="3"/>
  <c r="C127" i="3"/>
  <c r="D239" i="3"/>
  <c r="C572" i="3"/>
  <c r="D403" i="3"/>
  <c r="C965" i="3"/>
  <c r="D538" i="3"/>
  <c r="C596" i="3"/>
  <c r="D464" i="3"/>
  <c r="C966" i="3"/>
  <c r="D839" i="3"/>
  <c r="C228" i="3"/>
  <c r="D433" i="3"/>
  <c r="C465" i="3"/>
  <c r="D375" i="3"/>
  <c r="C700" i="3"/>
  <c r="D987" i="3"/>
  <c r="C128" i="3"/>
  <c r="D62" i="3"/>
  <c r="C878" i="3"/>
  <c r="D102" i="3"/>
  <c r="C258" i="3"/>
  <c r="D394" i="3"/>
  <c r="C792" i="3"/>
  <c r="D980" i="3"/>
  <c r="C752" i="3"/>
  <c r="D840" i="3"/>
  <c r="C437" i="3"/>
  <c r="D307" i="3"/>
  <c r="C276" i="3"/>
  <c r="D103" i="3"/>
  <c r="C933" i="3"/>
  <c r="D4" i="3"/>
  <c r="C441" i="3"/>
  <c r="D106" i="3"/>
  <c r="C469" i="3"/>
  <c r="D281" i="3"/>
  <c r="C296" i="3"/>
  <c r="D196" i="3"/>
  <c r="C468" i="3"/>
  <c r="D164" i="3"/>
  <c r="C844" i="3"/>
  <c r="D930" i="3"/>
  <c r="C719" i="3"/>
  <c r="D952" i="3"/>
  <c r="C380" i="3"/>
  <c r="D503" i="3"/>
  <c r="C815" i="3"/>
  <c r="D677" i="3"/>
  <c r="C884" i="3"/>
  <c r="D660" i="3"/>
  <c r="C588" i="3"/>
  <c r="D802" i="3"/>
  <c r="C16" i="3"/>
  <c r="D821" i="3"/>
  <c r="C885" i="3"/>
  <c r="D535" i="3"/>
  <c r="C384" i="3"/>
  <c r="D109" i="3"/>
  <c r="C385" i="3"/>
  <c r="D148" i="3"/>
  <c r="C654" i="3"/>
  <c r="D759" i="3"/>
  <c r="C659" i="3"/>
  <c r="D556" i="3"/>
  <c r="C197" i="3"/>
  <c r="D670" i="3"/>
  <c r="C706" i="3"/>
  <c r="D702" i="3"/>
  <c r="C761" i="3"/>
  <c r="D492" i="3"/>
  <c r="C233" i="3"/>
  <c r="D621" i="3"/>
  <c r="C579" i="3"/>
  <c r="D856" i="3"/>
  <c r="C512" i="3"/>
  <c r="D123" i="3"/>
  <c r="C794" i="3"/>
  <c r="D939" i="3"/>
  <c r="C445" i="3"/>
  <c r="D89" i="3"/>
  <c r="C531" i="3"/>
  <c r="C845" i="3"/>
  <c r="D973" i="3"/>
  <c r="D601" i="3"/>
  <c r="C345" i="3"/>
  <c r="D443" i="3"/>
  <c r="D957" i="3"/>
  <c r="D36" i="3"/>
  <c r="C410" i="3"/>
  <c r="C847" i="3"/>
  <c r="D521" i="3"/>
  <c r="D548" i="3"/>
  <c r="C146" i="3"/>
  <c r="C686" i="3"/>
  <c r="D183" i="3"/>
  <c r="D944" i="3"/>
  <c r="C208" i="3"/>
  <c r="C244" i="3"/>
  <c r="D690" i="3"/>
  <c r="D947" i="3"/>
  <c r="C772" i="3"/>
  <c r="C421" i="3"/>
  <c r="D619" i="3"/>
  <c r="D964" i="3"/>
  <c r="C220" i="3"/>
  <c r="C414" i="3"/>
  <c r="C696" i="3"/>
  <c r="D748" i="3"/>
  <c r="C365" i="3"/>
  <c r="D362" i="3"/>
  <c r="D311" i="3"/>
  <c r="D699" i="3"/>
  <c r="C945" i="3"/>
  <c r="D55" i="3"/>
  <c r="D563" i="3"/>
  <c r="C739" i="3"/>
  <c r="D489" i="3"/>
  <c r="C237" i="3"/>
  <c r="C424" i="3"/>
  <c r="D959" i="3"/>
  <c r="C460" i="3"/>
  <c r="C744" i="3"/>
  <c r="C241" i="3"/>
  <c r="C25" i="3"/>
  <c r="D426" i="3"/>
  <c r="C427" i="3"/>
  <c r="C707" i="3"/>
  <c r="D977" i="3"/>
  <c r="C126" i="3"/>
  <c r="D627" i="3"/>
  <c r="D77" i="3"/>
  <c r="C330" i="3"/>
  <c r="C370" i="3"/>
  <c r="D812" i="3"/>
  <c r="C582" i="3"/>
  <c r="D567" i="3"/>
  <c r="D965" i="3"/>
  <c r="C118" i="3"/>
  <c r="C537" i="3"/>
  <c r="D932" i="3"/>
  <c r="C540" i="3"/>
  <c r="D968" i="3"/>
  <c r="D465" i="3"/>
  <c r="C374" i="3"/>
  <c r="C187" i="3"/>
  <c r="D522" i="3"/>
  <c r="C342" i="3"/>
  <c r="D865" i="3"/>
  <c r="D445" i="3"/>
  <c r="D531" i="3"/>
  <c r="C416" i="3"/>
  <c r="C669" i="3"/>
  <c r="D845" i="3"/>
  <c r="C201" i="3"/>
  <c r="C202" i="3"/>
  <c r="D345" i="3"/>
  <c r="C581" i="3"/>
  <c r="D410" i="3"/>
  <c r="D847" i="3"/>
  <c r="C773" i="3"/>
  <c r="D146" i="3"/>
  <c r="D686" i="3"/>
  <c r="C262" i="3"/>
  <c r="C770" i="3"/>
  <c r="D208" i="3"/>
  <c r="C232" i="3"/>
  <c r="D244" i="3"/>
  <c r="C132" i="3"/>
  <c r="C33" i="3"/>
  <c r="D772" i="3"/>
  <c r="D421" i="3"/>
  <c r="C50" i="3"/>
  <c r="D220" i="3"/>
  <c r="D414" i="3"/>
  <c r="D696" i="3"/>
  <c r="C532" i="3"/>
  <c r="C149" i="3"/>
  <c r="D365" i="3"/>
  <c r="C589" i="3"/>
  <c r="D945" i="3"/>
  <c r="D739" i="3"/>
  <c r="D237" i="3"/>
  <c r="D424" i="3"/>
  <c r="D460" i="3"/>
  <c r="C927" i="3"/>
  <c r="D744" i="3"/>
  <c r="D241" i="3"/>
  <c r="D25" i="3"/>
  <c r="C605" i="3"/>
  <c r="D427" i="3"/>
  <c r="D707" i="3"/>
  <c r="C318" i="3"/>
  <c r="C741" i="3"/>
  <c r="D126" i="3"/>
  <c r="C430" i="3"/>
  <c r="D330" i="3"/>
  <c r="D370" i="3"/>
  <c r="C154" i="3"/>
  <c r="C928" i="3"/>
  <c r="D582" i="3"/>
  <c r="C718" i="3"/>
  <c r="D118" i="3"/>
  <c r="D537" i="3"/>
  <c r="C249" i="3"/>
  <c r="C99" i="3"/>
  <c r="D540" i="3"/>
  <c r="C293" i="3"/>
  <c r="D374" i="3"/>
  <c r="D187" i="3"/>
  <c r="C112" i="3"/>
  <c r="C417" i="3"/>
  <c r="D342" i="3"/>
  <c r="C675" i="3"/>
  <c r="C82" i="3"/>
  <c r="D439" i="3"/>
  <c r="D219" i="3"/>
  <c r="C513" i="3"/>
  <c r="C730" i="3"/>
  <c r="C848" i="3"/>
  <c r="D278" i="3"/>
  <c r="C267" i="3"/>
  <c r="C681" i="3"/>
  <c r="D254" i="3"/>
  <c r="D979" i="3"/>
  <c r="C144" i="3"/>
  <c r="D85" i="3"/>
  <c r="C350" i="3"/>
  <c r="D172" i="3"/>
  <c r="D399" i="3"/>
  <c r="C967" i="3"/>
  <c r="C302" i="3"/>
  <c r="D860" i="3"/>
  <c r="C720" i="3"/>
  <c r="C163" i="3"/>
  <c r="D450" i="3"/>
  <c r="C620" i="3"/>
  <c r="D530" i="3"/>
  <c r="D785" i="3"/>
  <c r="C697" i="3"/>
  <c r="D269" i="3"/>
  <c r="D454" i="3"/>
  <c r="C286" i="3"/>
  <c r="C917" i="3"/>
  <c r="D288" i="3"/>
  <c r="D868" i="3"/>
  <c r="D565" i="3"/>
  <c r="D813" i="3"/>
  <c r="C458" i="3"/>
  <c r="D96" i="3"/>
  <c r="D142" i="3"/>
  <c r="C555" i="3"/>
  <c r="D181" i="3"/>
  <c r="C390" i="3"/>
  <c r="C864" i="3"/>
  <c r="D222" i="3"/>
  <c r="C929" i="3"/>
  <c r="D152" i="3"/>
  <c r="D743" i="3"/>
  <c r="C949" i="3"/>
  <c r="D428" i="3"/>
  <c r="D289" i="3"/>
  <c r="C431" i="3"/>
  <c r="C432" i="3"/>
  <c r="D147" i="3"/>
  <c r="C801" i="3"/>
  <c r="D745" i="3"/>
  <c r="D355" i="3"/>
  <c r="C988" i="3"/>
  <c r="C463" i="3"/>
  <c r="D876" i="3"/>
  <c r="C701" i="3"/>
  <c r="D874" i="3"/>
  <c r="D10" i="3"/>
  <c r="C291" i="3"/>
  <c r="C807" i="3"/>
  <c r="D466" i="3"/>
  <c r="C584" i="3"/>
  <c r="D971" i="3"/>
  <c r="D554" i="3"/>
  <c r="C141" i="3"/>
  <c r="C12" i="3"/>
  <c r="D356" i="3"/>
  <c r="C880" i="3"/>
  <c r="D295" i="3"/>
  <c r="D641" i="3"/>
  <c r="C378" i="3"/>
  <c r="C716" i="3"/>
  <c r="D275" i="3"/>
  <c r="C444" i="3"/>
  <c r="C287" i="3"/>
  <c r="C278" i="3"/>
  <c r="D267" i="3"/>
  <c r="C957" i="3"/>
  <c r="C979" i="3"/>
  <c r="D838" i="3"/>
  <c r="D351" i="3"/>
  <c r="D853" i="3"/>
  <c r="C682" i="3"/>
  <c r="C406" i="3"/>
  <c r="D616" i="3"/>
  <c r="D620" i="3"/>
  <c r="D48" i="3"/>
  <c r="C234" i="3"/>
  <c r="D851" i="3"/>
  <c r="C868" i="3"/>
  <c r="C181" i="3"/>
  <c r="D46" i="3"/>
  <c r="D703" i="3"/>
  <c r="D605" i="3"/>
  <c r="D963" i="3"/>
  <c r="D360" i="3"/>
  <c r="C147" i="3"/>
  <c r="D768" i="3"/>
  <c r="D801" i="3"/>
  <c r="D409" i="3"/>
  <c r="D536" i="3"/>
  <c r="C875" i="3"/>
  <c r="C393" i="3"/>
  <c r="C932" i="3"/>
  <c r="C71" i="3"/>
  <c r="C206" i="3"/>
  <c r="C321" i="3"/>
  <c r="D417" i="3"/>
  <c r="D972" i="3"/>
  <c r="C547" i="3"/>
  <c r="C637" i="3"/>
  <c r="C676" i="3"/>
  <c r="C275" i="3"/>
  <c r="C765" i="3"/>
  <c r="D883" i="3"/>
  <c r="D441" i="3"/>
  <c r="C388" i="3"/>
  <c r="C340" i="3"/>
  <c r="D434" i="3"/>
  <c r="C436" i="3"/>
  <c r="D672" i="3"/>
  <c r="D844" i="3"/>
  <c r="C524" i="3"/>
  <c r="C253" i="3"/>
  <c r="D640" i="3"/>
  <c r="C335" i="3"/>
  <c r="D159" i="3"/>
  <c r="D884" i="3"/>
  <c r="C17" i="3"/>
  <c r="C30" i="3"/>
  <c r="D721" i="3"/>
  <c r="C473" i="3"/>
  <c r="D79" i="3"/>
  <c r="D384" i="3"/>
  <c r="C475" i="3"/>
  <c r="C887" i="3"/>
  <c r="D823" i="3"/>
  <c r="C324" i="3"/>
  <c r="D476" i="3"/>
  <c r="D197" i="3"/>
  <c r="C689" i="3"/>
  <c r="C692" i="3"/>
  <c r="D831" i="3"/>
  <c r="C685" i="3"/>
  <c r="D110" i="3"/>
  <c r="D579" i="3"/>
  <c r="C95" i="3"/>
  <c r="C728" i="3"/>
  <c r="D83" i="3"/>
  <c r="C827" i="3"/>
  <c r="D478" i="3"/>
  <c r="C550" i="3"/>
  <c r="D715" i="3"/>
  <c r="C903" i="3"/>
  <c r="D78" i="3"/>
  <c r="C143" i="3"/>
  <c r="D139" i="3"/>
  <c r="C61" i="3"/>
  <c r="D519" i="3"/>
  <c r="C525" i="3"/>
  <c r="D725" i="3"/>
  <c r="C20" i="3"/>
  <c r="D826" i="3"/>
  <c r="C306" i="3"/>
  <c r="D447" i="3"/>
  <c r="C664" i="3"/>
  <c r="D100" i="3"/>
  <c r="C477" i="3"/>
  <c r="D799" i="3"/>
  <c r="C816" i="3"/>
  <c r="D194" i="3"/>
  <c r="C26" i="3"/>
  <c r="D317" i="3"/>
  <c r="C518" i="3"/>
  <c r="D425" i="3"/>
  <c r="C24" i="3"/>
  <c r="D180" i="3"/>
  <c r="C643" i="3"/>
  <c r="D31" i="3"/>
  <c r="C539" i="3"/>
  <c r="D738" i="3"/>
  <c r="C829" i="3"/>
  <c r="D691" i="3"/>
  <c r="C667" i="3"/>
  <c r="D312" i="3"/>
  <c r="C358" i="3"/>
  <c r="D803" i="3"/>
  <c r="C294" i="3"/>
  <c r="D316" i="3"/>
  <c r="C504" i="3"/>
  <c r="D557" i="3"/>
  <c r="C795" i="3"/>
  <c r="D444" i="3"/>
  <c r="C938" i="3"/>
  <c r="C673" i="3"/>
  <c r="C834" i="3"/>
  <c r="C254" i="3"/>
  <c r="C920" i="3"/>
  <c r="D924" i="3"/>
  <c r="C921" i="3"/>
  <c r="C172" i="3"/>
  <c r="D967" i="3"/>
  <c r="D682" i="3"/>
  <c r="C282" i="3"/>
  <c r="C485" i="3"/>
  <c r="C231" i="3"/>
  <c r="C785" i="3"/>
  <c r="C859" i="3"/>
  <c r="D5" i="3"/>
  <c r="C22" i="3"/>
  <c r="D234" i="3"/>
  <c r="C266" i="3"/>
  <c r="C174" i="3"/>
  <c r="C96" i="3"/>
  <c r="C152" i="3"/>
  <c r="C578" i="3"/>
  <c r="C835" i="3"/>
  <c r="D741" i="3"/>
  <c r="C355" i="3"/>
  <c r="D572" i="3"/>
  <c r="D463" i="3"/>
  <c r="D875" i="3"/>
  <c r="D393" i="3"/>
  <c r="C874" i="3"/>
  <c r="D71" i="3"/>
  <c r="C711" i="3"/>
  <c r="D206" i="3"/>
  <c r="C809" i="3"/>
  <c r="C541" i="3"/>
  <c r="C156" i="3"/>
  <c r="C865" i="3"/>
  <c r="C356" i="3"/>
  <c r="D547" i="3"/>
  <c r="D637" i="3"/>
  <c r="D676" i="3"/>
  <c r="C13" i="3"/>
  <c r="D765" i="3"/>
  <c r="C251" i="3"/>
  <c r="D388" i="3"/>
  <c r="D340" i="3"/>
  <c r="C750" i="3"/>
  <c r="C386" i="3"/>
  <c r="D436" i="3"/>
  <c r="C34" i="3"/>
  <c r="D524" i="3"/>
  <c r="D253" i="3"/>
  <c r="C133" i="3"/>
  <c r="C334" i="3"/>
  <c r="D335" i="3"/>
  <c r="C471" i="3"/>
  <c r="D17" i="3"/>
  <c r="D30" i="3"/>
  <c r="C395" i="3"/>
  <c r="C357" i="3"/>
  <c r="D473" i="3"/>
  <c r="C298" i="3"/>
  <c r="D475" i="3"/>
  <c r="D887" i="3"/>
  <c r="C339" i="3"/>
  <c r="C70" i="3"/>
  <c r="D324" i="3"/>
  <c r="C227" i="3"/>
  <c r="D689" i="3"/>
  <c r="D692" i="3"/>
  <c r="C722" i="3"/>
  <c r="C714" i="3"/>
  <c r="D685" i="3"/>
  <c r="C941" i="3"/>
  <c r="D95" i="3"/>
  <c r="D728" i="3"/>
  <c r="C88" i="3"/>
  <c r="D827" i="3"/>
  <c r="C348" i="3"/>
  <c r="D550" i="3"/>
  <c r="C975" i="3"/>
  <c r="D903" i="3"/>
  <c r="C852" i="3"/>
  <c r="D143" i="3"/>
  <c r="C14" i="3"/>
  <c r="D61" i="3"/>
  <c r="C235" i="3"/>
  <c r="D525" i="3"/>
  <c r="C819" i="3"/>
  <c r="D20" i="3"/>
  <c r="C946" i="3"/>
  <c r="D306" i="3"/>
  <c r="C600" i="3"/>
  <c r="D664" i="3"/>
  <c r="C638" i="3"/>
  <c r="D477" i="3"/>
  <c r="C905" i="3"/>
  <c r="D816" i="3"/>
  <c r="C639" i="3"/>
  <c r="D26" i="3"/>
  <c r="C789" i="3"/>
  <c r="D518" i="3"/>
  <c r="C43" i="3"/>
  <c r="D24" i="3"/>
  <c r="C688" i="3"/>
  <c r="D643" i="3"/>
  <c r="C661" i="3"/>
  <c r="D539" i="3"/>
  <c r="C28" i="3"/>
  <c r="D829" i="3"/>
  <c r="C723" i="3"/>
  <c r="D667" i="3"/>
  <c r="C583" i="3"/>
  <c r="D358" i="3"/>
  <c r="C576" i="3"/>
  <c r="D294" i="3"/>
  <c r="C877" i="3"/>
  <c r="D504" i="3"/>
  <c r="C828" i="3"/>
  <c r="D592" i="3"/>
  <c r="C762" i="3"/>
  <c r="D481" i="3"/>
  <c r="C764" i="3"/>
  <c r="C346" i="3"/>
  <c r="C168" i="3"/>
  <c r="D581" i="3"/>
  <c r="D167" i="3"/>
  <c r="C86" i="3"/>
  <c r="D446" i="3"/>
  <c r="C418" i="3"/>
  <c r="C399" i="3"/>
  <c r="C523" i="3"/>
  <c r="C448" i="3"/>
  <c r="C450" i="3"/>
  <c r="C171" i="3"/>
  <c r="D585" i="3"/>
  <c r="C529" i="3"/>
  <c r="C52" i="3"/>
  <c r="D120" i="3"/>
  <c r="D407" i="3"/>
  <c r="D29" i="3"/>
  <c r="C634" i="3"/>
  <c r="D858" i="3"/>
  <c r="C563" i="3"/>
  <c r="C553" i="3"/>
  <c r="C527" i="3"/>
  <c r="D331" i="3"/>
  <c r="C743" i="3"/>
  <c r="D9" i="3"/>
  <c r="D949" i="3"/>
  <c r="D185" i="3"/>
  <c r="D392" i="3"/>
  <c r="C984" i="3"/>
  <c r="C495" i="3"/>
  <c r="C812" i="3"/>
  <c r="C569" i="3"/>
  <c r="C290" i="3"/>
  <c r="C904" i="3"/>
  <c r="D99" i="3"/>
  <c r="C554" i="3"/>
  <c r="D878" i="3"/>
  <c r="D12" i="3"/>
  <c r="C404" i="3"/>
  <c r="D373" i="3"/>
  <c r="C879" i="3"/>
  <c r="D250" i="3"/>
  <c r="C292" i="3"/>
  <c r="D274" i="3"/>
  <c r="C68" i="3"/>
  <c r="C598" i="3"/>
  <c r="C285" i="3"/>
  <c r="C379" i="3"/>
  <c r="D787" i="3"/>
  <c r="C191" i="3"/>
  <c r="D105" i="3"/>
  <c r="D209" i="3"/>
  <c r="C841" i="3"/>
  <c r="C343" i="3"/>
  <c r="D546" i="3"/>
  <c r="C842" i="3"/>
  <c r="D193" i="3"/>
  <c r="D65" i="3"/>
  <c r="C66" i="3"/>
  <c r="C648" i="3"/>
  <c r="D981" i="3"/>
  <c r="C297" i="3"/>
  <c r="D472" i="3"/>
  <c r="D440" i="3"/>
  <c r="C327" i="3"/>
  <c r="C935" i="3"/>
  <c r="D898" i="3"/>
  <c r="C590" i="3"/>
  <c r="D726" i="3"/>
  <c r="D137" i="3"/>
  <c r="C843" i="3"/>
  <c r="C160" i="3"/>
  <c r="D338" i="3"/>
  <c r="C217" i="3"/>
  <c r="D760" i="3"/>
  <c r="D889" i="3"/>
  <c r="C423" i="3"/>
  <c r="C182" i="3"/>
  <c r="D486" i="3"/>
  <c r="C496" i="3"/>
  <c r="D804" i="3"/>
  <c r="D216" i="3"/>
  <c r="C479" i="3"/>
  <c r="D533" i="3"/>
  <c r="C15" i="3"/>
  <c r="D60" i="3"/>
  <c r="C919" i="3"/>
  <c r="D614" i="3"/>
  <c r="C925" i="3"/>
  <c r="D769" i="3"/>
  <c r="C67" i="3"/>
  <c r="D229" i="3"/>
  <c r="C221" i="3"/>
  <c r="D238" i="3"/>
  <c r="C806" i="3"/>
  <c r="D176" i="3"/>
  <c r="C942" i="3"/>
  <c r="D502" i="3"/>
  <c r="C40" i="3"/>
  <c r="D662" i="3"/>
  <c r="C470" i="3"/>
  <c r="D594" i="3"/>
  <c r="C303" i="3"/>
  <c r="D361" i="3"/>
  <c r="C135" i="3"/>
  <c r="D173" i="3"/>
  <c r="C480" i="3"/>
  <c r="D649" i="3"/>
  <c r="C226" i="3"/>
  <c r="D599" i="3"/>
  <c r="C892" i="3"/>
  <c r="D508" i="3"/>
  <c r="C678" i="3"/>
  <c r="D950" i="3"/>
  <c r="C457" i="3"/>
  <c r="D242" i="3"/>
  <c r="C833" i="3"/>
  <c r="D494" i="3"/>
  <c r="C784" i="3"/>
  <c r="D657" i="3"/>
  <c r="C37" i="3"/>
  <c r="D778" i="3"/>
  <c r="C708" i="3"/>
  <c r="D896" i="3"/>
  <c r="C186" i="3"/>
  <c r="D497" i="3"/>
  <c r="C333" i="3"/>
  <c r="D622" i="3"/>
  <c r="C798" i="3"/>
  <c r="D606" i="3"/>
  <c r="C177" i="3"/>
  <c r="D259" i="3"/>
  <c r="C214" i="3"/>
  <c r="D597" i="3"/>
  <c r="C157" i="3"/>
  <c r="D41" i="3"/>
  <c r="C751" i="3"/>
  <c r="D587" i="3"/>
  <c r="C7" i="3"/>
  <c r="D124" i="3"/>
  <c r="C954" i="3"/>
  <c r="D401" i="3"/>
  <c r="C211" i="3"/>
  <c r="D791" i="3"/>
  <c r="C861" i="3"/>
  <c r="D795" i="3"/>
  <c r="C560" i="3"/>
  <c r="D200" i="3"/>
  <c r="C601" i="3"/>
  <c r="D684" i="3"/>
  <c r="D604" i="3"/>
  <c r="D86" i="3"/>
  <c r="C351" i="3"/>
  <c r="D314" i="3"/>
  <c r="C860" i="3"/>
  <c r="D389" i="3"/>
  <c r="D45" i="3"/>
  <c r="C923" i="3"/>
  <c r="D859" i="3"/>
  <c r="C595" i="3"/>
  <c r="D455" i="3"/>
  <c r="C851" i="3"/>
  <c r="C565" i="3"/>
  <c r="C142" i="3"/>
  <c r="D527" i="3"/>
  <c r="C222" i="3"/>
  <c r="C9" i="3"/>
  <c r="C977" i="3"/>
  <c r="D462" i="3"/>
  <c r="D753" i="3"/>
  <c r="C155" i="3"/>
  <c r="D663" i="3"/>
  <c r="C466" i="3"/>
  <c r="D976" i="3"/>
  <c r="D101" i="3"/>
  <c r="D435" i="3"/>
  <c r="D752" i="3"/>
  <c r="C586" i="3"/>
  <c r="D332" i="3"/>
  <c r="C630" i="3"/>
  <c r="C252" i="3"/>
  <c r="D386" i="3"/>
  <c r="C65" i="3"/>
  <c r="D815" i="3"/>
  <c r="D648" i="3"/>
  <c r="D757" i="3"/>
  <c r="D507" i="3"/>
  <c r="C472" i="3"/>
  <c r="D474" i="3"/>
  <c r="C983" i="3"/>
  <c r="D18" i="3"/>
  <c r="C108" i="3"/>
  <c r="C69" i="3"/>
  <c r="C713" i="3"/>
  <c r="C476" i="3"/>
  <c r="C248" i="3"/>
  <c r="D706" i="3"/>
  <c r="D941" i="3"/>
  <c r="D794" i="3"/>
  <c r="D510" i="3"/>
  <c r="D919" i="3"/>
  <c r="C78" i="3"/>
  <c r="C769" i="3"/>
  <c r="C922" i="3"/>
  <c r="D824" i="3"/>
  <c r="C245" i="3"/>
  <c r="D946" i="3"/>
  <c r="D97" i="3"/>
  <c r="C820" i="3"/>
  <c r="D75" i="3"/>
  <c r="D303" i="3"/>
  <c r="C194" i="3"/>
  <c r="C173" i="3"/>
  <c r="C125" i="3"/>
  <c r="D754" i="3"/>
  <c r="C873" i="3"/>
  <c r="D661" i="3"/>
  <c r="D509" i="3"/>
  <c r="C613" i="3"/>
  <c r="D213" i="3"/>
  <c r="D784" i="3"/>
  <c r="C803" i="3"/>
  <c r="C778" i="3"/>
  <c r="C931" i="3"/>
  <c r="C793" i="3"/>
  <c r="C902" i="3"/>
  <c r="C894" i="3"/>
  <c r="C918" i="3"/>
  <c r="C622" i="3"/>
  <c r="D798" i="3"/>
  <c r="D822" i="3"/>
  <c r="D501" i="3"/>
  <c r="D162" i="3"/>
  <c r="D309" i="3"/>
  <c r="D247" i="3"/>
  <c r="D64" i="3"/>
  <c r="C651" i="3"/>
  <c r="C11" i="3"/>
  <c r="C832" i="3"/>
  <c r="C900" i="3"/>
  <c r="C387" i="3"/>
  <c r="C313" i="3"/>
  <c r="C791" i="3"/>
  <c r="D861" i="3"/>
  <c r="D985" i="3"/>
  <c r="C488" i="3"/>
  <c r="D412" i="3"/>
  <c r="D764" i="3"/>
  <c r="D98" i="3"/>
  <c r="C114" i="3"/>
  <c r="D90" i="3"/>
  <c r="D552" i="3"/>
  <c r="C454" i="3"/>
  <c r="C204" i="3"/>
  <c r="C796" i="3"/>
  <c r="D390" i="3"/>
  <c r="D632" i="3"/>
  <c r="C185" i="3"/>
  <c r="D984" i="3"/>
  <c r="C907" i="3"/>
  <c r="C467" i="3"/>
  <c r="D320" i="3"/>
  <c r="D376" i="3"/>
  <c r="D437" i="3"/>
  <c r="D636" i="3"/>
  <c r="C787" i="3"/>
  <c r="D191" i="3"/>
  <c r="D268" i="3"/>
  <c r="C256" i="3"/>
  <c r="C855" i="3"/>
  <c r="C137" i="3"/>
  <c r="D160" i="3"/>
  <c r="D974" i="3"/>
  <c r="D72" i="3"/>
  <c r="D218" i="3"/>
  <c r="C961" i="3"/>
  <c r="C478" i="3"/>
  <c r="C60" i="3"/>
  <c r="C138" i="3"/>
  <c r="D235" i="3"/>
  <c r="C544" i="3"/>
  <c r="D322" i="3"/>
  <c r="D40" i="3"/>
  <c r="C240" i="3"/>
  <c r="C53" i="3"/>
  <c r="D624" i="3"/>
  <c r="D457" i="3"/>
  <c r="C494" i="3"/>
  <c r="D134" i="3"/>
  <c r="D828" i="3"/>
  <c r="C272" i="3"/>
  <c r="C236" i="3"/>
  <c r="C969" i="3"/>
  <c r="D214" i="3"/>
  <c r="D916" i="3"/>
  <c r="D666" i="3"/>
  <c r="D574" i="3"/>
  <c r="C656" i="3"/>
  <c r="C319" i="3"/>
  <c r="D762" i="3"/>
  <c r="C219" i="3"/>
  <c r="C188" i="3"/>
  <c r="C2" i="3"/>
  <c r="C98" i="3"/>
  <c r="C449" i="3"/>
  <c r="C90" i="3"/>
  <c r="D484" i="3"/>
  <c r="D923" i="3"/>
  <c r="D595" i="3"/>
  <c r="C311" i="3"/>
  <c r="C626" i="3"/>
  <c r="D867" i="3"/>
  <c r="C331" i="3"/>
  <c r="D243" i="3"/>
  <c r="C428" i="3"/>
  <c r="C153" i="3"/>
  <c r="C749" i="3"/>
  <c r="D569" i="3"/>
  <c r="C567" i="3"/>
  <c r="D155" i="3"/>
  <c r="D966" i="3"/>
  <c r="D228" i="3"/>
  <c r="C956" i="3"/>
  <c r="C320" i="3"/>
  <c r="C376" i="3"/>
  <c r="D586" i="3"/>
  <c r="D716" i="3"/>
  <c r="C636" i="3"/>
  <c r="C545" i="3"/>
  <c r="D630" i="3"/>
  <c r="C459" i="3"/>
  <c r="C353" i="3"/>
  <c r="C268" i="3"/>
  <c r="C672" i="3"/>
  <c r="C953" i="3"/>
  <c r="D719" i="3"/>
  <c r="D471" i="3"/>
  <c r="D16" i="3"/>
  <c r="D983" i="3"/>
  <c r="C898" i="3"/>
  <c r="D108" i="3"/>
  <c r="D590" i="3"/>
  <c r="D69" i="3"/>
  <c r="D713" i="3"/>
  <c r="C490" i="3"/>
  <c r="C974" i="3"/>
  <c r="C831" i="3"/>
  <c r="C72" i="3"/>
  <c r="C218" i="3"/>
  <c r="C808" i="3"/>
  <c r="D15" i="3"/>
  <c r="C715" i="3"/>
  <c r="C614" i="3"/>
  <c r="C737" i="3"/>
  <c r="D922" i="3"/>
  <c r="C225" i="3"/>
  <c r="D819" i="3"/>
  <c r="D245" i="3"/>
  <c r="C322" i="3"/>
  <c r="D820" i="3"/>
  <c r="D470" i="3"/>
  <c r="C799" i="3"/>
  <c r="C361" i="3"/>
  <c r="C934" i="3"/>
  <c r="D125" i="3"/>
  <c r="C624" i="3"/>
  <c r="D688" i="3"/>
  <c r="D873" i="3"/>
  <c r="C542" i="3"/>
  <c r="D613" i="3"/>
  <c r="D833" i="3"/>
  <c r="C312" i="3"/>
  <c r="C657" i="3"/>
  <c r="C134" i="3"/>
  <c r="D931" i="3"/>
  <c r="C810" i="3"/>
  <c r="D793" i="3"/>
  <c r="D902" i="3"/>
  <c r="D894" i="3"/>
  <c r="D918" i="3"/>
  <c r="C506" i="3"/>
  <c r="C916" i="3"/>
  <c r="C122" i="3"/>
  <c r="C666" i="3"/>
  <c r="C869" i="3"/>
  <c r="C574" i="3"/>
  <c r="C587" i="3"/>
  <c r="D7" i="3"/>
  <c r="D651" i="3"/>
  <c r="D11" i="3"/>
  <c r="D832" i="3"/>
  <c r="D900" i="3"/>
  <c r="D387" i="3"/>
  <c r="D313" i="3"/>
  <c r="D488" i="3"/>
  <c r="D2" i="3"/>
  <c r="D352" i="3"/>
  <c r="D449" i="3"/>
  <c r="D720" i="3"/>
  <c r="C121" i="3"/>
  <c r="C520" i="3"/>
  <c r="D626" i="3"/>
  <c r="C573" i="3"/>
  <c r="D166" i="3"/>
  <c r="D584" i="3"/>
  <c r="C972" i="3"/>
  <c r="C130" i="3"/>
  <c r="D545" i="3"/>
  <c r="D459" i="3"/>
  <c r="D353" i="3"/>
  <c r="C978" i="3"/>
  <c r="C640" i="3"/>
  <c r="C818" i="3"/>
  <c r="C644" i="3"/>
  <c r="D357" i="3"/>
  <c r="D659" i="3"/>
  <c r="D490" i="3"/>
  <c r="C760" i="3"/>
  <c r="C63" i="3"/>
  <c r="C87" i="3"/>
  <c r="D479" i="3"/>
  <c r="C830" i="3"/>
  <c r="D737" i="3"/>
  <c r="D225" i="3"/>
  <c r="C100" i="3"/>
  <c r="C594" i="3"/>
  <c r="D934" i="3"/>
  <c r="D43" i="3"/>
  <c r="C790" i="3"/>
  <c r="D542" i="3"/>
  <c r="C691" i="3"/>
  <c r="C948" i="3"/>
  <c r="C382" i="3"/>
  <c r="D810" i="3"/>
  <c r="C786" i="3"/>
  <c r="C871" i="3"/>
  <c r="C175" i="3"/>
  <c r="C259" i="3"/>
  <c r="D506" i="3"/>
  <c r="D122" i="3"/>
  <c r="D869" i="3"/>
  <c r="C273" i="3"/>
  <c r="C511" i="3"/>
  <c r="D528" i="3"/>
  <c r="D416" i="3"/>
  <c r="D730" i="3"/>
  <c r="D201" i="3"/>
  <c r="D203" i="3"/>
  <c r="D19" i="3"/>
  <c r="D451" i="3"/>
  <c r="D774" i="3"/>
  <c r="D54" i="3"/>
  <c r="D520" i="3"/>
  <c r="D204" i="3"/>
  <c r="D76" i="3"/>
  <c r="D796" i="3"/>
  <c r="D929" i="3"/>
  <c r="D578" i="3"/>
  <c r="C543" i="3"/>
  <c r="C289" i="3"/>
  <c r="C360" i="3"/>
  <c r="D430" i="3"/>
  <c r="D928" i="3"/>
  <c r="D290" i="3"/>
  <c r="D596" i="3"/>
  <c r="D907" i="3"/>
  <c r="D711" i="3"/>
  <c r="D467" i="3"/>
  <c r="C329" i="3"/>
  <c r="C373" i="3"/>
  <c r="C641" i="3"/>
  <c r="D130" i="3"/>
  <c r="D13" i="3"/>
  <c r="C209" i="3"/>
  <c r="D468" i="3"/>
  <c r="D343" i="3"/>
  <c r="D978" i="3"/>
  <c r="D256" i="3"/>
  <c r="C193" i="3"/>
  <c r="D818" i="3"/>
  <c r="C369" i="3"/>
  <c r="D644" i="3"/>
  <c r="C758" i="3"/>
  <c r="C336" i="3"/>
  <c r="C724" i="3"/>
  <c r="C79" i="3"/>
  <c r="C192" i="3"/>
  <c r="D385" i="3"/>
  <c r="D227" i="3"/>
  <c r="D761" i="3"/>
  <c r="D63" i="3"/>
  <c r="C486" i="3"/>
  <c r="D87" i="3"/>
  <c r="D496" i="3"/>
  <c r="D961" i="3"/>
  <c r="C533" i="3"/>
  <c r="C800" i="3"/>
  <c r="D830" i="3"/>
  <c r="C717" i="3"/>
  <c r="D14" i="3"/>
  <c r="D138" i="3"/>
  <c r="C814" i="3"/>
  <c r="D544" i="3"/>
  <c r="D942" i="3"/>
  <c r="C447" i="3"/>
  <c r="C662" i="3"/>
  <c r="C377" i="3"/>
  <c r="D240" i="3"/>
  <c r="C817" i="3"/>
  <c r="D789" i="3"/>
  <c r="D53" i="3"/>
  <c r="C593" i="3"/>
  <c r="D790" i="3"/>
  <c r="D678" i="3"/>
  <c r="C738" i="3"/>
  <c r="C242" i="3"/>
  <c r="C534" i="3"/>
  <c r="D948" i="3"/>
  <c r="C328" i="3"/>
  <c r="D877" i="3"/>
  <c r="D382" i="3"/>
  <c r="C881" i="3"/>
  <c r="C704" i="3"/>
  <c r="C497" i="3"/>
  <c r="D333" i="3"/>
  <c r="D786" i="3"/>
  <c r="D272" i="3"/>
  <c r="D871" i="3"/>
  <c r="D236" i="3"/>
  <c r="D175" i="3"/>
  <c r="D969" i="3"/>
  <c r="C493" i="3"/>
  <c r="C344" i="3"/>
  <c r="C609" i="3"/>
  <c r="C658" i="3"/>
  <c r="C783" i="3"/>
  <c r="C652" i="3"/>
  <c r="C401" i="3"/>
  <c r="D211" i="3"/>
  <c r="D273" i="3"/>
  <c r="D656" i="3"/>
  <c r="D511" i="3"/>
  <c r="D319" i="3"/>
  <c r="C270" i="3"/>
  <c r="C559" i="3"/>
  <c r="D673" i="3"/>
  <c r="D561" i="3"/>
  <c r="D635" i="3"/>
  <c r="C446" i="3"/>
  <c r="D419" i="3"/>
  <c r="D523" i="3"/>
  <c r="D733" i="3"/>
  <c r="C453" i="3"/>
  <c r="C623" i="3"/>
  <c r="C205" i="3"/>
  <c r="D323" i="3"/>
  <c r="C366" i="3"/>
  <c r="D368" i="3"/>
  <c r="C577" i="3"/>
  <c r="D543" i="3"/>
  <c r="C627" i="3"/>
  <c r="C745" i="3"/>
  <c r="C536" i="3"/>
  <c r="C876" i="3"/>
  <c r="C10" i="3"/>
  <c r="C968" i="3"/>
  <c r="D293" i="3"/>
  <c r="C522" i="3"/>
  <c r="D156" i="3"/>
  <c r="D329" i="3"/>
  <c r="D880" i="3"/>
  <c r="D276" i="3"/>
  <c r="C117" i="3"/>
  <c r="C883" i="3"/>
  <c r="C580" i="3"/>
  <c r="D469" i="3"/>
  <c r="D34" i="3"/>
  <c r="D380" i="3"/>
  <c r="D369" i="3"/>
  <c r="C981" i="3"/>
  <c r="D758" i="3"/>
  <c r="D297" i="3"/>
  <c r="D336" i="3"/>
  <c r="D724" i="3"/>
  <c r="C383" i="3"/>
  <c r="C655" i="3"/>
  <c r="C823" i="3"/>
  <c r="C591" i="3"/>
  <c r="C756" i="3"/>
  <c r="C962" i="3"/>
  <c r="D714" i="3"/>
  <c r="C216" i="3"/>
  <c r="C908" i="3"/>
  <c r="D800" i="3"/>
  <c r="C198" i="3"/>
  <c r="D852" i="3"/>
  <c r="D717" i="3"/>
  <c r="C668" i="3"/>
  <c r="D814" i="3"/>
  <c r="D806" i="3"/>
  <c r="C826" i="3"/>
  <c r="C502" i="3"/>
  <c r="C170" i="3"/>
  <c r="D377" i="3"/>
  <c r="C549" i="3"/>
  <c r="D639" i="3"/>
  <c r="D817" i="3"/>
  <c r="C906" i="3"/>
  <c r="D593" i="3"/>
  <c r="D892" i="3"/>
  <c r="C31" i="3"/>
  <c r="C950" i="3"/>
  <c r="C895" i="3"/>
  <c r="D534" i="3"/>
  <c r="C571" i="3"/>
  <c r="D576" i="3"/>
  <c r="D328" i="3"/>
  <c r="C107" i="3"/>
  <c r="D881" i="3"/>
  <c r="C592" i="3"/>
  <c r="D704" i="3"/>
  <c r="C870" i="3"/>
  <c r="C705" i="3"/>
  <c r="C910" i="3"/>
  <c r="C104" i="3"/>
  <c r="C422" i="3"/>
  <c r="C257" i="3"/>
  <c r="C41" i="3"/>
  <c r="D751" i="3"/>
  <c r="D493" i="3"/>
  <c r="D344" i="3"/>
  <c r="D609" i="3"/>
  <c r="D658" i="3"/>
  <c r="D783" i="3"/>
  <c r="D652" i="3"/>
  <c r="D270" i="3"/>
  <c r="C439" i="3"/>
  <c r="C645" i="3"/>
  <c r="D920" i="3"/>
  <c r="C260" i="3"/>
  <c r="D776" i="3"/>
  <c r="C6" i="3"/>
  <c r="D202" i="3"/>
  <c r="C45" i="3"/>
  <c r="C308" i="3"/>
  <c r="D872" i="3"/>
  <c r="C184" i="3"/>
  <c r="D495" i="3"/>
  <c r="C498" i="3"/>
  <c r="D541" i="3"/>
  <c r="D59" i="3"/>
  <c r="D68" i="3"/>
  <c r="D301" i="3"/>
  <c r="D897" i="3"/>
  <c r="C500" i="3"/>
  <c r="C474" i="3"/>
  <c r="D298" i="3"/>
  <c r="D591" i="3"/>
  <c r="D551" i="3"/>
  <c r="C615" i="3"/>
  <c r="C804" i="3"/>
  <c r="D169" i="3"/>
  <c r="C74" i="3"/>
  <c r="C139" i="3"/>
  <c r="C176" i="3"/>
  <c r="D483" i="3"/>
  <c r="C695" i="3"/>
  <c r="C599" i="3"/>
  <c r="C712" i="3"/>
  <c r="C213" i="3"/>
  <c r="D107" i="3"/>
  <c r="C896" i="3"/>
  <c r="D487" i="3"/>
  <c r="C575" i="3"/>
  <c r="C501" i="3"/>
  <c r="D422" i="3"/>
  <c r="D771" i="3"/>
  <c r="C491" i="3"/>
  <c r="D811" i="3"/>
  <c r="D346" i="3"/>
  <c r="C890" i="3"/>
  <c r="D232" i="3"/>
  <c r="C269" i="3"/>
  <c r="C363" i="3"/>
  <c r="D577" i="3"/>
  <c r="C391" i="3"/>
  <c r="D184" i="3"/>
  <c r="D127" i="3"/>
  <c r="D718" i="3"/>
  <c r="D807" i="3"/>
  <c r="D792" i="3"/>
  <c r="C210" i="3"/>
  <c r="C190" i="3"/>
  <c r="D500" i="3"/>
  <c r="D588" i="3"/>
  <c r="D885" i="3"/>
  <c r="C727" i="3"/>
  <c r="C889" i="3"/>
  <c r="C970" i="3"/>
  <c r="D74" i="3"/>
  <c r="C824" i="3"/>
  <c r="D170" i="3"/>
  <c r="D695" i="3"/>
  <c r="D712" i="3"/>
  <c r="C698" i="3"/>
  <c r="D575" i="3"/>
  <c r="D177" i="3"/>
  <c r="C247" i="3"/>
  <c r="D491" i="3"/>
  <c r="D954" i="3"/>
  <c r="C277" i="3"/>
  <c r="C516" i="3"/>
  <c r="D559" i="3"/>
  <c r="D645" i="3"/>
  <c r="C853" i="3"/>
  <c r="C389" i="3"/>
  <c r="D205" i="3"/>
  <c r="C699" i="3"/>
  <c r="C461" i="3"/>
  <c r="C392" i="3"/>
  <c r="C250" i="3"/>
  <c r="C332" i="3"/>
  <c r="D379" i="3"/>
  <c r="C434" i="3"/>
  <c r="D210" i="3"/>
  <c r="C507" i="3"/>
  <c r="D655" i="3"/>
  <c r="D70" i="3"/>
  <c r="D727" i="3"/>
  <c r="C558" i="3"/>
  <c r="D970" i="3"/>
  <c r="C694" i="3"/>
  <c r="D975" i="3"/>
  <c r="D67" i="3"/>
  <c r="C725" i="3"/>
  <c r="C97" i="3"/>
  <c r="D638" i="3"/>
  <c r="D549" i="3"/>
  <c r="D135" i="3"/>
  <c r="C425" i="3"/>
  <c r="D28" i="3"/>
  <c r="D698" i="3"/>
  <c r="C111" i="3"/>
  <c r="C316" i="3"/>
  <c r="D186" i="3"/>
  <c r="C359" i="3"/>
  <c r="D910" i="3"/>
  <c r="D157" i="3"/>
  <c r="C367" i="3"/>
  <c r="D277" i="3"/>
  <c r="C886" i="3"/>
  <c r="D516" i="3"/>
  <c r="C113" i="3"/>
  <c r="C530" i="3"/>
  <c r="D366" i="3"/>
  <c r="C742" i="3"/>
  <c r="C936" i="3"/>
  <c r="D432" i="3"/>
  <c r="C409" i="3"/>
  <c r="D701" i="3"/>
  <c r="D809" i="3"/>
  <c r="C101" i="3"/>
  <c r="C105" i="3"/>
  <c r="C265" i="3"/>
  <c r="D842" i="3"/>
  <c r="C159" i="3"/>
  <c r="C888" i="3"/>
  <c r="D558" i="3"/>
  <c r="D512" i="3"/>
  <c r="D694" i="3"/>
  <c r="C178" i="3"/>
  <c r="C238" i="3"/>
  <c r="C628" i="3"/>
  <c r="C75" i="3"/>
  <c r="D906" i="3"/>
  <c r="C649" i="3"/>
  <c r="C642" i="3"/>
  <c r="D111" i="3"/>
  <c r="D359" i="3"/>
  <c r="C515" i="3"/>
  <c r="C162" i="3"/>
  <c r="D257" i="3"/>
  <c r="D367" i="3"/>
  <c r="C337" i="3"/>
  <c r="C610" i="3"/>
  <c r="D886" i="3"/>
  <c r="C481" i="3"/>
  <c r="C314" i="3"/>
  <c r="D163" i="3"/>
  <c r="D623" i="3"/>
  <c r="C29" i="3"/>
  <c r="C631" i="3"/>
  <c r="D936" i="3"/>
  <c r="D700" i="3"/>
  <c r="D258" i="3"/>
  <c r="C295" i="3"/>
  <c r="C189" i="3"/>
  <c r="C683" i="3"/>
  <c r="D296" i="3"/>
  <c r="D265" i="3"/>
  <c r="D935" i="3"/>
  <c r="C909" i="3"/>
  <c r="D888" i="3"/>
  <c r="D233" i="3"/>
  <c r="C326" i="3"/>
  <c r="D908" i="3"/>
  <c r="D178" i="3"/>
  <c r="D628" i="3"/>
  <c r="C195" i="3"/>
  <c r="D226" i="3"/>
  <c r="D642" i="3"/>
  <c r="C608" i="3"/>
  <c r="D583" i="3"/>
  <c r="D708" i="3"/>
  <c r="C755" i="3"/>
  <c r="D515" i="3"/>
  <c r="D870" i="3"/>
  <c r="C64" i="3"/>
  <c r="C618" i="3"/>
  <c r="D337" i="3"/>
  <c r="D610" i="3"/>
  <c r="C653" i="3"/>
  <c r="C985" i="3"/>
  <c r="C215" i="3"/>
  <c r="D485" i="3"/>
  <c r="D58" i="3"/>
  <c r="C526" i="3"/>
  <c r="C813" i="3"/>
  <c r="D631" i="3"/>
  <c r="C753" i="3"/>
  <c r="C27" i="3"/>
  <c r="C976" i="3"/>
  <c r="C650" i="3"/>
  <c r="D598" i="3"/>
  <c r="D683" i="3"/>
  <c r="C647" i="3"/>
  <c r="C546" i="3"/>
  <c r="C710" i="3"/>
  <c r="C721" i="3"/>
  <c r="C726" i="3"/>
  <c r="D217" i="3"/>
  <c r="C110" i="3"/>
  <c r="D326" i="3"/>
  <c r="D348" i="3"/>
  <c r="D198" i="3"/>
  <c r="D925" i="3"/>
  <c r="C519" i="3"/>
  <c r="D600" i="3"/>
  <c r="D195" i="3"/>
  <c r="C264" i="3"/>
  <c r="C317" i="3"/>
  <c r="C508" i="3"/>
  <c r="D608" i="3"/>
  <c r="C602" i="3"/>
  <c r="D755" i="3"/>
  <c r="C305" i="3"/>
  <c r="C822" i="3"/>
  <c r="D104" i="3"/>
  <c r="D618" i="3"/>
  <c r="C84" i="3"/>
  <c r="D653" i="3"/>
  <c r="C505" i="3"/>
  <c r="C850" i="3"/>
  <c r="D260" i="3"/>
  <c r="D171" i="3"/>
  <c r="C48" i="3"/>
  <c r="D526" i="3"/>
  <c r="C768" i="3"/>
  <c r="D27" i="3"/>
  <c r="C971" i="3"/>
  <c r="C435" i="3"/>
  <c r="D650" i="3"/>
  <c r="D117" i="3"/>
  <c r="D251" i="3"/>
  <c r="D647" i="3"/>
  <c r="D710" i="3"/>
  <c r="C381" i="3"/>
  <c r="C440" i="3"/>
  <c r="C18" i="3"/>
  <c r="D654" i="3"/>
  <c r="D756" i="3"/>
  <c r="C510" i="3"/>
  <c r="D668" i="3"/>
  <c r="C229" i="3"/>
  <c r="C882" i="3"/>
  <c r="D264" i="3"/>
  <c r="C754" i="3"/>
  <c r="D895" i="3"/>
  <c r="D602" i="3"/>
  <c r="D305" i="3"/>
  <c r="C606" i="3"/>
  <c r="C309" i="3"/>
  <c r="D84" i="3"/>
  <c r="C124" i="3"/>
  <c r="C982" i="3"/>
  <c r="D505" i="3"/>
  <c r="C674" i="3"/>
  <c r="C85" i="3"/>
  <c r="C158" i="3"/>
  <c r="D33" i="3"/>
  <c r="C288" i="3"/>
  <c r="D553" i="3"/>
  <c r="D766" i="3"/>
  <c r="D429" i="3"/>
  <c r="C663" i="3"/>
  <c r="D128" i="3"/>
  <c r="C59" i="3"/>
  <c r="C274" i="3"/>
  <c r="D933" i="3"/>
  <c r="C301" i="3"/>
  <c r="C897" i="3"/>
  <c r="D334" i="3"/>
  <c r="C757" i="3"/>
  <c r="D383" i="3"/>
  <c r="C338" i="3"/>
  <c r="C551" i="3"/>
  <c r="D182" i="3"/>
  <c r="C83" i="3"/>
  <c r="C169" i="3"/>
  <c r="D221" i="3"/>
  <c r="D882" i="3"/>
  <c r="C483" i="3"/>
  <c r="D905" i="3"/>
  <c r="D480" i="3"/>
  <c r="C180" i="3"/>
  <c r="C509" i="3"/>
  <c r="D723" i="3"/>
  <c r="D571" i="3"/>
  <c r="D37" i="3"/>
  <c r="C557" i="3"/>
  <c r="C487" i="3"/>
  <c r="D705" i="3"/>
  <c r="C597" i="3"/>
  <c r="C771" i="3"/>
  <c r="D982" i="3"/>
  <c r="C811" i="3"/>
  <c r="C224" i="3"/>
  <c r="D224" i="3"/>
  <c r="J259" i="3" l="1"/>
  <c r="J931" i="3"/>
  <c r="J111" i="3"/>
  <c r="J833" i="3"/>
  <c r="J180" i="3"/>
  <c r="K180" i="3" s="1"/>
  <c r="J143" i="3"/>
  <c r="J348" i="3"/>
  <c r="K348" i="3" s="1"/>
  <c r="J285" i="3"/>
  <c r="J404" i="3"/>
  <c r="J900" i="3"/>
  <c r="J832" i="3"/>
  <c r="J11" i="3"/>
  <c r="J651" i="3"/>
  <c r="K651" i="3" s="1"/>
  <c r="J7" i="3"/>
  <c r="J587" i="3"/>
  <c r="K587" i="3" s="1"/>
  <c r="J771" i="3"/>
  <c r="K771" i="3" s="1"/>
  <c r="J214" i="3"/>
  <c r="J309" i="3"/>
  <c r="J272" i="3"/>
  <c r="J186" i="3"/>
  <c r="J557" i="3"/>
  <c r="J328" i="3"/>
  <c r="J264" i="3"/>
  <c r="K264" i="3" s="1"/>
  <c r="J662" i="3"/>
  <c r="K662" i="3" s="1"/>
  <c r="J826" i="3"/>
  <c r="J496" i="3"/>
  <c r="J722" i="3"/>
  <c r="J385" i="3"/>
  <c r="J841" i="3"/>
  <c r="J47" i="3"/>
  <c r="J488" i="3"/>
  <c r="K488" i="3" s="1"/>
  <c r="J985" i="3"/>
  <c r="K985" i="3" s="1"/>
  <c r="J861" i="3"/>
  <c r="J791" i="3"/>
  <c r="J313" i="3"/>
  <c r="J367" i="3"/>
  <c r="J506" i="3"/>
  <c r="K506" i="3" s="1"/>
  <c r="J606" i="3"/>
  <c r="J871" i="3"/>
  <c r="K871" i="3" s="1"/>
  <c r="J755" i="3"/>
  <c r="K755" i="3" s="1"/>
  <c r="J778" i="3"/>
  <c r="J134" i="3"/>
  <c r="J602" i="3"/>
  <c r="J950" i="3"/>
  <c r="K950" i="3" s="1"/>
  <c r="J642" i="3"/>
  <c r="J790" i="3"/>
  <c r="J649" i="3"/>
  <c r="K649" i="3" s="1"/>
  <c r="J799" i="3"/>
  <c r="K799" i="3" s="1"/>
  <c r="J502" i="3"/>
  <c r="J227" i="3"/>
  <c r="J84" i="3"/>
  <c r="J916" i="3"/>
  <c r="J177" i="3"/>
  <c r="K177" i="3" s="1"/>
  <c r="J236" i="3"/>
  <c r="J487" i="3"/>
  <c r="J708" i="3"/>
  <c r="K708" i="3" s="1"/>
  <c r="J316" i="3"/>
  <c r="J571" i="3"/>
  <c r="J738" i="3"/>
  <c r="J688" i="3"/>
  <c r="J425" i="3"/>
  <c r="J53" i="3"/>
  <c r="J75" i="3"/>
  <c r="K75" i="3" s="1"/>
  <c r="J820" i="3"/>
  <c r="K820" i="3" s="1"/>
  <c r="J78" i="3"/>
  <c r="J800" i="3"/>
  <c r="J591" i="3"/>
  <c r="J855" i="3"/>
  <c r="K855" i="3" s="1"/>
  <c r="J640" i="3"/>
  <c r="J290" i="3"/>
  <c r="J162" i="3"/>
  <c r="K162" i="3" s="1"/>
  <c r="J213" i="3"/>
  <c r="K213" i="3" s="1"/>
  <c r="J661" i="3"/>
  <c r="J594" i="3"/>
  <c r="J922" i="3"/>
  <c r="J659" i="3"/>
  <c r="J503" i="3"/>
  <c r="K503" i="3" s="1"/>
  <c r="J653" i="3"/>
  <c r="J982" i="3"/>
  <c r="K982" i="3" s="1"/>
  <c r="J954" i="3"/>
  <c r="K954" i="3" s="1"/>
  <c r="J337" i="3"/>
  <c r="J41" i="3"/>
  <c r="J122" i="3"/>
  <c r="J870" i="3"/>
  <c r="J622" i="3"/>
  <c r="J359" i="3"/>
  <c r="J881" i="3"/>
  <c r="K881" i="3" s="1"/>
  <c r="J657" i="3"/>
  <c r="K657" i="3" s="1"/>
  <c r="J948" i="3"/>
  <c r="J613" i="3"/>
  <c r="J508" i="3"/>
  <c r="J638" i="3"/>
  <c r="J516" i="3"/>
  <c r="J505" i="3"/>
  <c r="J886" i="3"/>
  <c r="K886" i="3" s="1"/>
  <c r="J751" i="3"/>
  <c r="K751" i="3" s="1"/>
  <c r="J666" i="3"/>
  <c r="J705" i="3"/>
  <c r="J798" i="3"/>
  <c r="J305" i="3"/>
  <c r="J810" i="3"/>
  <c r="J37" i="3"/>
  <c r="J803" i="3"/>
  <c r="K803" i="3" s="1"/>
  <c r="J457" i="3"/>
  <c r="K457" i="3" s="1"/>
  <c r="J852" i="3"/>
  <c r="J961" i="3"/>
  <c r="J654" i="3"/>
  <c r="J935" i="3"/>
  <c r="K935" i="3" s="1"/>
  <c r="J719" i="3"/>
  <c r="J700" i="3"/>
  <c r="J796" i="3"/>
  <c r="J183" i="3"/>
  <c r="K183" i="3" s="1"/>
  <c r="J658" i="3"/>
  <c r="J609" i="3"/>
  <c r="J344" i="3"/>
  <c r="J493" i="3"/>
  <c r="K493" i="3" s="1"/>
  <c r="J597" i="3"/>
  <c r="J910" i="3"/>
  <c r="J822" i="3"/>
  <c r="K822" i="3" s="1"/>
  <c r="J497" i="3"/>
  <c r="J793" i="3"/>
  <c r="J107" i="3"/>
  <c r="J494" i="3"/>
  <c r="J534" i="3"/>
  <c r="J242" i="3"/>
  <c r="J226" i="3"/>
  <c r="J43" i="3"/>
  <c r="K43" i="3" s="1"/>
  <c r="J317" i="3"/>
  <c r="K317" i="3" s="1"/>
  <c r="J942" i="3"/>
  <c r="J668" i="3"/>
  <c r="J169" i="3"/>
  <c r="J856" i="3"/>
  <c r="J79" i="3"/>
  <c r="K79" i="3" s="1"/>
  <c r="J981" i="3"/>
  <c r="J292" i="3"/>
  <c r="K292" i="3" s="1"/>
  <c r="J495" i="3"/>
  <c r="K495" i="3" s="1"/>
  <c r="J56" i="3"/>
  <c r="J618" i="3"/>
  <c r="J786" i="3"/>
  <c r="J896" i="3"/>
  <c r="J678" i="3"/>
  <c r="J483" i="3"/>
  <c r="J277" i="3"/>
  <c r="K277" i="3" s="1"/>
  <c r="J610" i="3"/>
  <c r="K610" i="3" s="1"/>
  <c r="J124" i="3"/>
  <c r="J319" i="3"/>
  <c r="J511" i="3"/>
  <c r="J656" i="3"/>
  <c r="J273" i="3"/>
  <c r="K273" i="3" s="1"/>
  <c r="J211" i="3"/>
  <c r="J401" i="3"/>
  <c r="J652" i="3"/>
  <c r="K652" i="3" s="1"/>
  <c r="J157" i="3"/>
  <c r="J104" i="3"/>
  <c r="J501" i="3"/>
  <c r="J333" i="3"/>
  <c r="K333" i="3" s="1"/>
  <c r="J902" i="3"/>
  <c r="J382" i="3"/>
  <c r="J784" i="3"/>
  <c r="K784" i="3" s="1"/>
  <c r="J312" i="3"/>
  <c r="K312" i="3" s="1"/>
  <c r="J691" i="3"/>
  <c r="J542" i="3"/>
  <c r="J599" i="3"/>
  <c r="J24" i="3"/>
  <c r="J477" i="3"/>
  <c r="J903" i="3"/>
  <c r="J478" i="3"/>
  <c r="J714" i="3"/>
  <c r="K714" i="3" s="1"/>
  <c r="J706" i="3"/>
  <c r="J590" i="3"/>
  <c r="J159" i="3"/>
  <c r="J711" i="3"/>
  <c r="J51" i="3"/>
  <c r="J574" i="3"/>
  <c r="J257" i="3"/>
  <c r="J64" i="3"/>
  <c r="K64" i="3" s="1"/>
  <c r="J969" i="3"/>
  <c r="J515" i="3"/>
  <c r="J918" i="3"/>
  <c r="J704" i="3"/>
  <c r="J828" i="3"/>
  <c r="J877" i="3"/>
  <c r="J576" i="3"/>
  <c r="K576" i="3" s="1"/>
  <c r="J583" i="3"/>
  <c r="K583" i="3" s="1"/>
  <c r="J723" i="3"/>
  <c r="J28" i="3"/>
  <c r="J539" i="3"/>
  <c r="J31" i="3"/>
  <c r="J873" i="3"/>
  <c r="J245" i="3"/>
  <c r="J14" i="3"/>
  <c r="K14" i="3" s="1"/>
  <c r="J178" i="3"/>
  <c r="K178" i="3" s="1"/>
  <c r="J827" i="3"/>
  <c r="J794" i="3"/>
  <c r="J808" i="3"/>
  <c r="J109" i="3"/>
  <c r="J721" i="3"/>
  <c r="J710" i="3"/>
  <c r="J978" i="3"/>
  <c r="K978" i="3" s="1"/>
  <c r="J189" i="3"/>
  <c r="K189" i="3" s="1"/>
  <c r="J718" i="3"/>
  <c r="J400" i="3"/>
  <c r="J304" i="3"/>
  <c r="J270" i="3"/>
  <c r="J811" i="3"/>
  <c r="J387" i="3"/>
  <c r="J783" i="3"/>
  <c r="K783" i="3" s="1"/>
  <c r="J491" i="3"/>
  <c r="K491" i="3" s="1"/>
  <c r="J869" i="3"/>
  <c r="J422" i="3"/>
  <c r="J247" i="3"/>
  <c r="J175" i="3"/>
  <c r="J575" i="3"/>
  <c r="J894" i="3"/>
  <c r="J592" i="3"/>
  <c r="K592" i="3" s="1"/>
  <c r="J504" i="3"/>
  <c r="K504" i="3" s="1"/>
  <c r="J294" i="3"/>
  <c r="J358" i="3"/>
  <c r="J667" i="3"/>
  <c r="J829" i="3"/>
  <c r="J125" i="3"/>
  <c r="J906" i="3"/>
  <c r="J135" i="3"/>
  <c r="K135" i="3" s="1"/>
  <c r="J361" i="3"/>
  <c r="K361" i="3" s="1"/>
  <c r="J639" i="3"/>
  <c r="J695" i="3"/>
  <c r="J100" i="3"/>
  <c r="J306" i="3"/>
  <c r="J946" i="3"/>
  <c r="K946" i="3" s="1"/>
  <c r="J814" i="3"/>
  <c r="J614" i="3"/>
  <c r="K614" i="3" s="1"/>
  <c r="J975" i="3"/>
  <c r="K975" i="3" s="1"/>
  <c r="J804" i="3"/>
  <c r="J761" i="3"/>
  <c r="J823" i="3"/>
  <c r="J885" i="3"/>
  <c r="K885" i="3" s="1"/>
  <c r="J750" i="3"/>
  <c r="J580" i="3"/>
  <c r="J360" i="3"/>
  <c r="K360" i="3" s="1"/>
  <c r="J484" i="3"/>
  <c r="K484" i="3" s="1"/>
  <c r="J895" i="3"/>
  <c r="J240" i="3"/>
  <c r="J549" i="3"/>
  <c r="J905" i="3"/>
  <c r="J725" i="3"/>
  <c r="K725" i="3" s="1"/>
  <c r="J769" i="3"/>
  <c r="J831" i="3"/>
  <c r="K831" i="3" s="1"/>
  <c r="J887" i="3"/>
  <c r="J192" i="3"/>
  <c r="J821" i="3"/>
  <c r="J17" i="3"/>
  <c r="J842" i="3"/>
  <c r="J541" i="3"/>
  <c r="K541" i="3" s="1"/>
  <c r="J988" i="3"/>
  <c r="J286" i="3"/>
  <c r="K286" i="3" s="1"/>
  <c r="J698" i="3"/>
  <c r="K698" i="3" s="1"/>
  <c r="J608" i="3"/>
  <c r="J593" i="3"/>
  <c r="J173" i="3"/>
  <c r="J789" i="3"/>
  <c r="J26" i="3"/>
  <c r="K26" i="3" s="1"/>
  <c r="J194" i="3"/>
  <c r="J600" i="3"/>
  <c r="K600" i="3" s="1"/>
  <c r="J176" i="3"/>
  <c r="K176" i="3" s="1"/>
  <c r="J925" i="3"/>
  <c r="J74" i="3"/>
  <c r="J123" i="3"/>
  <c r="J727" i="3"/>
  <c r="K727" i="3" s="1"/>
  <c r="J339" i="3"/>
  <c r="J660" i="3"/>
  <c r="J633" i="3"/>
  <c r="K633" i="3" s="1"/>
  <c r="J879" i="3"/>
  <c r="K879" i="3" s="1"/>
  <c r="J427" i="3"/>
  <c r="J458" i="3"/>
  <c r="J532" i="3"/>
  <c r="J561" i="3"/>
  <c r="J712" i="3"/>
  <c r="J892" i="3"/>
  <c r="J754" i="3"/>
  <c r="K754" i="3" s="1"/>
  <c r="J480" i="3"/>
  <c r="K480" i="3" s="1"/>
  <c r="J934" i="3"/>
  <c r="J303" i="3"/>
  <c r="J377" i="3"/>
  <c r="J40" i="3"/>
  <c r="J882" i="3"/>
  <c r="K882" i="3" s="1"/>
  <c r="J544" i="3"/>
  <c r="J221" i="3"/>
  <c r="K221" i="3" s="1"/>
  <c r="J229" i="3"/>
  <c r="K229" i="3" s="1"/>
  <c r="J235" i="3"/>
  <c r="J139" i="3"/>
  <c r="J715" i="3"/>
  <c r="J908" i="3"/>
  <c r="K908" i="3" s="1"/>
  <c r="J694" i="3"/>
  <c r="J326" i="3"/>
  <c r="J615" i="3"/>
  <c r="K615" i="3" s="1"/>
  <c r="J182" i="3"/>
  <c r="K182" i="3" s="1"/>
  <c r="J197" i="3"/>
  <c r="J297" i="3"/>
  <c r="J757" i="3"/>
  <c r="J190" i="3"/>
  <c r="J546" i="3"/>
  <c r="J293" i="3"/>
  <c r="J763" i="3"/>
  <c r="K763" i="3" s="1"/>
  <c r="J403" i="3"/>
  <c r="J185" i="3"/>
  <c r="J631" i="3"/>
  <c r="J308" i="3"/>
  <c r="J509" i="3"/>
  <c r="J643" i="3"/>
  <c r="K643" i="3" s="1"/>
  <c r="J624" i="3"/>
  <c r="J518" i="3"/>
  <c r="K518" i="3" s="1"/>
  <c r="J817" i="3"/>
  <c r="K817" i="3" s="1"/>
  <c r="J816" i="3"/>
  <c r="J195" i="3"/>
  <c r="J322" i="3"/>
  <c r="J238" i="3"/>
  <c r="J819" i="3"/>
  <c r="J525" i="3"/>
  <c r="J519" i="3"/>
  <c r="K519" i="3" s="1"/>
  <c r="J138" i="3"/>
  <c r="K138" i="3" s="1"/>
  <c r="J550" i="3"/>
  <c r="J512" i="3"/>
  <c r="J233" i="3"/>
  <c r="J72" i="3"/>
  <c r="J70" i="3"/>
  <c r="K70" i="3" s="1"/>
  <c r="J898" i="3"/>
  <c r="J336" i="3"/>
  <c r="K336" i="3" s="1"/>
  <c r="J815" i="3"/>
  <c r="K815" i="3" s="1"/>
  <c r="J524" i="3"/>
  <c r="J252" i="3"/>
  <c r="J378" i="3"/>
  <c r="J141" i="3"/>
  <c r="K141" i="3" s="1"/>
  <c r="J596" i="3"/>
  <c r="K596" i="3" s="1"/>
  <c r="J27" i="3"/>
  <c r="J127" i="3"/>
  <c r="J418" i="3"/>
  <c r="J165" i="3"/>
  <c r="J559" i="3"/>
  <c r="J470" i="3"/>
  <c r="J170" i="3"/>
  <c r="J447" i="3"/>
  <c r="K447" i="3" s="1"/>
  <c r="J830" i="3"/>
  <c r="J198" i="3"/>
  <c r="J510" i="3"/>
  <c r="K510" i="3" s="1"/>
  <c r="J88" i="3"/>
  <c r="J95" i="3"/>
  <c r="J941" i="3"/>
  <c r="J579" i="3"/>
  <c r="J248" i="3"/>
  <c r="J160" i="3"/>
  <c r="J588" i="3"/>
  <c r="K588" i="3" s="1"/>
  <c r="J930" i="3"/>
  <c r="K930" i="3" s="1"/>
  <c r="J206" i="3"/>
  <c r="J155" i="3"/>
  <c r="J391" i="3"/>
  <c r="J863" i="3"/>
  <c r="J699" i="3"/>
  <c r="K699" i="3" s="1"/>
  <c r="J6" i="3"/>
  <c r="J628" i="3"/>
  <c r="K628" i="3" s="1"/>
  <c r="J806" i="3"/>
  <c r="K806" i="3" s="1"/>
  <c r="J824" i="3"/>
  <c r="J67" i="3"/>
  <c r="J737" i="3"/>
  <c r="J919" i="3"/>
  <c r="J60" i="3"/>
  <c r="J15" i="3"/>
  <c r="J533" i="3"/>
  <c r="K533" i="3" s="1"/>
  <c r="J479" i="3"/>
  <c r="K479" i="3" s="1"/>
  <c r="J216" i="3"/>
  <c r="J83" i="3"/>
  <c r="J728" i="3"/>
  <c r="J87" i="3"/>
  <c r="K87" i="3" s="1"/>
  <c r="J970" i="3"/>
  <c r="J423" i="3"/>
  <c r="J962" i="3"/>
  <c r="K962" i="3" s="1"/>
  <c r="J843" i="3"/>
  <c r="J327" i="3"/>
  <c r="J440" i="3"/>
  <c r="J66" i="3"/>
  <c r="J65" i="3"/>
  <c r="J809" i="3"/>
  <c r="J433" i="3"/>
  <c r="J812" i="3"/>
  <c r="J266" i="3"/>
  <c r="K266" i="3" s="1"/>
  <c r="J709" i="3"/>
  <c r="J940" i="3"/>
  <c r="J682" i="3"/>
  <c r="J664" i="3"/>
  <c r="J97" i="3"/>
  <c r="J20" i="3"/>
  <c r="J225" i="3"/>
  <c r="K225" i="3" s="1"/>
  <c r="J61" i="3"/>
  <c r="K61" i="3" s="1"/>
  <c r="J717" i="3"/>
  <c r="J110" i="3"/>
  <c r="J217" i="3"/>
  <c r="J476" i="3"/>
  <c r="K476" i="3" s="1"/>
  <c r="J475" i="3"/>
  <c r="K475" i="3" s="1"/>
  <c r="J724" i="3"/>
  <c r="J648" i="3"/>
  <c r="K648" i="3" s="1"/>
  <c r="J500" i="3"/>
  <c r="K500" i="3" s="1"/>
  <c r="J343" i="3"/>
  <c r="J386" i="3"/>
  <c r="J434" i="3"/>
  <c r="J459" i="3"/>
  <c r="J379" i="3"/>
  <c r="J13" i="3"/>
  <c r="J716" i="3"/>
  <c r="K716" i="3" s="1"/>
  <c r="J274" i="3"/>
  <c r="J250" i="3"/>
  <c r="J373" i="3"/>
  <c r="J12" i="3"/>
  <c r="J291" i="3"/>
  <c r="J907" i="3"/>
  <c r="J370" i="3"/>
  <c r="J57" i="3"/>
  <c r="J555" i="3"/>
  <c r="J520" i="3"/>
  <c r="J797" i="3"/>
  <c r="J514" i="3"/>
  <c r="J909" i="3"/>
  <c r="J383" i="3"/>
  <c r="K383" i="3" s="1"/>
  <c r="J983" i="3"/>
  <c r="J395" i="3"/>
  <c r="K395" i="3" s="1"/>
  <c r="J30" i="3"/>
  <c r="K30" i="3" s="1"/>
  <c r="J381" i="3"/>
  <c r="J369" i="3"/>
  <c r="J133" i="3"/>
  <c r="J253" i="3"/>
  <c r="K253" i="3" s="1"/>
  <c r="J953" i="3"/>
  <c r="K953" i="3" s="1"/>
  <c r="J417" i="3"/>
  <c r="J987" i="3"/>
  <c r="K987" i="3" s="1"/>
  <c r="J99" i="3"/>
  <c r="K99" i="3" s="1"/>
  <c r="J464" i="3"/>
  <c r="J928" i="3"/>
  <c r="J409" i="3"/>
  <c r="J768" i="3"/>
  <c r="J147" i="3"/>
  <c r="J743" i="3"/>
  <c r="J489" i="3"/>
  <c r="K489" i="3" s="1"/>
  <c r="J366" i="3"/>
  <c r="K366" i="3" s="1"/>
  <c r="J311" i="3"/>
  <c r="J49" i="3"/>
  <c r="J451" i="3"/>
  <c r="J733" i="3"/>
  <c r="J44" i="3"/>
  <c r="J611" i="3"/>
  <c r="J655" i="3"/>
  <c r="K655" i="3" s="1"/>
  <c r="J384" i="3"/>
  <c r="J535" i="3"/>
  <c r="J474" i="3"/>
  <c r="J802" i="3"/>
  <c r="J471" i="3"/>
  <c r="J677" i="3"/>
  <c r="J818" i="3"/>
  <c r="J952" i="3"/>
  <c r="K952" i="3" s="1"/>
  <c r="J34" i="3"/>
  <c r="K34" i="3" s="1"/>
  <c r="J320" i="3"/>
  <c r="J187" i="3"/>
  <c r="J71" i="3"/>
  <c r="J537" i="3"/>
  <c r="J707" i="3"/>
  <c r="J703" i="3"/>
  <c r="J785" i="3"/>
  <c r="K785" i="3" s="1"/>
  <c r="J568" i="3"/>
  <c r="K568" i="3" s="1"/>
  <c r="J846" i="3"/>
  <c r="J148" i="3"/>
  <c r="J298" i="3"/>
  <c r="J18" i="3"/>
  <c r="J473" i="3"/>
  <c r="J16" i="3"/>
  <c r="J507" i="3"/>
  <c r="J884" i="3"/>
  <c r="K884" i="3" s="1"/>
  <c r="J335" i="3"/>
  <c r="J380" i="3"/>
  <c r="J256" i="3"/>
  <c r="J844" i="3"/>
  <c r="K844" i="3" s="1"/>
  <c r="J878" i="3"/>
  <c r="J971" i="3"/>
  <c r="J228" i="3"/>
  <c r="K228" i="3" s="1"/>
  <c r="J874" i="3"/>
  <c r="K874" i="3" s="1"/>
  <c r="J572" i="3"/>
  <c r="J392" i="3"/>
  <c r="J766" i="3"/>
  <c r="J222" i="3"/>
  <c r="J866" i="3"/>
  <c r="J740" i="3"/>
  <c r="J174" i="3"/>
  <c r="K174" i="3" s="1"/>
  <c r="J323" i="3"/>
  <c r="K323" i="3" s="1"/>
  <c r="J634" i="3"/>
  <c r="J149" i="3"/>
  <c r="J33" i="3"/>
  <c r="J838" i="3"/>
  <c r="J684" i="3"/>
  <c r="J486" i="3"/>
  <c r="J218" i="3"/>
  <c r="K218" i="3" s="1"/>
  <c r="J621" i="3"/>
  <c r="K621" i="3" s="1"/>
  <c r="J63" i="3"/>
  <c r="J685" i="3"/>
  <c r="J558" i="3"/>
  <c r="K558" i="3" s="1"/>
  <c r="J492" i="3"/>
  <c r="J889" i="3"/>
  <c r="K889" i="3" s="1"/>
  <c r="J551" i="3"/>
  <c r="J760" i="3"/>
  <c r="K760" i="3" s="1"/>
  <c r="J702" i="3"/>
  <c r="J692" i="3"/>
  <c r="J974" i="3"/>
  <c r="J689" i="3"/>
  <c r="J670" i="3"/>
  <c r="J490" i="3"/>
  <c r="K490" i="3" s="1"/>
  <c r="J338" i="3"/>
  <c r="J756" i="3"/>
  <c r="K756" i="3" s="1"/>
  <c r="J556" i="3"/>
  <c r="K556" i="3" s="1"/>
  <c r="J888" i="3"/>
  <c r="J324" i="3"/>
  <c r="J713" i="3"/>
  <c r="J759" i="3"/>
  <c r="J137" i="3"/>
  <c r="J69" i="3"/>
  <c r="J726" i="3"/>
  <c r="K726" i="3" s="1"/>
  <c r="J108" i="3"/>
  <c r="K108" i="3" s="1"/>
  <c r="J357" i="3"/>
  <c r="J472" i="3"/>
  <c r="J758" i="3"/>
  <c r="J644" i="3"/>
  <c r="K644" i="3" s="1"/>
  <c r="J334" i="3"/>
  <c r="J193" i="3"/>
  <c r="J897" i="3"/>
  <c r="K897" i="3" s="1"/>
  <c r="J265" i="3"/>
  <c r="K265" i="3" s="1"/>
  <c r="J672" i="3"/>
  <c r="J468" i="3"/>
  <c r="J647" i="3"/>
  <c r="J296" i="3"/>
  <c r="J191" i="3"/>
  <c r="J469" i="3"/>
  <c r="J251" i="3"/>
  <c r="K251" i="3" s="1"/>
  <c r="J441" i="3"/>
  <c r="K441" i="3" s="1"/>
  <c r="J883" i="3"/>
  <c r="J933" i="3"/>
  <c r="J636" i="3"/>
  <c r="J276" i="3"/>
  <c r="J332" i="3"/>
  <c r="J437" i="3"/>
  <c r="J650" i="3"/>
  <c r="K650" i="3" s="1"/>
  <c r="J752" i="3"/>
  <c r="K752" i="3" s="1"/>
  <c r="J880" i="3"/>
  <c r="J792" i="3"/>
  <c r="J972" i="3"/>
  <c r="J258" i="3"/>
  <c r="K258" i="3" s="1"/>
  <c r="J865" i="3"/>
  <c r="K865" i="3" s="1"/>
  <c r="J321" i="3"/>
  <c r="J466" i="3"/>
  <c r="K466" i="3" s="1"/>
  <c r="J904" i="3"/>
  <c r="K904" i="3" s="1"/>
  <c r="J876" i="3"/>
  <c r="J355" i="3"/>
  <c r="J429" i="3"/>
  <c r="J984" i="3"/>
  <c r="J914" i="3"/>
  <c r="J243" i="3"/>
  <c r="J315" i="3"/>
  <c r="K315" i="3" s="1"/>
  <c r="J23" i="3"/>
  <c r="K23" i="3" s="1"/>
  <c r="J964" i="3"/>
  <c r="J782" i="3"/>
  <c r="J168" i="3"/>
  <c r="J673" i="3"/>
  <c r="J81" i="3"/>
  <c r="J554" i="3"/>
  <c r="J584" i="3"/>
  <c r="K584" i="3" s="1"/>
  <c r="J467" i="3"/>
  <c r="K467" i="3" s="1"/>
  <c r="J968" i="3"/>
  <c r="J10" i="3"/>
  <c r="J701" i="3"/>
  <c r="J875" i="3"/>
  <c r="J567" i="3"/>
  <c r="J289" i="3"/>
  <c r="J936" i="3"/>
  <c r="K936" i="3" s="1"/>
  <c r="J646" i="3"/>
  <c r="K646" i="3" s="1"/>
  <c r="J927" i="3"/>
  <c r="J438" i="3"/>
  <c r="J748" i="3"/>
  <c r="J5" i="3"/>
  <c r="J121" i="3"/>
  <c r="K121" i="3" s="1"/>
  <c r="J859" i="3"/>
  <c r="J119" i="3"/>
  <c r="J116" i="3"/>
  <c r="K116" i="3" s="1"/>
  <c r="J449" i="3"/>
  <c r="J325" i="3"/>
  <c r="J899" i="3"/>
  <c r="J764" i="3"/>
  <c r="K764" i="3" s="1"/>
  <c r="J845" i="3"/>
  <c r="K845" i="3" s="1"/>
  <c r="J416" i="3"/>
  <c r="J62" i="3"/>
  <c r="K62" i="3" s="1"/>
  <c r="J522" i="3"/>
  <c r="K522" i="3" s="1"/>
  <c r="J375" i="3"/>
  <c r="J807" i="3"/>
  <c r="J839" i="3"/>
  <c r="J932" i="3"/>
  <c r="J538" i="3"/>
  <c r="J463" i="3"/>
  <c r="J239" i="3"/>
  <c r="K239" i="3" s="1"/>
  <c r="J154" i="3"/>
  <c r="K154" i="3" s="1"/>
  <c r="J746" i="3"/>
  <c r="J749" i="3"/>
  <c r="J747" i="3"/>
  <c r="J153" i="3"/>
  <c r="J126" i="3"/>
  <c r="K126" i="3" s="1"/>
  <c r="J543" i="3"/>
  <c r="J152" i="3"/>
  <c r="K152" i="3" s="1"/>
  <c r="J424" i="3"/>
  <c r="K424" i="3" s="1"/>
  <c r="J310" i="3"/>
  <c r="J570" i="3"/>
  <c r="J231" i="3"/>
  <c r="J523" i="3"/>
  <c r="K523" i="3" s="1"/>
  <c r="J890" i="3"/>
  <c r="J915" i="3"/>
  <c r="J635" i="3"/>
  <c r="K635" i="3" s="1"/>
  <c r="J156" i="3"/>
  <c r="K156" i="3" s="1"/>
  <c r="J128" i="3"/>
  <c r="J374" i="3"/>
  <c r="J465" i="3"/>
  <c r="J663" i="3"/>
  <c r="K663" i="3" s="1"/>
  <c r="J966" i="3"/>
  <c r="J118" i="3"/>
  <c r="J965" i="3"/>
  <c r="K965" i="3" s="1"/>
  <c r="J536" i="3"/>
  <c r="K536" i="3" s="1"/>
  <c r="J753" i="3"/>
  <c r="J428" i="3"/>
  <c r="J578" i="3"/>
  <c r="J390" i="3"/>
  <c r="J237" i="3"/>
  <c r="K237" i="3" s="1"/>
  <c r="J142" i="3"/>
  <c r="J368" i="3"/>
  <c r="K368" i="3" s="1"/>
  <c r="J55" i="3"/>
  <c r="J774" i="3"/>
  <c r="J282" i="3"/>
  <c r="J420" i="3"/>
  <c r="J548" i="3"/>
  <c r="J349" i="3"/>
  <c r="J834" i="3"/>
  <c r="J73" i="3"/>
  <c r="J164" i="3"/>
  <c r="K164" i="3" s="1"/>
  <c r="J210" i="3"/>
  <c r="J436" i="3"/>
  <c r="J268" i="3"/>
  <c r="J196" i="3"/>
  <c r="J209" i="3"/>
  <c r="J353" i="3"/>
  <c r="J105" i="3"/>
  <c r="K105" i="3" s="1"/>
  <c r="J281" i="3"/>
  <c r="J340" i="3"/>
  <c r="J301" i="3"/>
  <c r="J388" i="3"/>
  <c r="J106" i="3"/>
  <c r="J683" i="3"/>
  <c r="J787" i="3"/>
  <c r="J630" i="3"/>
  <c r="K630" i="3" s="1"/>
  <c r="J4" i="3"/>
  <c r="K4" i="3" s="1"/>
  <c r="J545" i="3"/>
  <c r="J765" i="3"/>
  <c r="J117" i="3"/>
  <c r="J103" i="3"/>
  <c r="J598" i="3"/>
  <c r="J275" i="3"/>
  <c r="J130" i="3"/>
  <c r="K130" i="3" s="1"/>
  <c r="J307" i="3"/>
  <c r="K307" i="3" s="1"/>
  <c r="J68" i="3"/>
  <c r="J676" i="3"/>
  <c r="J586" i="3"/>
  <c r="J840" i="3"/>
  <c r="J641" i="3"/>
  <c r="J637" i="3"/>
  <c r="J295" i="3"/>
  <c r="J980" i="3"/>
  <c r="K980" i="3" s="1"/>
  <c r="J376" i="3"/>
  <c r="J547" i="3"/>
  <c r="J59" i="3"/>
  <c r="J394" i="3"/>
  <c r="J435" i="3"/>
  <c r="K435" i="3" s="1"/>
  <c r="J356" i="3"/>
  <c r="J329" i="3"/>
  <c r="K329" i="3" s="1"/>
  <c r="J102" i="3"/>
  <c r="J101" i="3"/>
  <c r="J342" i="3"/>
  <c r="J112" i="3"/>
  <c r="J976" i="3"/>
  <c r="J956" i="3"/>
  <c r="K956" i="3" s="1"/>
  <c r="J540" i="3"/>
  <c r="J249" i="3"/>
  <c r="K249" i="3" s="1"/>
  <c r="J393" i="3"/>
  <c r="K393" i="3" s="1"/>
  <c r="J498" i="3"/>
  <c r="J582" i="3"/>
  <c r="J569" i="3"/>
  <c r="J745" i="3"/>
  <c r="J801" i="3"/>
  <c r="J330" i="3"/>
  <c r="J430" i="3"/>
  <c r="K430" i="3" s="1"/>
  <c r="J255" i="3"/>
  <c r="K255" i="3" s="1"/>
  <c r="J562" i="3"/>
  <c r="J929" i="3"/>
  <c r="K929" i="3" s="1"/>
  <c r="J460" i="3"/>
  <c r="J986" i="3"/>
  <c r="J742" i="3"/>
  <c r="K742" i="3" s="1"/>
  <c r="J577" i="3"/>
  <c r="J362" i="3"/>
  <c r="K362" i="3" s="1"/>
  <c r="J58" i="3"/>
  <c r="K58" i="3" s="1"/>
  <c r="J781" i="3"/>
  <c r="J837" i="3"/>
  <c r="J145" i="3"/>
  <c r="J215" i="3"/>
  <c r="J267" i="3"/>
  <c r="J200" i="3"/>
  <c r="J402" i="3"/>
  <c r="K402" i="3" s="1"/>
  <c r="J959" i="3"/>
  <c r="K959" i="3" s="1"/>
  <c r="J140" i="3"/>
  <c r="J553" i="3"/>
  <c r="J589" i="3"/>
  <c r="J960" i="3"/>
  <c r="J407" i="3"/>
  <c r="J54" i="3"/>
  <c r="J120" i="3"/>
  <c r="K120" i="3" s="1"/>
  <c r="J529" i="3"/>
  <c r="K529" i="3" s="1"/>
  <c r="J453" i="3"/>
  <c r="J947" i="3"/>
  <c r="J397" i="3"/>
  <c r="J351" i="3"/>
  <c r="K351" i="3" s="1"/>
  <c r="J446" i="3"/>
  <c r="J300" i="3"/>
  <c r="J645" i="3"/>
  <c r="J331" i="3"/>
  <c r="K331" i="3" s="1"/>
  <c r="J46" i="3"/>
  <c r="J181" i="3"/>
  <c r="J867" i="3"/>
  <c r="J739" i="3"/>
  <c r="J858" i="3"/>
  <c r="K858" i="3" s="1"/>
  <c r="J455" i="3"/>
  <c r="J22" i="3"/>
  <c r="J530" i="3"/>
  <c r="K530" i="3" s="1"/>
  <c r="J955" i="3"/>
  <c r="J585" i="3"/>
  <c r="J690" i="3"/>
  <c r="J720" i="3"/>
  <c r="J944" i="3"/>
  <c r="K944" i="3" s="1"/>
  <c r="J399" i="3"/>
  <c r="J254" i="3"/>
  <c r="K254" i="3" s="1"/>
  <c r="J35" i="3"/>
  <c r="J958" i="3"/>
  <c r="J161" i="3"/>
  <c r="J411" i="3"/>
  <c r="J607" i="3"/>
  <c r="K607" i="3" s="1"/>
  <c r="J77" i="3"/>
  <c r="K77" i="3" s="1"/>
  <c r="J432" i="3"/>
  <c r="J627" i="3"/>
  <c r="K627" i="3" s="1"/>
  <c r="J431" i="3"/>
  <c r="K431" i="3" s="1"/>
  <c r="J462" i="3"/>
  <c r="J741" i="3"/>
  <c r="J184" i="3"/>
  <c r="J318" i="3"/>
  <c r="K318" i="3" s="1"/>
  <c r="J963" i="3"/>
  <c r="J977" i="3"/>
  <c r="J949" i="3"/>
  <c r="J835" i="3"/>
  <c r="K835" i="3" s="1"/>
  <c r="J166" i="3"/>
  <c r="J9" i="3"/>
  <c r="J605" i="3"/>
  <c r="J461" i="3"/>
  <c r="J426" i="3"/>
  <c r="J632" i="3"/>
  <c r="J25" i="3"/>
  <c r="K25" i="3" s="1"/>
  <c r="J872" i="3"/>
  <c r="K872" i="3" s="1"/>
  <c r="J241" i="3"/>
  <c r="J207" i="3"/>
  <c r="J744" i="3"/>
  <c r="J864" i="3"/>
  <c r="J527" i="3"/>
  <c r="J573" i="3"/>
  <c r="J96" i="3"/>
  <c r="K96" i="3" s="1"/>
  <c r="J563" i="3"/>
  <c r="K563" i="3" s="1"/>
  <c r="J76" i="3"/>
  <c r="J363" i="3"/>
  <c r="J917" i="3"/>
  <c r="J693" i="3"/>
  <c r="J697" i="3"/>
  <c r="J48" i="3"/>
  <c r="J623" i="3"/>
  <c r="K623" i="3" s="1"/>
  <c r="J413" i="3"/>
  <c r="K413" i="3" s="1"/>
  <c r="J552" i="3"/>
  <c r="J90" i="3"/>
  <c r="J132" i="3"/>
  <c r="J136" i="3"/>
  <c r="J94" i="3"/>
  <c r="J115" i="3"/>
  <c r="J405" i="3"/>
  <c r="K405" i="3" s="1"/>
  <c r="J825" i="3"/>
  <c r="K825" i="3" s="1"/>
  <c r="J957" i="3"/>
  <c r="J443" i="3"/>
  <c r="J680" i="3"/>
  <c r="J202" i="3"/>
  <c r="J679" i="3"/>
  <c r="K679" i="3" s="1"/>
  <c r="J80" i="3"/>
  <c r="J220" i="3"/>
  <c r="K220" i="3" s="1"/>
  <c r="J52" i="3"/>
  <c r="K52" i="3" s="1"/>
  <c r="J923" i="3"/>
  <c r="J271" i="3"/>
  <c r="J92" i="3"/>
  <c r="J616" i="3"/>
  <c r="K616" i="3" s="1"/>
  <c r="J163" i="3"/>
  <c r="J448" i="3"/>
  <c r="J354" i="3"/>
  <c r="J158" i="3"/>
  <c r="K158" i="3" s="1"/>
  <c r="J780" i="3"/>
  <c r="J39" i="3"/>
  <c r="J85" i="3"/>
  <c r="J924" i="3"/>
  <c r="J604" i="3"/>
  <c r="K604" i="3" s="1"/>
  <c r="J920" i="3"/>
  <c r="J129" i="3"/>
  <c r="K129" i="3" s="1"/>
  <c r="J279" i="3"/>
  <c r="K279" i="3" s="1"/>
  <c r="J849" i="3"/>
  <c r="J848" i="3"/>
  <c r="J729" i="3"/>
  <c r="J261" i="3"/>
  <c r="J89" i="3"/>
  <c r="J445" i="3"/>
  <c r="J263" i="3"/>
  <c r="K263" i="3" s="1"/>
  <c r="J50" i="3"/>
  <c r="K50" i="3" s="1"/>
  <c r="J93" i="3"/>
  <c r="J620" i="3"/>
  <c r="J131" i="3"/>
  <c r="J406" i="3"/>
  <c r="J419" i="3"/>
  <c r="K419" i="3" s="1"/>
  <c r="J612" i="3"/>
  <c r="J521" i="3"/>
  <c r="K521" i="3" s="1"/>
  <c r="J260" i="3"/>
  <c r="K260" i="3" s="1"/>
  <c r="J847" i="3"/>
  <c r="J346" i="3"/>
  <c r="J188" i="3"/>
  <c r="J669" i="3"/>
  <c r="K669" i="3" s="1"/>
  <c r="J444" i="3"/>
  <c r="K444" i="3" s="1"/>
  <c r="J671" i="3"/>
  <c r="J456" i="3"/>
  <c r="J617" i="3"/>
  <c r="K617" i="3" s="1"/>
  <c r="J813" i="3"/>
  <c r="J926" i="3"/>
  <c r="J736" i="3"/>
  <c r="J945" i="3"/>
  <c r="J626" i="3"/>
  <c r="K626" i="3" s="1"/>
  <c r="J565" i="3"/>
  <c r="J442" i="3"/>
  <c r="K442" i="3" s="1"/>
  <c r="J868" i="3"/>
  <c r="K868" i="3" s="1"/>
  <c r="J893" i="3"/>
  <c r="J204" i="3"/>
  <c r="J364" i="3"/>
  <c r="J851" i="3"/>
  <c r="K851" i="3" s="1"/>
  <c r="J288" i="3"/>
  <c r="K288" i="3" s="1"/>
  <c r="J526" i="3"/>
  <c r="J625" i="3"/>
  <c r="K625" i="3" s="1"/>
  <c r="J365" i="3"/>
  <c r="K365" i="3" s="1"/>
  <c r="J150" i="3"/>
  <c r="J371" i="3"/>
  <c r="J862" i="3"/>
  <c r="K862" i="3" s="1"/>
  <c r="J29" i="3"/>
  <c r="J234" i="3"/>
  <c r="K234" i="3" s="1"/>
  <c r="J805" i="3"/>
  <c r="J205" i="3"/>
  <c r="K205" i="3" s="1"/>
  <c r="J913" i="3"/>
  <c r="K913" i="3" s="1"/>
  <c r="J454" i="3"/>
  <c r="J372" i="3"/>
  <c r="J595" i="3"/>
  <c r="J269" i="3"/>
  <c r="J696" i="3"/>
  <c r="J21" i="3"/>
  <c r="J912" i="3"/>
  <c r="J414" i="3"/>
  <c r="K414" i="3" s="1"/>
  <c r="J788" i="3"/>
  <c r="J911" i="3"/>
  <c r="J619" i="3"/>
  <c r="K619" i="3" s="1"/>
  <c r="J421" i="3"/>
  <c r="K421" i="3" s="1"/>
  <c r="J687" i="3"/>
  <c r="J232" i="3"/>
  <c r="J114" i="3"/>
  <c r="K114" i="3" s="1"/>
  <c r="J262" i="3"/>
  <c r="K262" i="3" s="1"/>
  <c r="J853" i="3"/>
  <c r="J686" i="3"/>
  <c r="J665" i="3"/>
  <c r="J36" i="3"/>
  <c r="K36" i="3" s="1"/>
  <c r="J212" i="3"/>
  <c r="J223" i="3"/>
  <c r="J3" i="3"/>
  <c r="J32" i="3"/>
  <c r="K32" i="3" s="1"/>
  <c r="J973" i="3"/>
  <c r="J730" i="3"/>
  <c r="J287" i="3"/>
  <c r="J408" i="3"/>
  <c r="K408" i="3" s="1"/>
  <c r="J528" i="3"/>
  <c r="K528" i="3" s="1"/>
  <c r="J939" i="3"/>
  <c r="J732" i="3"/>
  <c r="J850" i="3"/>
  <c r="J151" i="3"/>
  <c r="J415" i="3"/>
  <c r="J731" i="3"/>
  <c r="J951" i="3"/>
  <c r="J967" i="3"/>
  <c r="K967" i="3" s="1"/>
  <c r="J836" i="3"/>
  <c r="J352" i="3"/>
  <c r="K352" i="3" s="1"/>
  <c r="J517" i="3"/>
  <c r="J350" i="3"/>
  <c r="J482" i="3"/>
  <c r="J167" i="3"/>
  <c r="J566" i="3"/>
  <c r="J19" i="3"/>
  <c r="K19" i="3" s="1"/>
  <c r="J199" i="3"/>
  <c r="J203" i="3"/>
  <c r="J481" i="3"/>
  <c r="K481" i="3" s="1"/>
  <c r="J938" i="3"/>
  <c r="J531" i="3"/>
  <c r="J603" i="3"/>
  <c r="J795" i="3"/>
  <c r="K795" i="3" s="1"/>
  <c r="J280" i="3"/>
  <c r="K280" i="3" s="1"/>
  <c r="J770" i="3"/>
  <c r="J314" i="3"/>
  <c r="K314" i="3" s="1"/>
  <c r="J891" i="3"/>
  <c r="K891" i="3" s="1"/>
  <c r="J146" i="3"/>
  <c r="J773" i="3"/>
  <c r="J86" i="3"/>
  <c r="J144" i="3"/>
  <c r="J410" i="3"/>
  <c r="J284" i="3"/>
  <c r="J179" i="3"/>
  <c r="K179" i="3" s="1"/>
  <c r="J681" i="3"/>
  <c r="K681" i="3" s="1"/>
  <c r="J345" i="3"/>
  <c r="J513" i="3"/>
  <c r="J629" i="3"/>
  <c r="J560" i="3"/>
  <c r="J439" i="3"/>
  <c r="J675" i="3"/>
  <c r="J341" i="3"/>
  <c r="J91" i="3"/>
  <c r="K91" i="3" s="1"/>
  <c r="J772" i="3"/>
  <c r="J230" i="3"/>
  <c r="J45" i="3"/>
  <c r="J857" i="3"/>
  <c r="K857" i="3" s="1"/>
  <c r="J171" i="3"/>
  <c r="K171" i="3" s="1"/>
  <c r="J777" i="3"/>
  <c r="J779" i="3"/>
  <c r="K779" i="3" s="1"/>
  <c r="J499" i="3"/>
  <c r="K499" i="3" s="1"/>
  <c r="J452" i="3"/>
  <c r="J450" i="3"/>
  <c r="J485" i="3"/>
  <c r="J854" i="3"/>
  <c r="J901" i="3"/>
  <c r="J246" i="3"/>
  <c r="J283" i="3"/>
  <c r="K283" i="3" s="1"/>
  <c r="J775" i="3"/>
  <c r="K775" i="3" s="1"/>
  <c r="J244" i="3"/>
  <c r="J389" i="3"/>
  <c r="J8" i="3"/>
  <c r="J735" i="3"/>
  <c r="K735" i="3" s="1"/>
  <c r="J42" i="3"/>
  <c r="J943" i="3"/>
  <c r="J208" i="3"/>
  <c r="J734" i="3"/>
  <c r="K734" i="3" s="1"/>
  <c r="J860" i="3"/>
  <c r="J302" i="3"/>
  <c r="J398" i="3"/>
  <c r="J113" i="3"/>
  <c r="J172" i="3"/>
  <c r="K172" i="3" s="1"/>
  <c r="J776" i="3"/>
  <c r="J98" i="3"/>
  <c r="K98" i="3" s="1"/>
  <c r="J921" i="3"/>
  <c r="K921" i="3" s="1"/>
  <c r="J979" i="3"/>
  <c r="J581" i="3"/>
  <c r="J2" i="3"/>
  <c r="J564" i="3"/>
  <c r="K564" i="3" s="1"/>
  <c r="J347" i="3"/>
  <c r="K347" i="3" s="1"/>
  <c r="J38" i="3"/>
  <c r="J396" i="3"/>
  <c r="K396" i="3" s="1"/>
  <c r="J201" i="3"/>
  <c r="J278" i="3"/>
  <c r="J601" i="3"/>
  <c r="J937" i="3"/>
  <c r="J299" i="3"/>
  <c r="K299" i="3" s="1"/>
  <c r="J767" i="3"/>
  <c r="J412" i="3"/>
  <c r="J219" i="3"/>
  <c r="K219" i="3" s="1"/>
  <c r="J82" i="3"/>
  <c r="K82" i="3" s="1"/>
  <c r="J762" i="3"/>
  <c r="J674" i="3"/>
  <c r="J224" i="3"/>
  <c r="K224" i="3" s="1"/>
  <c r="E982" i="3"/>
  <c r="E705" i="3"/>
  <c r="E37" i="3"/>
  <c r="E571" i="3"/>
  <c r="E723" i="3"/>
  <c r="E480" i="3"/>
  <c r="E905" i="3"/>
  <c r="E882" i="3"/>
  <c r="E221" i="3"/>
  <c r="E182" i="3"/>
  <c r="E383" i="3"/>
  <c r="E334" i="3"/>
  <c r="E933" i="3"/>
  <c r="E128" i="3"/>
  <c r="E429" i="3"/>
  <c r="E766" i="3"/>
  <c r="E553" i="3"/>
  <c r="E33" i="3"/>
  <c r="E505" i="3"/>
  <c r="E84" i="3"/>
  <c r="E305" i="3"/>
  <c r="E602" i="3"/>
  <c r="E895" i="3"/>
  <c r="E264" i="3"/>
  <c r="E668" i="3"/>
  <c r="E756" i="3"/>
  <c r="E654" i="3"/>
  <c r="E710" i="3"/>
  <c r="E647" i="3"/>
  <c r="E251" i="3"/>
  <c r="E117" i="3"/>
  <c r="E650" i="3"/>
  <c r="E27" i="3"/>
  <c r="E526" i="3"/>
  <c r="E171" i="3"/>
  <c r="E260" i="3"/>
  <c r="E653" i="3"/>
  <c r="E618" i="3"/>
  <c r="E104" i="3"/>
  <c r="E755" i="3"/>
  <c r="E608" i="3"/>
  <c r="E195" i="3"/>
  <c r="E600" i="3"/>
  <c r="E925" i="3"/>
  <c r="E198" i="3"/>
  <c r="E348" i="3"/>
  <c r="E326" i="3"/>
  <c r="E217" i="3"/>
  <c r="E683" i="3"/>
  <c r="E598" i="3"/>
  <c r="E631" i="3"/>
  <c r="E58" i="3"/>
  <c r="E485" i="3"/>
  <c r="E610" i="3"/>
  <c r="E337" i="3"/>
  <c r="E870" i="3"/>
  <c r="E515" i="3"/>
  <c r="E708" i="3"/>
  <c r="E583" i="3"/>
  <c r="E642" i="3"/>
  <c r="E226" i="3"/>
  <c r="E628" i="3"/>
  <c r="E178" i="3"/>
  <c r="E908" i="3"/>
  <c r="E233" i="3"/>
  <c r="E888" i="3"/>
  <c r="E935" i="3"/>
  <c r="E265" i="3"/>
  <c r="E296" i="3"/>
  <c r="E258" i="3"/>
  <c r="E700" i="3"/>
  <c r="E936" i="3"/>
  <c r="E623" i="3"/>
  <c r="E163" i="3"/>
  <c r="E886" i="3"/>
  <c r="E367" i="3"/>
  <c r="E257" i="3"/>
  <c r="E359" i="3"/>
  <c r="E111" i="3"/>
  <c r="E906" i="3"/>
  <c r="E694" i="3"/>
  <c r="E512" i="3"/>
  <c r="E558" i="3"/>
  <c r="E842" i="3"/>
  <c r="E809" i="3"/>
  <c r="E701" i="3"/>
  <c r="E432" i="3"/>
  <c r="E366" i="3"/>
  <c r="E516" i="3"/>
  <c r="E277" i="3"/>
  <c r="E157" i="3"/>
  <c r="E910" i="3"/>
  <c r="E186" i="3"/>
  <c r="E698" i="3"/>
  <c r="E28" i="3"/>
  <c r="E135" i="3"/>
  <c r="E549" i="3"/>
  <c r="E638" i="3"/>
  <c r="E67" i="3"/>
  <c r="E975" i="3"/>
  <c r="E970" i="3"/>
  <c r="E727" i="3"/>
  <c r="E70" i="3"/>
  <c r="E655" i="3"/>
  <c r="E210" i="3"/>
  <c r="E379" i="3"/>
  <c r="E205" i="3"/>
  <c r="E645" i="3"/>
  <c r="E559" i="3"/>
  <c r="E954" i="3"/>
  <c r="E491" i="3"/>
  <c r="E177" i="3"/>
  <c r="E575" i="3"/>
  <c r="E712" i="3"/>
  <c r="E695" i="3"/>
  <c r="E170" i="3"/>
  <c r="E74" i="3"/>
  <c r="E885" i="3"/>
  <c r="E588" i="3"/>
  <c r="E500" i="3"/>
  <c r="E792" i="3"/>
  <c r="E807" i="3"/>
  <c r="E718" i="3"/>
  <c r="E127" i="3"/>
  <c r="E184" i="3"/>
  <c r="E577" i="3"/>
  <c r="E232" i="3"/>
  <c r="E346" i="3"/>
  <c r="E811" i="3"/>
  <c r="E771" i="3"/>
  <c r="E422" i="3"/>
  <c r="E487" i="3"/>
  <c r="E107" i="3"/>
  <c r="E483" i="3"/>
  <c r="E169" i="3"/>
  <c r="E551" i="3"/>
  <c r="E591" i="3"/>
  <c r="E298" i="3"/>
  <c r="E897" i="3"/>
  <c r="E301" i="3"/>
  <c r="E68" i="3"/>
  <c r="E59" i="3"/>
  <c r="E541" i="3"/>
  <c r="E495" i="3"/>
  <c r="E872" i="3"/>
  <c r="E202" i="3"/>
  <c r="E776" i="3"/>
  <c r="E920" i="3"/>
  <c r="E270" i="3"/>
  <c r="E652" i="3"/>
  <c r="E783" i="3"/>
  <c r="E658" i="3"/>
  <c r="E609" i="3"/>
  <c r="E344" i="3"/>
  <c r="E493" i="3"/>
  <c r="E751" i="3"/>
  <c r="E704" i="3"/>
  <c r="E881" i="3"/>
  <c r="E328" i="3"/>
  <c r="E576" i="3"/>
  <c r="E534" i="3"/>
  <c r="E892" i="3"/>
  <c r="E593" i="3"/>
  <c r="E817" i="3"/>
  <c r="E639" i="3"/>
  <c r="E377" i="3"/>
  <c r="E806" i="3"/>
  <c r="E814" i="3"/>
  <c r="E717" i="3"/>
  <c r="E852" i="3"/>
  <c r="E800" i="3"/>
  <c r="E714" i="3"/>
  <c r="E724" i="3"/>
  <c r="E336" i="3"/>
  <c r="E297" i="3"/>
  <c r="E758" i="3"/>
  <c r="E369" i="3"/>
  <c r="E380" i="3"/>
  <c r="E34" i="3"/>
  <c r="E469" i="3"/>
  <c r="E276" i="3"/>
  <c r="E880" i="3"/>
  <c r="E329" i="3"/>
  <c r="E156" i="3"/>
  <c r="E293" i="3"/>
  <c r="E543" i="3"/>
  <c r="E368" i="3"/>
  <c r="E323" i="3"/>
  <c r="E733" i="3"/>
  <c r="E523" i="3"/>
  <c r="E419" i="3"/>
  <c r="E635" i="3"/>
  <c r="E561" i="3"/>
  <c r="E673" i="3"/>
  <c r="E319" i="3"/>
  <c r="E511" i="3"/>
  <c r="E656" i="3"/>
  <c r="E273" i="3"/>
  <c r="E211" i="3"/>
  <c r="E969" i="3"/>
  <c r="E175" i="3"/>
  <c r="E236" i="3"/>
  <c r="E871" i="3"/>
  <c r="E272" i="3"/>
  <c r="E786" i="3"/>
  <c r="E333" i="3"/>
  <c r="E382" i="3"/>
  <c r="E877" i="3"/>
  <c r="E948" i="3"/>
  <c r="E678" i="3"/>
  <c r="E790" i="3"/>
  <c r="E53" i="3"/>
  <c r="E789" i="3"/>
  <c r="E240" i="3"/>
  <c r="E942" i="3"/>
  <c r="E544" i="3"/>
  <c r="E138" i="3"/>
  <c r="E14" i="3"/>
  <c r="E830" i="3"/>
  <c r="E961" i="3"/>
  <c r="E496" i="3"/>
  <c r="E87" i="3"/>
  <c r="E63" i="3"/>
  <c r="E761" i="3"/>
  <c r="E227" i="3"/>
  <c r="E385" i="3"/>
  <c r="E644" i="3"/>
  <c r="E818" i="3"/>
  <c r="E256" i="3"/>
  <c r="E978" i="3"/>
  <c r="E343" i="3"/>
  <c r="E468" i="3"/>
  <c r="E13" i="3"/>
  <c r="E130" i="3"/>
  <c r="E467" i="3"/>
  <c r="E711" i="3"/>
  <c r="E907" i="3"/>
  <c r="E596" i="3"/>
  <c r="E290" i="3"/>
  <c r="E928" i="3"/>
  <c r="E430" i="3"/>
  <c r="E578" i="3"/>
  <c r="E929" i="3"/>
  <c r="E796" i="3"/>
  <c r="E76" i="3"/>
  <c r="E204" i="3"/>
  <c r="E520" i="3"/>
  <c r="E54" i="3"/>
  <c r="E774" i="3"/>
  <c r="E451" i="3"/>
  <c r="E19" i="3"/>
  <c r="E203" i="3"/>
  <c r="E201" i="3"/>
  <c r="E730" i="3"/>
  <c r="E416" i="3"/>
  <c r="E528" i="3"/>
  <c r="E869" i="3"/>
  <c r="E122" i="3"/>
  <c r="E506" i="3"/>
  <c r="E810" i="3"/>
  <c r="E542" i="3"/>
  <c r="E43" i="3"/>
  <c r="E934" i="3"/>
  <c r="E225" i="3"/>
  <c r="E737" i="3"/>
  <c r="E479" i="3"/>
  <c r="E490" i="3"/>
  <c r="E659" i="3"/>
  <c r="E357" i="3"/>
  <c r="E353" i="3"/>
  <c r="E459" i="3"/>
  <c r="E545" i="3"/>
  <c r="E584" i="3"/>
  <c r="E166" i="3"/>
  <c r="E626" i="3"/>
  <c r="E720" i="3"/>
  <c r="E449" i="3"/>
  <c r="E352" i="3"/>
  <c r="E2" i="3"/>
  <c r="E488" i="3"/>
  <c r="E313" i="3"/>
  <c r="E387" i="3"/>
  <c r="E900" i="3"/>
  <c r="E832" i="3"/>
  <c r="E11" i="3"/>
  <c r="E651" i="3"/>
  <c r="E7" i="3"/>
  <c r="E918" i="3"/>
  <c r="E894" i="3"/>
  <c r="E902" i="3"/>
  <c r="E793" i="3"/>
  <c r="E931" i="3"/>
  <c r="E833" i="3"/>
  <c r="E613" i="3"/>
  <c r="E873" i="3"/>
  <c r="E688" i="3"/>
  <c r="E125" i="3"/>
  <c r="E470" i="3"/>
  <c r="E820" i="3"/>
  <c r="E245" i="3"/>
  <c r="E819" i="3"/>
  <c r="E922" i="3"/>
  <c r="E15" i="3"/>
  <c r="E713" i="3"/>
  <c r="E69" i="3"/>
  <c r="E590" i="3"/>
  <c r="E108" i="3"/>
  <c r="E983" i="3"/>
  <c r="E16" i="3"/>
  <c r="E471" i="3"/>
  <c r="E719" i="3"/>
  <c r="E630" i="3"/>
  <c r="E716" i="3"/>
  <c r="E586" i="3"/>
  <c r="E228" i="3"/>
  <c r="E966" i="3"/>
  <c r="E155" i="3"/>
  <c r="E569" i="3"/>
  <c r="E243" i="3"/>
  <c r="E867" i="3"/>
  <c r="E595" i="3"/>
  <c r="E923" i="3"/>
  <c r="E484" i="3"/>
  <c r="E762" i="3"/>
  <c r="E574" i="3"/>
  <c r="E666" i="3"/>
  <c r="E916" i="3"/>
  <c r="E214" i="3"/>
  <c r="E828" i="3"/>
  <c r="E134" i="3"/>
  <c r="E457" i="3"/>
  <c r="E624" i="3"/>
  <c r="E40" i="3"/>
  <c r="E322" i="3"/>
  <c r="E235" i="3"/>
  <c r="E218" i="3"/>
  <c r="E72" i="3"/>
  <c r="E974" i="3"/>
  <c r="E160" i="3"/>
  <c r="E268" i="3"/>
  <c r="E191" i="3"/>
  <c r="E636" i="3"/>
  <c r="E437" i="3"/>
  <c r="E376" i="3"/>
  <c r="E320" i="3"/>
  <c r="E984" i="3"/>
  <c r="E632" i="3"/>
  <c r="E390" i="3"/>
  <c r="E552" i="3"/>
  <c r="E90" i="3"/>
  <c r="E98" i="3"/>
  <c r="E764" i="3"/>
  <c r="E412" i="3"/>
  <c r="E985" i="3"/>
  <c r="E861" i="3"/>
  <c r="E64" i="3"/>
  <c r="E247" i="3"/>
  <c r="E309" i="3"/>
  <c r="E162" i="3"/>
  <c r="E501" i="3"/>
  <c r="E822" i="3"/>
  <c r="E798" i="3"/>
  <c r="E784" i="3"/>
  <c r="E213" i="3"/>
  <c r="E509" i="3"/>
  <c r="E661" i="3"/>
  <c r="E754" i="3"/>
  <c r="E303" i="3"/>
  <c r="E75" i="3"/>
  <c r="E97" i="3"/>
  <c r="E946" i="3"/>
  <c r="E824" i="3"/>
  <c r="E919" i="3"/>
  <c r="E510" i="3"/>
  <c r="E794" i="3"/>
  <c r="E941" i="3"/>
  <c r="E706" i="3"/>
  <c r="E18" i="3"/>
  <c r="E474" i="3"/>
  <c r="E507" i="3"/>
  <c r="E757" i="3"/>
  <c r="E648" i="3"/>
  <c r="E815" i="3"/>
  <c r="E386" i="3"/>
  <c r="E332" i="3"/>
  <c r="E752" i="3"/>
  <c r="E435" i="3"/>
  <c r="E101" i="3"/>
  <c r="E976" i="3"/>
  <c r="E663" i="3"/>
  <c r="E753" i="3"/>
  <c r="E462" i="3"/>
  <c r="E527" i="3"/>
  <c r="E455" i="3"/>
  <c r="E859" i="3"/>
  <c r="E45" i="3"/>
  <c r="E389" i="3"/>
  <c r="E314" i="3"/>
  <c r="E86" i="3"/>
  <c r="E604" i="3"/>
  <c r="E684" i="3"/>
  <c r="E200" i="3"/>
  <c r="E795" i="3"/>
  <c r="E791" i="3"/>
  <c r="E401" i="3"/>
  <c r="E124" i="3"/>
  <c r="E587" i="3"/>
  <c r="E41" i="3"/>
  <c r="E597" i="3"/>
  <c r="E259" i="3"/>
  <c r="E606" i="3"/>
  <c r="E622" i="3"/>
  <c r="E497" i="3"/>
  <c r="E896" i="3"/>
  <c r="E778" i="3"/>
  <c r="E657" i="3"/>
  <c r="E494" i="3"/>
  <c r="E242" i="3"/>
  <c r="E950" i="3"/>
  <c r="E508" i="3"/>
  <c r="E599" i="3"/>
  <c r="E649" i="3"/>
  <c r="E173" i="3"/>
  <c r="E361" i="3"/>
  <c r="E594" i="3"/>
  <c r="E662" i="3"/>
  <c r="E502" i="3"/>
  <c r="E176" i="3"/>
  <c r="E238" i="3"/>
  <c r="E229" i="3"/>
  <c r="E769" i="3"/>
  <c r="E614" i="3"/>
  <c r="E60" i="3"/>
  <c r="E533" i="3"/>
  <c r="E216" i="3"/>
  <c r="E804" i="3"/>
  <c r="E486" i="3"/>
  <c r="E889" i="3"/>
  <c r="E760" i="3"/>
  <c r="E338" i="3"/>
  <c r="E137" i="3"/>
  <c r="E726" i="3"/>
  <c r="E898" i="3"/>
  <c r="E440" i="3"/>
  <c r="E472" i="3"/>
  <c r="E981" i="3"/>
  <c r="E65" i="3"/>
  <c r="E193" i="3"/>
  <c r="E546" i="3"/>
  <c r="E209" i="3"/>
  <c r="E105" i="3"/>
  <c r="E787" i="3"/>
  <c r="E274" i="3"/>
  <c r="E250" i="3"/>
  <c r="E373" i="3"/>
  <c r="E12" i="3"/>
  <c r="E878" i="3"/>
  <c r="E99" i="3"/>
  <c r="E392" i="3"/>
  <c r="E185" i="3"/>
  <c r="E949" i="3"/>
  <c r="E9" i="3"/>
  <c r="E331" i="3"/>
  <c r="E858" i="3"/>
  <c r="E29" i="3"/>
  <c r="E407" i="3"/>
  <c r="E120" i="3"/>
  <c r="E585" i="3"/>
  <c r="E446" i="3"/>
  <c r="E167" i="3"/>
  <c r="E581" i="3"/>
  <c r="E481" i="3"/>
  <c r="E592" i="3"/>
  <c r="E504" i="3"/>
  <c r="E294" i="3"/>
  <c r="E358" i="3"/>
  <c r="E667" i="3"/>
  <c r="E829" i="3"/>
  <c r="E539" i="3"/>
  <c r="E643" i="3"/>
  <c r="E24" i="3"/>
  <c r="E518" i="3"/>
  <c r="E26" i="3"/>
  <c r="E816" i="3"/>
  <c r="E477" i="3"/>
  <c r="E664" i="3"/>
  <c r="E306" i="3"/>
  <c r="E20" i="3"/>
  <c r="E525" i="3"/>
  <c r="E61" i="3"/>
  <c r="E143" i="3"/>
  <c r="E903" i="3"/>
  <c r="E550" i="3"/>
  <c r="E827" i="3"/>
  <c r="E728" i="3"/>
  <c r="E95" i="3"/>
  <c r="E685" i="3"/>
  <c r="E692" i="3"/>
  <c r="E689" i="3"/>
  <c r="E324" i="3"/>
  <c r="E887" i="3"/>
  <c r="E475" i="3"/>
  <c r="E473" i="3"/>
  <c r="E30" i="3"/>
  <c r="E17" i="3"/>
  <c r="E335" i="3"/>
  <c r="E253" i="3"/>
  <c r="E524" i="3"/>
  <c r="E436" i="3"/>
  <c r="E340" i="3"/>
  <c r="E388" i="3"/>
  <c r="E765" i="3"/>
  <c r="E676" i="3"/>
  <c r="E637" i="3"/>
  <c r="E547" i="3"/>
  <c r="E206" i="3"/>
  <c r="E71" i="3"/>
  <c r="E393" i="3"/>
  <c r="E875" i="3"/>
  <c r="E463" i="3"/>
  <c r="E572" i="3"/>
  <c r="E741" i="3"/>
  <c r="E234" i="3"/>
  <c r="E5" i="3"/>
  <c r="E682" i="3"/>
  <c r="E967" i="3"/>
  <c r="E924" i="3"/>
  <c r="E444" i="3"/>
  <c r="E557" i="3"/>
  <c r="E316" i="3"/>
  <c r="E803" i="3"/>
  <c r="E312" i="3"/>
  <c r="E691" i="3"/>
  <c r="E738" i="3"/>
  <c r="E31" i="3"/>
  <c r="E180" i="3"/>
  <c r="E425" i="3"/>
  <c r="E317" i="3"/>
  <c r="E194" i="3"/>
  <c r="E799" i="3"/>
  <c r="E100" i="3"/>
  <c r="E447" i="3"/>
  <c r="E826" i="3"/>
  <c r="E725" i="3"/>
  <c r="E519" i="3"/>
  <c r="E139" i="3"/>
  <c r="E78" i="3"/>
  <c r="E715" i="3"/>
  <c r="E478" i="3"/>
  <c r="E83" i="3"/>
  <c r="E579" i="3"/>
  <c r="E110" i="3"/>
  <c r="E831" i="3"/>
  <c r="E197" i="3"/>
  <c r="E476" i="3"/>
  <c r="E823" i="3"/>
  <c r="E384" i="3"/>
  <c r="E79" i="3"/>
  <c r="E721" i="3"/>
  <c r="E884" i="3"/>
  <c r="E159" i="3"/>
  <c r="E640" i="3"/>
  <c r="E844" i="3"/>
  <c r="E672" i="3"/>
  <c r="E434" i="3"/>
  <c r="E441" i="3"/>
  <c r="E883" i="3"/>
  <c r="E972" i="3"/>
  <c r="E417" i="3"/>
  <c r="E536" i="3"/>
  <c r="E409" i="3"/>
  <c r="E801" i="3"/>
  <c r="E768" i="3"/>
  <c r="E360" i="3"/>
  <c r="E963" i="3"/>
  <c r="E605" i="3"/>
  <c r="E703" i="3"/>
  <c r="E46" i="3"/>
  <c r="E851" i="3"/>
  <c r="E48" i="3"/>
  <c r="E620" i="3"/>
  <c r="E616" i="3"/>
  <c r="E853" i="3"/>
  <c r="E351" i="3"/>
  <c r="E838" i="3"/>
  <c r="E267" i="3"/>
  <c r="E275" i="3"/>
  <c r="E641" i="3"/>
  <c r="E295" i="3"/>
  <c r="E356" i="3"/>
  <c r="E554" i="3"/>
  <c r="E971" i="3"/>
  <c r="E466" i="3"/>
  <c r="E10" i="3"/>
  <c r="E874" i="3"/>
  <c r="E876" i="3"/>
  <c r="E355" i="3"/>
  <c r="E745" i="3"/>
  <c r="E147" i="3"/>
  <c r="E289" i="3"/>
  <c r="E428" i="3"/>
  <c r="E743" i="3"/>
  <c r="E152" i="3"/>
  <c r="E222" i="3"/>
  <c r="E181" i="3"/>
  <c r="E142" i="3"/>
  <c r="E96" i="3"/>
  <c r="E813" i="3"/>
  <c r="E565" i="3"/>
  <c r="E868" i="3"/>
  <c r="E288" i="3"/>
  <c r="E454" i="3"/>
  <c r="E269" i="3"/>
  <c r="E785" i="3"/>
  <c r="E530" i="3"/>
  <c r="E450" i="3"/>
  <c r="E860" i="3"/>
  <c r="E399" i="3"/>
  <c r="E172" i="3"/>
  <c r="E85" i="3"/>
  <c r="E979" i="3"/>
  <c r="E254" i="3"/>
  <c r="E278" i="3"/>
  <c r="E219" i="3"/>
  <c r="E439" i="3"/>
  <c r="E342" i="3"/>
  <c r="E187" i="3"/>
  <c r="E374" i="3"/>
  <c r="E540" i="3"/>
  <c r="E537" i="3"/>
  <c r="E118" i="3"/>
  <c r="E582" i="3"/>
  <c r="E370" i="3"/>
  <c r="E330" i="3"/>
  <c r="E126" i="3"/>
  <c r="E707" i="3"/>
  <c r="E427" i="3"/>
  <c r="E25" i="3"/>
  <c r="E241" i="3"/>
  <c r="E744" i="3"/>
  <c r="E460" i="3"/>
  <c r="E424" i="3"/>
  <c r="E237" i="3"/>
  <c r="E739" i="3"/>
  <c r="E945" i="3"/>
  <c r="E365" i="3"/>
  <c r="E696" i="3"/>
  <c r="E414" i="3"/>
  <c r="E220" i="3"/>
  <c r="E421" i="3"/>
  <c r="E772" i="3"/>
  <c r="E244" i="3"/>
  <c r="E208" i="3"/>
  <c r="E686" i="3"/>
  <c r="E146" i="3"/>
  <c r="E847" i="3"/>
  <c r="E410" i="3"/>
  <c r="E345" i="3"/>
  <c r="E845" i="3"/>
  <c r="E531" i="3"/>
  <c r="E445" i="3"/>
  <c r="E865" i="3"/>
  <c r="E522" i="3"/>
  <c r="E465" i="3"/>
  <c r="E968" i="3"/>
  <c r="E932" i="3"/>
  <c r="E965" i="3"/>
  <c r="E567" i="3"/>
  <c r="E812" i="3"/>
  <c r="E77" i="3"/>
  <c r="E627" i="3"/>
  <c r="E977" i="3"/>
  <c r="E426" i="3"/>
  <c r="E959" i="3"/>
  <c r="E489" i="3"/>
  <c r="E563" i="3"/>
  <c r="E55" i="3"/>
  <c r="E699" i="3"/>
  <c r="E311" i="3"/>
  <c r="E362" i="3"/>
  <c r="E748" i="3"/>
  <c r="E964" i="3"/>
  <c r="E619" i="3"/>
  <c r="E947" i="3"/>
  <c r="E690" i="3"/>
  <c r="E944" i="3"/>
  <c r="E183" i="3"/>
  <c r="E548" i="3"/>
  <c r="E521" i="3"/>
  <c r="E36" i="3"/>
  <c r="E957" i="3"/>
  <c r="E443" i="3"/>
  <c r="E601" i="3"/>
  <c r="E973" i="3"/>
  <c r="E89" i="3"/>
  <c r="E939" i="3"/>
  <c r="E123" i="3"/>
  <c r="E856" i="3"/>
  <c r="E621" i="3"/>
  <c r="E492" i="3"/>
  <c r="E702" i="3"/>
  <c r="E670" i="3"/>
  <c r="E556" i="3"/>
  <c r="E759" i="3"/>
  <c r="E148" i="3"/>
  <c r="E109" i="3"/>
  <c r="E535" i="3"/>
  <c r="E821" i="3"/>
  <c r="E802" i="3"/>
  <c r="E660" i="3"/>
  <c r="E677" i="3"/>
  <c r="E503" i="3"/>
  <c r="E952" i="3"/>
  <c r="E930" i="3"/>
  <c r="E164" i="3"/>
  <c r="E196" i="3"/>
  <c r="E281" i="3"/>
  <c r="E106" i="3"/>
  <c r="E4" i="3"/>
  <c r="E103" i="3"/>
  <c r="E307" i="3"/>
  <c r="E840" i="3"/>
  <c r="E980" i="3"/>
  <c r="E394" i="3"/>
  <c r="E102" i="3"/>
  <c r="E62" i="3"/>
  <c r="E987" i="3"/>
  <c r="E375" i="3"/>
  <c r="E433" i="3"/>
  <c r="E839" i="3"/>
  <c r="E464" i="3"/>
  <c r="E538" i="3"/>
  <c r="E403" i="3"/>
  <c r="E239" i="3"/>
  <c r="E746" i="3"/>
  <c r="E747" i="3"/>
  <c r="E914" i="3"/>
  <c r="E255" i="3"/>
  <c r="E633" i="3"/>
  <c r="E562" i="3"/>
  <c r="E57" i="3"/>
  <c r="E315" i="3"/>
  <c r="E866" i="3"/>
  <c r="E617" i="3"/>
  <c r="E926" i="3"/>
  <c r="E893" i="3"/>
  <c r="E862" i="3"/>
  <c r="E119" i="3"/>
  <c r="E230" i="3"/>
  <c r="E779" i="3"/>
  <c r="E452" i="3"/>
  <c r="E246" i="3"/>
  <c r="E8" i="3"/>
  <c r="E42" i="3"/>
  <c r="E280" i="3"/>
  <c r="E398" i="3"/>
  <c r="E665" i="3"/>
  <c r="E179" i="3"/>
  <c r="E899" i="3"/>
  <c r="E347" i="3"/>
  <c r="E396" i="3"/>
  <c r="E958" i="3"/>
  <c r="E846" i="3"/>
  <c r="E767" i="3"/>
  <c r="E411" i="3"/>
  <c r="E88" i="3"/>
  <c r="E808" i="3"/>
  <c r="E615" i="3"/>
  <c r="E423" i="3"/>
  <c r="E722" i="3"/>
  <c r="E962" i="3"/>
  <c r="E248" i="3"/>
  <c r="E843" i="3"/>
  <c r="E339" i="3"/>
  <c r="E909" i="3"/>
  <c r="E192" i="3"/>
  <c r="E327" i="3"/>
  <c r="E395" i="3"/>
  <c r="E855" i="3"/>
  <c r="E381" i="3"/>
  <c r="E66" i="3"/>
  <c r="E133" i="3"/>
  <c r="E190" i="3"/>
  <c r="E953" i="3"/>
  <c r="E841" i="3"/>
  <c r="E750" i="3"/>
  <c r="E252" i="3"/>
  <c r="E580" i="3"/>
  <c r="E285" i="3"/>
  <c r="E189" i="3"/>
  <c r="E378" i="3"/>
  <c r="E292" i="3"/>
  <c r="E879" i="3"/>
  <c r="E404" i="3"/>
  <c r="E141" i="3"/>
  <c r="E112" i="3"/>
  <c r="E321" i="3"/>
  <c r="E956" i="3"/>
  <c r="E291" i="3"/>
  <c r="E249" i="3"/>
  <c r="E904" i="3"/>
  <c r="E498" i="3"/>
  <c r="E988" i="3"/>
  <c r="E154" i="3"/>
  <c r="E749" i="3"/>
  <c r="E153" i="3"/>
  <c r="E431" i="3"/>
  <c r="E318" i="3"/>
  <c r="E835" i="3"/>
  <c r="E461" i="3"/>
  <c r="E927" i="3"/>
  <c r="E23" i="3"/>
  <c r="E555" i="3"/>
  <c r="E458" i="3"/>
  <c r="E310" i="3"/>
  <c r="E363" i="3"/>
  <c r="E634" i="3"/>
  <c r="E960" i="3"/>
  <c r="E286" i="3"/>
  <c r="E22" i="3"/>
  <c r="E570" i="3"/>
  <c r="E121" i="3"/>
  <c r="E413" i="3"/>
  <c r="E116" i="3"/>
  <c r="E94" i="3"/>
  <c r="E302" i="3"/>
  <c r="E837" i="3"/>
  <c r="E262" i="3"/>
  <c r="E418" i="3"/>
  <c r="E56" i="3"/>
  <c r="E350" i="3"/>
  <c r="E300" i="3"/>
  <c r="E763" i="3"/>
  <c r="E299" i="3"/>
  <c r="E669" i="3"/>
  <c r="E514" i="3"/>
  <c r="E560" i="3"/>
  <c r="E82" i="3"/>
  <c r="E731" i="3"/>
  <c r="E207" i="3"/>
  <c r="E402" i="3"/>
  <c r="E986" i="3"/>
  <c r="E140" i="3"/>
  <c r="E863" i="3"/>
  <c r="E456" i="3"/>
  <c r="E736" i="3"/>
  <c r="E442" i="3"/>
  <c r="E364" i="3"/>
  <c r="E625" i="3"/>
  <c r="E150" i="3"/>
  <c r="E913" i="3"/>
  <c r="E912" i="3"/>
  <c r="E47" i="3"/>
  <c r="E911" i="3"/>
  <c r="E940" i="3"/>
  <c r="E781" i="3"/>
  <c r="E777" i="3"/>
  <c r="E901" i="3"/>
  <c r="E283" i="3"/>
  <c r="E943" i="3"/>
  <c r="E780" i="3"/>
  <c r="E39" i="3"/>
  <c r="E115" i="3"/>
  <c r="E568" i="3"/>
  <c r="E405" i="3"/>
  <c r="E145" i="3"/>
  <c r="E165" i="3"/>
  <c r="E349" i="3"/>
  <c r="E223" i="3"/>
  <c r="E279" i="3"/>
  <c r="E849" i="3"/>
  <c r="E937" i="3"/>
  <c r="E629" i="3"/>
  <c r="E729" i="3"/>
  <c r="E607" i="3"/>
  <c r="E341" i="3"/>
  <c r="E391" i="3"/>
  <c r="E646" i="3"/>
  <c r="E864" i="3"/>
  <c r="E742" i="3"/>
  <c r="E573" i="3"/>
  <c r="E740" i="3"/>
  <c r="E174" i="3"/>
  <c r="E266" i="3"/>
  <c r="E589" i="3"/>
  <c r="E51" i="3"/>
  <c r="E438" i="3"/>
  <c r="E532" i="3"/>
  <c r="E308" i="3"/>
  <c r="E788" i="3"/>
  <c r="E50" i="3"/>
  <c r="E529" i="3"/>
  <c r="E92" i="3"/>
  <c r="E782" i="3"/>
  <c r="E687" i="3"/>
  <c r="E136" i="3"/>
  <c r="E448" i="3"/>
  <c r="E158" i="3"/>
  <c r="E420" i="3"/>
  <c r="E113" i="3"/>
  <c r="E890" i="3"/>
  <c r="E304" i="3"/>
  <c r="E921" i="3"/>
  <c r="E215" i="3"/>
  <c r="E212" i="3"/>
  <c r="E564" i="3"/>
  <c r="E38" i="3"/>
  <c r="E732" i="3"/>
  <c r="E850" i="3"/>
  <c r="E513" i="3"/>
  <c r="E408" i="3"/>
  <c r="E6" i="3"/>
  <c r="E675" i="3"/>
  <c r="E371" i="3"/>
  <c r="E805" i="3"/>
  <c r="E372" i="3"/>
  <c r="E21" i="3"/>
  <c r="E263" i="3"/>
  <c r="E49" i="3"/>
  <c r="E93" i="3"/>
  <c r="E955" i="3"/>
  <c r="E91" i="3"/>
  <c r="E857" i="3"/>
  <c r="E499" i="3"/>
  <c r="E854" i="3"/>
  <c r="E775" i="3"/>
  <c r="E735" i="3"/>
  <c r="E734" i="3"/>
  <c r="E951" i="3"/>
  <c r="E44" i="3"/>
  <c r="E836" i="3"/>
  <c r="E397" i="3"/>
  <c r="E517" i="3"/>
  <c r="E325" i="3"/>
  <c r="E482" i="3"/>
  <c r="E825" i="3"/>
  <c r="E566" i="3"/>
  <c r="E129" i="3"/>
  <c r="E199" i="3"/>
  <c r="E3" i="3"/>
  <c r="E35" i="3"/>
  <c r="E679" i="3"/>
  <c r="E32" i="3"/>
  <c r="E80" i="3"/>
  <c r="E161" i="3"/>
  <c r="E151" i="3"/>
  <c r="E261" i="3"/>
  <c r="E81" i="3"/>
  <c r="E671" i="3"/>
  <c r="E917" i="3"/>
  <c r="E149" i="3"/>
  <c r="E693" i="3"/>
  <c r="E797" i="3"/>
  <c r="E697" i="3"/>
  <c r="E709" i="3"/>
  <c r="E52" i="3"/>
  <c r="E400" i="3"/>
  <c r="E271" i="3"/>
  <c r="E231" i="3"/>
  <c r="E453" i="3"/>
  <c r="E131" i="3"/>
  <c r="E132" i="3"/>
  <c r="E406" i="3"/>
  <c r="E282" i="3"/>
  <c r="E354" i="3"/>
  <c r="E770" i="3"/>
  <c r="E114" i="3"/>
  <c r="E891" i="3"/>
  <c r="E611" i="3"/>
  <c r="E773" i="3"/>
  <c r="E612" i="3"/>
  <c r="E144" i="3"/>
  <c r="E915" i="3"/>
  <c r="E284" i="3"/>
  <c r="E168" i="3"/>
  <c r="E681" i="3"/>
  <c r="E680" i="3"/>
  <c r="E834" i="3"/>
  <c r="E188" i="3"/>
  <c r="E848" i="3"/>
  <c r="E73" i="3"/>
  <c r="E287" i="3"/>
  <c r="E938" i="3"/>
  <c r="E415" i="3"/>
  <c r="E603" i="3"/>
  <c r="E674" i="3"/>
  <c r="K35" i="3" l="1"/>
  <c r="K102" i="3"/>
  <c r="K281" i="3"/>
  <c r="K274" i="3"/>
  <c r="K201" i="3"/>
  <c r="K850" i="3"/>
  <c r="K55" i="3"/>
  <c r="K384" i="3"/>
  <c r="K555" i="3"/>
  <c r="K403" i="3"/>
  <c r="K497" i="3"/>
  <c r="K208" i="3"/>
  <c r="K341" i="3"/>
  <c r="K203" i="3"/>
  <c r="K732" i="3"/>
  <c r="K3" i="3"/>
  <c r="K912" i="3"/>
  <c r="K456" i="3"/>
  <c r="K354" i="3"/>
  <c r="K949" i="3"/>
  <c r="K22" i="3"/>
  <c r="K645" i="3"/>
  <c r="K295" i="3"/>
  <c r="K73" i="3"/>
  <c r="K119" i="3"/>
  <c r="K507" i="3"/>
  <c r="K517" i="3"/>
  <c r="K702" i="3"/>
  <c r="K843" i="3"/>
  <c r="K418" i="3"/>
  <c r="K887" i="3"/>
  <c r="K57" i="3"/>
  <c r="K812" i="3"/>
  <c r="K198" i="3"/>
  <c r="K127" i="3"/>
  <c r="K257" i="3"/>
  <c r="K478" i="3"/>
  <c r="K401" i="3"/>
  <c r="K796" i="3"/>
  <c r="K487" i="3"/>
  <c r="K767" i="3"/>
  <c r="K42" i="3"/>
  <c r="K901" i="3"/>
  <c r="K439" i="3"/>
  <c r="K410" i="3"/>
  <c r="K212" i="3"/>
  <c r="K687" i="3"/>
  <c r="K696" i="3"/>
  <c r="K89" i="3"/>
  <c r="K163" i="3"/>
  <c r="K94" i="3"/>
  <c r="K697" i="3"/>
  <c r="K527" i="3"/>
  <c r="K426" i="3"/>
  <c r="K963" i="3"/>
  <c r="K446" i="3"/>
  <c r="K407" i="3"/>
  <c r="K267" i="3"/>
  <c r="K801" i="3"/>
  <c r="K641" i="3"/>
  <c r="K598" i="3"/>
  <c r="K683" i="3"/>
  <c r="K209" i="3"/>
  <c r="K349" i="3"/>
  <c r="K966" i="3"/>
  <c r="K890" i="3"/>
  <c r="K538" i="3"/>
  <c r="K567" i="3"/>
  <c r="K81" i="3"/>
  <c r="K914" i="3"/>
  <c r="K332" i="3"/>
  <c r="K191" i="3"/>
  <c r="K334" i="3"/>
  <c r="K137" i="3"/>
  <c r="K684" i="3"/>
  <c r="K866" i="3"/>
  <c r="K878" i="3"/>
  <c r="K473" i="3"/>
  <c r="K707" i="3"/>
  <c r="K677" i="3"/>
  <c r="K44" i="3"/>
  <c r="K147" i="3"/>
  <c r="K907" i="3"/>
  <c r="K379" i="3"/>
  <c r="K97" i="3"/>
  <c r="K809" i="3"/>
  <c r="K970" i="3"/>
  <c r="K60" i="3"/>
  <c r="K248" i="3"/>
  <c r="K819" i="3"/>
  <c r="K546" i="3"/>
  <c r="K694" i="3"/>
  <c r="K712" i="3"/>
  <c r="K339" i="3"/>
  <c r="K750" i="3"/>
  <c r="K125" i="3"/>
  <c r="K575" i="3"/>
  <c r="K811" i="3"/>
  <c r="K721" i="3"/>
  <c r="K873" i="3"/>
  <c r="K828" i="3"/>
  <c r="K51" i="3"/>
  <c r="K477" i="3"/>
  <c r="K902" i="3"/>
  <c r="K678" i="3"/>
  <c r="K242" i="3"/>
  <c r="K597" i="3"/>
  <c r="K719" i="3"/>
  <c r="K810" i="3"/>
  <c r="K516" i="3"/>
  <c r="K622" i="3"/>
  <c r="K640" i="3"/>
  <c r="K425" i="3"/>
  <c r="K642" i="3"/>
  <c r="K841" i="3"/>
  <c r="K557" i="3"/>
  <c r="K144" i="3"/>
  <c r="K566" i="3"/>
  <c r="K113" i="3"/>
  <c r="K854" i="3"/>
  <c r="K560" i="3"/>
  <c r="K951" i="3"/>
  <c r="K285" i="3"/>
  <c r="K269" i="3"/>
  <c r="K29" i="3"/>
  <c r="K945" i="3"/>
  <c r="K406" i="3"/>
  <c r="K261" i="3"/>
  <c r="K924" i="3"/>
  <c r="K202" i="3"/>
  <c r="K136" i="3"/>
  <c r="K693" i="3"/>
  <c r="K864" i="3"/>
  <c r="K461" i="3"/>
  <c r="K720" i="3"/>
  <c r="K739" i="3"/>
  <c r="K960" i="3"/>
  <c r="K215" i="3"/>
  <c r="K986" i="3"/>
  <c r="K745" i="3"/>
  <c r="K976" i="3"/>
  <c r="K394" i="3"/>
  <c r="K840" i="3"/>
  <c r="K103" i="3"/>
  <c r="K106" i="3"/>
  <c r="K196" i="3"/>
  <c r="K548" i="3"/>
  <c r="K390" i="3"/>
  <c r="K153" i="3"/>
  <c r="K932" i="3"/>
  <c r="K5" i="3"/>
  <c r="K875" i="3"/>
  <c r="K673" i="3"/>
  <c r="K984" i="3"/>
  <c r="K276" i="3"/>
  <c r="K296" i="3"/>
  <c r="K759" i="3"/>
  <c r="K670" i="3"/>
  <c r="K492" i="3"/>
  <c r="K838" i="3"/>
  <c r="K222" i="3"/>
  <c r="K18" i="3"/>
  <c r="K537" i="3"/>
  <c r="K471" i="3"/>
  <c r="K733" i="3"/>
  <c r="K768" i="3"/>
  <c r="K909" i="3"/>
  <c r="K291" i="3"/>
  <c r="K459" i="3"/>
  <c r="K664" i="3"/>
  <c r="K65" i="3"/>
  <c r="K919" i="3"/>
  <c r="K863" i="3"/>
  <c r="K579" i="3"/>
  <c r="K170" i="3"/>
  <c r="K72" i="3"/>
  <c r="K238" i="3"/>
  <c r="K509" i="3"/>
  <c r="K190" i="3"/>
  <c r="K40" i="3"/>
  <c r="K561" i="3"/>
  <c r="K789" i="3"/>
  <c r="K842" i="3"/>
  <c r="K905" i="3"/>
  <c r="K306" i="3"/>
  <c r="K829" i="3"/>
  <c r="K175" i="3"/>
  <c r="K270" i="3"/>
  <c r="K109" i="3"/>
  <c r="K31" i="3"/>
  <c r="K704" i="3"/>
  <c r="K711" i="3"/>
  <c r="K24" i="3"/>
  <c r="K656" i="3"/>
  <c r="K896" i="3"/>
  <c r="K856" i="3"/>
  <c r="K534" i="3"/>
  <c r="K305" i="3"/>
  <c r="K638" i="3"/>
  <c r="K870" i="3"/>
  <c r="K659" i="3"/>
  <c r="K688" i="3"/>
  <c r="K916" i="3"/>
  <c r="K367" i="3"/>
  <c r="K385" i="3"/>
  <c r="K186" i="3"/>
  <c r="K11" i="3"/>
  <c r="K833" i="3"/>
  <c r="K937" i="3"/>
  <c r="K2" i="3"/>
  <c r="K398" i="3"/>
  <c r="K8" i="3"/>
  <c r="K485" i="3"/>
  <c r="K45" i="3"/>
  <c r="K629" i="3"/>
  <c r="K86" i="3"/>
  <c r="K603" i="3"/>
  <c r="K167" i="3"/>
  <c r="K731" i="3"/>
  <c r="K287" i="3"/>
  <c r="K665" i="3"/>
  <c r="K595" i="3"/>
  <c r="K674" i="3"/>
  <c r="K601" i="3"/>
  <c r="K581" i="3"/>
  <c r="K302" i="3"/>
  <c r="K412" i="3"/>
  <c r="K38" i="3"/>
  <c r="K776" i="3"/>
  <c r="K943" i="3"/>
  <c r="K246" i="3"/>
  <c r="K777" i="3"/>
  <c r="K675" i="3"/>
  <c r="K284" i="3"/>
  <c r="K770" i="3"/>
  <c r="K199" i="3"/>
  <c r="K836" i="3"/>
  <c r="K939" i="3"/>
  <c r="K223" i="3"/>
  <c r="K232" i="3"/>
  <c r="K21" i="3"/>
  <c r="K805" i="3"/>
  <c r="K526" i="3"/>
  <c r="K565" i="3"/>
  <c r="K671" i="3"/>
  <c r="K612" i="3"/>
  <c r="K445" i="3"/>
  <c r="K920" i="3"/>
  <c r="K448" i="3"/>
  <c r="K80" i="3"/>
  <c r="K115" i="3"/>
  <c r="K48" i="3"/>
  <c r="K573" i="3"/>
  <c r="K632" i="3"/>
  <c r="K977" i="3"/>
  <c r="K432" i="3"/>
  <c r="K399" i="3"/>
  <c r="K455" i="3"/>
  <c r="K300" i="3"/>
  <c r="K54" i="3"/>
  <c r="K200" i="3"/>
  <c r="K577" i="3"/>
  <c r="K330" i="3"/>
  <c r="K540" i="3"/>
  <c r="K364" i="3"/>
  <c r="K736" i="3"/>
  <c r="K188" i="3"/>
  <c r="K131" i="3"/>
  <c r="K729" i="3"/>
  <c r="K85" i="3"/>
  <c r="K92" i="3"/>
  <c r="K680" i="3"/>
  <c r="K132" i="3"/>
  <c r="K917" i="3"/>
  <c r="K744" i="3"/>
  <c r="K605" i="3"/>
  <c r="K184" i="3"/>
  <c r="K411" i="3"/>
  <c r="K690" i="3"/>
  <c r="K867" i="3"/>
  <c r="K397" i="3"/>
  <c r="K589" i="3"/>
  <c r="K145" i="3"/>
  <c r="K460" i="3"/>
  <c r="K569" i="3"/>
  <c r="K112" i="3"/>
  <c r="K59" i="3"/>
  <c r="K586" i="3"/>
  <c r="K117" i="3"/>
  <c r="K388" i="3"/>
  <c r="K268" i="3"/>
  <c r="K420" i="3"/>
  <c r="K578" i="3"/>
  <c r="K465" i="3"/>
  <c r="K231" i="3"/>
  <c r="K747" i="3"/>
  <c r="K839" i="3"/>
  <c r="K899" i="3"/>
  <c r="K748" i="3"/>
  <c r="K701" i="3"/>
  <c r="K168" i="3"/>
  <c r="K429" i="3"/>
  <c r="K972" i="3"/>
  <c r="K636" i="3"/>
  <c r="K647" i="3"/>
  <c r="K758" i="3"/>
  <c r="K713" i="3"/>
  <c r="K689" i="3"/>
  <c r="K33" i="3"/>
  <c r="K766" i="3"/>
  <c r="K256" i="3"/>
  <c r="K298" i="3"/>
  <c r="K71" i="3"/>
  <c r="K802" i="3"/>
  <c r="K451" i="3"/>
  <c r="K409" i="3"/>
  <c r="K133" i="3"/>
  <c r="K514" i="3"/>
  <c r="K12" i="3"/>
  <c r="K434" i="3"/>
  <c r="K217" i="3"/>
  <c r="K682" i="3"/>
  <c r="K66" i="3"/>
  <c r="K728" i="3"/>
  <c r="K737" i="3"/>
  <c r="K391" i="3"/>
  <c r="K941" i="3"/>
  <c r="K470" i="3"/>
  <c r="K378" i="3"/>
  <c r="K233" i="3"/>
  <c r="K322" i="3"/>
  <c r="K308" i="3"/>
  <c r="K757" i="3"/>
  <c r="K715" i="3"/>
  <c r="K377" i="3"/>
  <c r="K532" i="3"/>
  <c r="K123" i="3"/>
  <c r="K389" i="3"/>
  <c r="K450" i="3"/>
  <c r="K230" i="3"/>
  <c r="K513" i="3"/>
  <c r="K773" i="3"/>
  <c r="K531" i="3"/>
  <c r="K482" i="3"/>
  <c r="K415" i="3"/>
  <c r="K730" i="3"/>
  <c r="K686" i="3"/>
  <c r="K911" i="3"/>
  <c r="K372" i="3"/>
  <c r="K371" i="3"/>
  <c r="K204" i="3"/>
  <c r="K926" i="3"/>
  <c r="K346" i="3"/>
  <c r="K620" i="3"/>
  <c r="K848" i="3"/>
  <c r="K39" i="3"/>
  <c r="K271" i="3"/>
  <c r="K443" i="3"/>
  <c r="K90" i="3"/>
  <c r="K363" i="3"/>
  <c r="K207" i="3"/>
  <c r="K9" i="3"/>
  <c r="K741" i="3"/>
  <c r="K161" i="3"/>
  <c r="K585" i="3"/>
  <c r="K181" i="3"/>
  <c r="K947" i="3"/>
  <c r="K553" i="3"/>
  <c r="K837" i="3"/>
  <c r="K582" i="3"/>
  <c r="K342" i="3"/>
  <c r="K547" i="3"/>
  <c r="K676" i="3"/>
  <c r="K765" i="3"/>
  <c r="K301" i="3"/>
  <c r="K436" i="3"/>
  <c r="K282" i="3"/>
  <c r="K428" i="3"/>
  <c r="K374" i="3"/>
  <c r="K570" i="3"/>
  <c r="K749" i="3"/>
  <c r="K807" i="3"/>
  <c r="K325" i="3"/>
  <c r="K438" i="3"/>
  <c r="K10" i="3"/>
  <c r="K782" i="3"/>
  <c r="K355" i="3"/>
  <c r="K792" i="3"/>
  <c r="K933" i="3"/>
  <c r="K468" i="3"/>
  <c r="K472" i="3"/>
  <c r="K324" i="3"/>
  <c r="K974" i="3"/>
  <c r="K685" i="3"/>
  <c r="K149" i="3"/>
  <c r="K392" i="3"/>
  <c r="K380" i="3"/>
  <c r="K148" i="3"/>
  <c r="K187" i="3"/>
  <c r="K474" i="3"/>
  <c r="K49" i="3"/>
  <c r="K928" i="3"/>
  <c r="K369" i="3"/>
  <c r="K797" i="3"/>
  <c r="K373" i="3"/>
  <c r="K386" i="3"/>
  <c r="K110" i="3"/>
  <c r="K940" i="3"/>
  <c r="K440" i="3"/>
  <c r="K83" i="3"/>
  <c r="K67" i="3"/>
  <c r="K155" i="3"/>
  <c r="K95" i="3"/>
  <c r="K559" i="3"/>
  <c r="K252" i="3"/>
  <c r="K512" i="3"/>
  <c r="K195" i="3"/>
  <c r="K631" i="3"/>
  <c r="K297" i="3"/>
  <c r="K139" i="3"/>
  <c r="K303" i="3"/>
  <c r="K458" i="3"/>
  <c r="K762" i="3"/>
  <c r="K278" i="3"/>
  <c r="K979" i="3"/>
  <c r="K860" i="3"/>
  <c r="K244" i="3"/>
  <c r="K452" i="3"/>
  <c r="K772" i="3"/>
  <c r="K345" i="3"/>
  <c r="K146" i="3"/>
  <c r="K938" i="3"/>
  <c r="K350" i="3"/>
  <c r="K151" i="3"/>
  <c r="K973" i="3"/>
  <c r="K853" i="3"/>
  <c r="K788" i="3"/>
  <c r="K454" i="3"/>
  <c r="K150" i="3"/>
  <c r="K893" i="3"/>
  <c r="K813" i="3"/>
  <c r="K847" i="3"/>
  <c r="K93" i="3"/>
  <c r="K849" i="3"/>
  <c r="K780" i="3"/>
  <c r="K923" i="3"/>
  <c r="K957" i="3"/>
  <c r="K552" i="3"/>
  <c r="K76" i="3"/>
  <c r="K241" i="3"/>
  <c r="K166" i="3"/>
  <c r="K462" i="3"/>
  <c r="K958" i="3"/>
  <c r="K955" i="3"/>
  <c r="K46" i="3"/>
  <c r="K453" i="3"/>
  <c r="K140" i="3"/>
  <c r="K781" i="3"/>
  <c r="K562" i="3"/>
  <c r="K498" i="3"/>
  <c r="K101" i="3"/>
  <c r="K376" i="3"/>
  <c r="K68" i="3"/>
  <c r="K545" i="3"/>
  <c r="K340" i="3"/>
  <c r="K210" i="3"/>
  <c r="K774" i="3"/>
  <c r="K753" i="3"/>
  <c r="K128" i="3"/>
  <c r="K310" i="3"/>
  <c r="K746" i="3"/>
  <c r="K375" i="3"/>
  <c r="K449" i="3"/>
  <c r="K927" i="3"/>
  <c r="K968" i="3"/>
  <c r="K964" i="3"/>
  <c r="K876" i="3"/>
  <c r="K880" i="3"/>
  <c r="K883" i="3"/>
  <c r="K672" i="3"/>
  <c r="K357" i="3"/>
  <c r="K888" i="3"/>
  <c r="K692" i="3"/>
  <c r="K63" i="3"/>
  <c r="K634" i="3"/>
  <c r="K572" i="3"/>
  <c r="K335" i="3"/>
  <c r="K846" i="3"/>
  <c r="K320" i="3"/>
  <c r="K535" i="3"/>
  <c r="K311" i="3"/>
  <c r="K464" i="3"/>
  <c r="K381" i="3"/>
  <c r="K520" i="3"/>
  <c r="K250" i="3"/>
  <c r="K343" i="3"/>
  <c r="K717" i="3"/>
  <c r="K709" i="3"/>
  <c r="K356" i="3"/>
  <c r="K637" i="3"/>
  <c r="K275" i="3"/>
  <c r="K787" i="3"/>
  <c r="K353" i="3"/>
  <c r="K834" i="3"/>
  <c r="K142" i="3"/>
  <c r="K118" i="3"/>
  <c r="K915" i="3"/>
  <c r="K543" i="3"/>
  <c r="K463" i="3"/>
  <c r="K416" i="3"/>
  <c r="K859" i="3"/>
  <c r="K289" i="3"/>
  <c r="K554" i="3"/>
  <c r="K243" i="3"/>
  <c r="K321" i="3"/>
  <c r="K437" i="3"/>
  <c r="K469" i="3"/>
  <c r="K193" i="3"/>
  <c r="K69" i="3"/>
  <c r="K338" i="3"/>
  <c r="K551" i="3"/>
  <c r="K486" i="3"/>
  <c r="K740" i="3"/>
  <c r="K971" i="3"/>
  <c r="K16" i="3"/>
  <c r="K703" i="3"/>
  <c r="K818" i="3"/>
  <c r="K611" i="3"/>
  <c r="K743" i="3"/>
  <c r="K417" i="3"/>
  <c r="K983" i="3"/>
  <c r="K370" i="3"/>
  <c r="K13" i="3"/>
  <c r="K724" i="3"/>
  <c r="K20" i="3"/>
  <c r="K433" i="3"/>
  <c r="K423" i="3"/>
  <c r="K15" i="3"/>
  <c r="K6" i="3"/>
  <c r="K160" i="3"/>
  <c r="K830" i="3"/>
  <c r="K27" i="3"/>
  <c r="K898" i="3"/>
  <c r="K525" i="3"/>
  <c r="K624" i="3"/>
  <c r="K293" i="3"/>
  <c r="K326" i="3"/>
  <c r="K544" i="3"/>
  <c r="K892" i="3"/>
  <c r="K660" i="3"/>
  <c r="K194" i="3"/>
  <c r="K988" i="3"/>
  <c r="K769" i="3"/>
  <c r="K580" i="3"/>
  <c r="K814" i="3"/>
  <c r="K906" i="3"/>
  <c r="K894" i="3"/>
  <c r="K387" i="3"/>
  <c r="K710" i="3"/>
  <c r="K245" i="3"/>
  <c r="K877" i="3"/>
  <c r="K574" i="3"/>
  <c r="K903" i="3"/>
  <c r="K382" i="3"/>
  <c r="K211" i="3"/>
  <c r="K483" i="3"/>
  <c r="K981" i="3"/>
  <c r="K226" i="3"/>
  <c r="K910" i="3"/>
  <c r="K700" i="3"/>
  <c r="K37" i="3"/>
  <c r="K505" i="3"/>
  <c r="K359" i="3"/>
  <c r="K653" i="3"/>
  <c r="K290" i="3"/>
  <c r="K53" i="3"/>
  <c r="K236" i="3"/>
  <c r="K790" i="3"/>
  <c r="K606" i="3"/>
  <c r="K47" i="3"/>
  <c r="K328" i="3"/>
  <c r="K7" i="3"/>
  <c r="K143" i="3"/>
  <c r="K173" i="3"/>
  <c r="K17" i="3"/>
  <c r="K549" i="3"/>
  <c r="K823" i="3"/>
  <c r="K100" i="3"/>
  <c r="K667" i="3"/>
  <c r="K247" i="3"/>
  <c r="K304" i="3"/>
  <c r="K808" i="3"/>
  <c r="K539" i="3"/>
  <c r="K918" i="3"/>
  <c r="K159" i="3"/>
  <c r="K599" i="3"/>
  <c r="K501" i="3"/>
  <c r="K511" i="3"/>
  <c r="K786" i="3"/>
  <c r="K169" i="3"/>
  <c r="K494" i="3"/>
  <c r="K344" i="3"/>
  <c r="K654" i="3"/>
  <c r="K798" i="3"/>
  <c r="K508" i="3"/>
  <c r="K122" i="3"/>
  <c r="K922" i="3"/>
  <c r="K591" i="3"/>
  <c r="K738" i="3"/>
  <c r="K84" i="3"/>
  <c r="K602" i="3"/>
  <c r="K313" i="3"/>
  <c r="K722" i="3"/>
  <c r="K272" i="3"/>
  <c r="K832" i="3"/>
  <c r="K111" i="3"/>
  <c r="K74" i="3"/>
  <c r="K593" i="3"/>
  <c r="K821" i="3"/>
  <c r="K240" i="3"/>
  <c r="K761" i="3"/>
  <c r="K695" i="3"/>
  <c r="K358" i="3"/>
  <c r="K422" i="3"/>
  <c r="K400" i="3"/>
  <c r="K794" i="3"/>
  <c r="K28" i="3"/>
  <c r="K515" i="3"/>
  <c r="K590" i="3"/>
  <c r="K542" i="3"/>
  <c r="K104" i="3"/>
  <c r="K319" i="3"/>
  <c r="K618" i="3"/>
  <c r="K668" i="3"/>
  <c r="K107" i="3"/>
  <c r="K609" i="3"/>
  <c r="K961" i="3"/>
  <c r="K705" i="3"/>
  <c r="K613" i="3"/>
  <c r="K41" i="3"/>
  <c r="K594" i="3"/>
  <c r="K800" i="3"/>
  <c r="K571" i="3"/>
  <c r="K227" i="3"/>
  <c r="K134" i="3"/>
  <c r="K791" i="3"/>
  <c r="K496" i="3"/>
  <c r="K309" i="3"/>
  <c r="K900" i="3"/>
  <c r="K931" i="3"/>
  <c r="K327" i="3"/>
  <c r="K216" i="3"/>
  <c r="K824" i="3"/>
  <c r="K206" i="3"/>
  <c r="K88" i="3"/>
  <c r="K165" i="3"/>
  <c r="K524" i="3"/>
  <c r="K550" i="3"/>
  <c r="K816" i="3"/>
  <c r="K185" i="3"/>
  <c r="K197" i="3"/>
  <c r="K235" i="3"/>
  <c r="K934" i="3"/>
  <c r="K427" i="3"/>
  <c r="K925" i="3"/>
  <c r="K608" i="3"/>
  <c r="K192" i="3"/>
  <c r="K895" i="3"/>
  <c r="K804" i="3"/>
  <c r="K639" i="3"/>
  <c r="K294" i="3"/>
  <c r="K869" i="3"/>
  <c r="K718" i="3"/>
  <c r="K827" i="3"/>
  <c r="K723" i="3"/>
  <c r="K969" i="3"/>
  <c r="K706" i="3"/>
  <c r="K691" i="3"/>
  <c r="K157" i="3"/>
  <c r="K124" i="3"/>
  <c r="K56" i="3"/>
  <c r="K942" i="3"/>
  <c r="K793" i="3"/>
  <c r="K658" i="3"/>
  <c r="K852" i="3"/>
  <c r="K666" i="3"/>
  <c r="K948" i="3"/>
  <c r="K337" i="3"/>
  <c r="K661" i="3"/>
  <c r="K78" i="3"/>
  <c r="K316" i="3"/>
  <c r="K502" i="3"/>
  <c r="K778" i="3"/>
  <c r="K861" i="3"/>
  <c r="K826" i="3"/>
  <c r="K214" i="3"/>
  <c r="K404" i="3"/>
  <c r="K259" i="3"/>
</calcChain>
</file>

<file path=xl/comments1.xml><?xml version="1.0" encoding="utf-8"?>
<comments xmlns="http://schemas.openxmlformats.org/spreadsheetml/2006/main">
  <authors>
    <author>Rutledge, Jeffrey A.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&lt;?xml version="1.0" encoding="utf-8"?&gt;&lt;Schema xmlns:xsi="http://www.w3.org/2001/XMLSchema-instance" xmlns:xsd="http://www.w3.org/2001/XMLSchema" Version="1"&gt;&lt;FQL&gt;&lt;Q&gt;SPX^FG_PRICE(12/30/2015)&lt;/Q&gt;&lt;R&gt;1&lt;/R&gt;&lt;C&gt;1&lt;/C&gt;&lt;D xsi:type="xsd:double"&gt;2063.36&lt;/D&gt;&lt;/FQL&gt;&lt;FQL&gt;&lt;Q&gt;SPX^FG_PRICE(12/30/2017)&lt;/Q&gt;&lt;R&gt;1&lt;/R&gt;&lt;C&gt;1&lt;/C&gt;&lt;D xsi:type="xsd:double"&gt;2673.61&lt;/D&gt;&lt;/FQL&gt;&lt;FQL&gt;&lt;Q&gt;BRK.B-US^FG_PRICE(12/30/2016)&lt;/Q&gt;&lt;R&gt;1&lt;/R&gt;&lt;C&gt;1&lt;/C&gt;&lt;D xsi:type="xsd:double"&gt;162.98&lt;/D&gt;&lt;/FQL&gt;&lt;FQL&gt;&lt;Q&gt;BRK.B-US^FG_PRICE(12/30/2015)&lt;/Q&gt;&lt;R&gt;1&lt;/R&gt;&lt;C&gt;1&lt;/C&gt;&lt;D xsi:type="xsd:double"&gt;133.26&lt;/D&gt;&lt;/FQL&gt;&lt;FQL&gt;&lt;Q&gt;BRK.B-US^FG_PRICE(12/31/2017)&lt;/Q&gt;&lt;R&gt;1&lt;/R&gt;&lt;C&gt;1&lt;/C&gt;&lt;D xsi:type="xsd:double"&gt;198.22&lt;/D&gt;&lt;/FQL&gt;&lt;FQL&gt;&lt;Q&gt;AMZN-US^FG_PRICE(12/30/2015)&lt;/Q&gt;&lt;R&gt;1&lt;/R&gt;&lt;C&gt;1&lt;/C&gt;&lt;D xsi:type="xsd:double"&gt;689.07&lt;/D&gt;&lt;/FQL&gt;&lt;FQL&gt;&lt;Q&gt;AMZN-US^FG_PRICE(12/31/2017)&lt;/Q&gt;&lt;R&gt;1&lt;/R&gt;&lt;C&gt;1&lt;/C&gt;&lt;D xsi:type="xsd:double"&gt;1169.47&lt;/D&gt;&lt;/FQL&gt;&lt;FQL&gt;&lt;Q&gt;ABT-US^FG_PRICE(12/30/2015)&lt;/Q&gt;&lt;R&gt;1&lt;/R&gt;&lt;C&gt;1&lt;/C&gt;&lt;D xsi:type="xsd:double"&gt;45.27&lt;/D&gt;&lt;/FQL&gt;&lt;FQL&gt;&lt;Q&gt;ABT-US^FG_PRICE(12/31/2017)&lt;/Q&gt;&lt;R&gt;1&lt;/R&gt;&lt;C&gt;1&lt;/C&gt;&lt;D xsi:type="xsd:double"&gt;57.07&lt;/D&gt;&lt;/FQL&gt;&lt;FQL&gt;&lt;Q&gt;AES-US^FG_PRICE(12/30/2015)&lt;/Q&gt;&lt;R&gt;1&lt;/R&gt;&lt;C&gt;1&lt;/C&gt;&lt;D xsi:type="xsd:double"&gt;9.5&lt;/D&gt;&lt;/FQL&gt;&lt;FQL&gt;&lt;Q&gt;AES-US^FG_PRICE(12/31/2017)&lt;/Q&gt;&lt;R&gt;1&lt;/R&gt;&lt;C&gt;1&lt;/C&gt;&lt;D xsi:type="xsd:double"&gt;10.83&lt;/D&gt;&lt;/FQL&gt;&lt;FQL&gt;&lt;Q&gt;AAN-US^FG_PRICE(12/30/2015)&lt;/Q&gt;&lt;R&gt;1&lt;/R&gt;&lt;C&gt;1&lt;/C&gt;&lt;D xsi:type="xsd:double"&gt;22.55&lt;/D&gt;&lt;/FQL&gt;&lt;FQL&gt;&lt;Q&gt;AAN-US^FG_PRICE(12/31/2017)&lt;/Q&gt;&lt;R&gt;1&lt;/R&gt;&lt;C&gt;1&lt;/C&gt;&lt;D xsi:type="xsd:double"&gt;39.85&lt;/D&gt;&lt;/FQL&gt;&lt;FQL&gt;&lt;Q&gt;ANF-US^FG_PRICE(12/30/2015)&lt;/Q&gt;&lt;R&gt;1&lt;/R&gt;&lt;C&gt;1&lt;/C&gt;&lt;D xsi:type="xsd:double"&gt;27.46&lt;/D&gt;&lt;/FQL&gt;&lt;FQL&gt;&lt;Q&gt;ANF-US^FG_PRICE(12/31/2017)&lt;/Q&gt;&lt;R&gt;1&lt;/R&gt;&lt;C&gt;1&lt;/C&gt;&lt;D xsi:type="xsd:double"&gt;17.43&lt;/D&gt;&lt;/FQL&gt;&lt;FQL&gt;&lt;Q&gt;IBM-US^FG_PRICE(12/30/2015)&lt;/Q&gt;&lt;R&gt;1&lt;/R&gt;&lt;C&gt;1&lt;/C&gt;&lt;D xsi:type="xsd:double"&gt;139.34&lt;/D&gt;&lt;/FQL&gt;&lt;FQL&gt;&lt;Q&gt;IBM-US^FG_PRICE(12/31/2017)&lt;/Q&gt;&lt;R&gt;1&lt;/R&gt;&lt;C&gt;1&lt;/C&gt;&lt;D xsi:type="xsd:double"&gt;153.42&lt;/D&gt;&lt;/FQL&gt;&lt;FQL&gt;&lt;Q&gt;AMD-US^FG_PRICE(12/30/2015)&lt;/Q&gt;&lt;R&gt;1&lt;/R&gt;&lt;C&gt;1&lt;/C&gt;&lt;D xsi:type="xsd:double"&gt;2.98&lt;/D&gt;&lt;/FQL&gt;&lt;FQL&gt;&lt;Q&gt;AMD-US^FG_PRICE(12/31/2017)&lt;/Q&gt;&lt;R&gt;1&lt;/R&gt;&lt;C&gt;1&lt;/C&gt;&lt;D xsi:type="xsd:double"&gt;10.28&lt;/D&gt;&lt;/FQL&gt;&lt;FQL&gt;&lt;Q&gt;ADBE-US^FG_PRICE(12/30/2015)&lt;/Q&gt;&lt;R&gt;1&lt;/R&gt;&lt;C&gt;1&lt;/C&gt;&lt;D xsi:type="xsd:double"&gt;95.28&lt;/D&gt;&lt;/FQL&gt;&lt;FQL&gt;&lt;Q&gt;ADBE-US^FG_PRICE(12/31/2017)&lt;/Q&gt;&lt;R&gt;1&lt;/R&gt;&lt;C&gt;1&lt;/C&gt;&lt;D xsi:type="xsd:double"&gt;175.24&lt;/D&gt;&lt;/FQL&gt;&lt;FQL&gt;&lt;Q&gt;ARE-US^FG_PRICE(12/30/2015)&lt;/Q&gt;&lt;R&gt;1&lt;/R&gt;&lt;C&gt;1&lt;/C&gt;&lt;D xsi:type="xsd:double"&gt;91.39&lt;/D&gt;&lt;/FQL&gt;&lt;FQL&gt;&lt;Q&gt;ARE-US^FG_PRICE(12/31/2017)&lt;/Q&gt;&lt;R&gt;1&lt;/R&gt;&lt;C&gt;1&lt;/C&gt;&lt;D xsi:type="xsd:double"&gt;130.59&lt;/D&gt;&lt;/FQL&gt;&lt;FQL&gt;&lt;Q&gt;AGCO-US^FG_PRICE(12/30/2015)&lt;/Q&gt;&lt;R&gt;1&lt;/R&gt;&lt;C&gt;1&lt;/C&gt;&lt;D xsi:type="xsd:double"&gt;46.23&lt;/D&gt;&lt;/FQL&gt;&lt;FQL&gt;&lt;Q&gt;AGCO-US^FG_PRICE(12/31/2017)&lt;/Q&gt;&lt;R&gt;1&lt;/R&gt;&lt;C&gt;1&lt;/C&gt;&lt;D xsi:type="xsd:double"&gt;71.43&lt;/D&gt;&lt;/FQL&gt;&lt;FQL&gt;&lt;Q&gt;ARG-US^FG_PRICE(12/30/2015)&lt;/Q&gt;&lt;R&gt;1&lt;/R&gt;&lt;C&gt;1&lt;/C&gt;&lt;D xsi:type="xsd:double"&gt;138.54&lt;/D&gt;&lt;/FQL&gt;&lt;FQL&gt;&lt;Q&gt;ARG-US^FG_PRICE(12/31/2017)&lt;/Q&gt;&lt;R&gt;0&lt;/R&gt;&lt;C&gt;0&lt;/C&gt;&lt;/FQL&gt;&lt;FQL&gt;&lt;Q&gt;APD-US^FG_PRICE(12/30/2015)&lt;/Q&gt;&lt;R&gt;1&lt;/R&gt;&lt;C&gt;1&lt;/C&gt;&lt;D xsi:type="xsd:double"&gt;122.274956&lt;/D&gt;&lt;/FQL&gt;&lt;FQL&gt;&lt;Q&gt;APD-US^FG_PRICE(12/31/2017)&lt;/Q&gt;&lt;R&gt;1&lt;/R&gt;&lt;C&gt;1&lt;/C&gt;&lt;D xsi:type="xsd:double"&gt;164.08&lt;/D&gt;&lt;/FQL&gt;&lt;FQL&gt;&lt;Q&gt;EGN-US^FG_PRICE(12/30/2015)&lt;/Q&gt;&lt;R&gt;1&lt;/R&gt;&lt;C&gt;1&lt;/C&gt;&lt;D xsi:type="xsd:double"&gt;40.45&lt;/D&gt;&lt;/FQL&gt;&lt;FQL&gt;&lt;Q&gt;EGN-US^FG_PRICE(12/31/2017)&lt;/Q&gt;&lt;R&gt;1&lt;/R&gt;&lt;C&gt;1&lt;/C&gt;&lt;D xsi:type="xsd:double"&gt;57.57&lt;/D&gt;&lt;/FQL&gt;&lt;FQL&gt;&lt;Q&gt;Y-US^FG_PRICE(12/30/2015)&lt;/Q&gt;&lt;R&gt;1&lt;/R&gt;&lt;C&gt;1&lt;/C&gt;&lt;D xsi:type="xsd:double"&gt;483.9&lt;/D&gt;&lt;/FQL&gt;&lt;FQL&gt;&lt;Q&gt;Y-US^FG_PRICE(12/31/2017)&lt;/Q&gt;&lt;R&gt;1&lt;/R&gt;&lt;C&gt;1&lt;/C&gt;&lt;D xsi:type="xsd:double"&gt;596.09&lt;/D&gt;&lt;/FQL&gt;&lt;FQL&gt;&lt;Q&gt;DD-US^FG_PRICE(12/30/2015)&lt;/Q&gt;&lt;R&gt;1&lt;/R&gt;&lt;C&gt;1&lt;/C&gt;&lt;D xsi:type="xsd:double"&gt;67.33&lt;/D&gt;&lt;/FQL&gt;&lt;FQL&gt;&lt;Q&gt;DD-US^FG_PRICE(12/31/2017)&lt;/Q&gt;&lt;R&gt;0&lt;/R&gt;&lt;C&gt;0&lt;/C&gt;&lt;/FQL&gt;&lt;FQL&gt;&lt;Q&gt;BXP-US^FG_PRICE(12/30/2015)&lt;/Q&gt;&lt;R&gt;1&lt;/R&gt;&lt;C&gt;1&lt;/C&gt;&lt;D xsi:type="xsd:double"&gt;128.6&lt;/D&gt;&lt;/FQL&gt;&lt;FQL&gt;&lt;Q&gt;BXP-US^FG_PRICE(12/31/2017)&lt;/Q&gt;&lt;R&gt;1&lt;/R&gt;&lt;C&gt;1&lt;/C&gt;&lt;D xsi:type="xsd:double"&gt;130.03&lt;/D&gt;&lt;/FQL&gt;&lt;FQL&gt;&lt;Q&gt;ALL-US^FG_PRICE(12/30/2015)&lt;/Q&gt;&lt;R&gt;1&lt;/R&gt;&lt;C&gt;1&lt;/C&gt;&lt;D xsi:type="xsd:double"&gt;62.81&lt;/D&gt;&lt;/FQL&gt;&lt;FQL&gt;&lt;Q&gt;ALL-US^FG_PRICE(12/31/2017)&lt;/Q&gt;&lt;R&gt;1&lt;/R&gt;&lt;C&gt;1&lt;/C&gt;&lt;D xsi:type="xsd:double"&gt;104.71&lt;/D&gt;&lt;/FQL&gt;&lt;FQL&gt;&lt;Q&gt;THG-US^FG_PRICE(12/30/2015)&lt;/Q&gt;&lt;R&gt;1&lt;/R&gt;&lt;C&gt;1&lt;/C&gt;&lt;D xsi:type="xsd:double"&gt;82.78&lt;/D&gt;&lt;/FQL&gt;&lt;FQL&gt;&lt;Q&gt;THG-US^FG_PRICE(12/31/2017)&lt;/Q&gt;&lt;R&gt;1&lt;/R&gt;&lt;C&gt;1&lt;/C&gt;&lt;D xsi:type="xsd:double"&gt;108.08&lt;/D&gt;&lt;/FQL&gt;&lt;FQL&gt;&lt;Q&gt;HON-US^FG_PRICE(12/30/2015)&lt;/Q&gt;&lt;R&gt;1&lt;/R&gt;&lt;C&gt;1&lt;/C&gt;&lt;D xsi:type="xsd:double"&gt;103.86544&lt;/D&gt;&lt;/FQL&gt;&lt;FQL&gt;&lt;Q&gt;HON-US^FG_PRICE(12/31/2017)&lt;/Q&gt;&lt;R&gt;1&lt;/R&gt;&lt;C&gt;1&lt;/C&gt;&lt;D xsi:type="xsd:double"&gt;153.36&lt;/D&gt;&lt;/FQL&gt;&lt;FQL&gt;&lt;Q&gt;AA-US^FG_PRICE(12/30/2015)&lt;/Q&gt;&lt;R&gt;1&lt;/R&gt;&lt;C&gt;1&lt;/C&gt;&lt;D xsi:type="xsd:double"&gt;22.31637&lt;/D&gt;&lt;/FQL&gt;&lt;FQL&gt;&lt;Q&gt;AA-US^FG_PRICE(12/31/2017)&lt;/Q&gt;&lt;R&gt;1&lt;/R&gt;&lt;C&gt;1&lt;/C&gt;&lt;D xsi:type="xsd:double"&gt;53.87&lt;/D&gt;&lt;/FQL&gt;&lt;FQL&gt;&lt;Q&gt;AMGN-US^FG_PRICE(12/30/2015)&lt;/Q&gt;&lt;R&gt;1&lt;/R&gt;&lt;C&gt;1&lt;/C&gt;&lt;D xsi:type="xsd:double"&gt;163.29&lt;/D&gt;&lt;/FQL&gt;&lt;FQL&gt;&lt;Q&gt;AMGN-US^FG_PRICE(12/31/2017)&lt;/Q&gt;&lt;R&gt;1&lt;/R&gt;&lt;C&gt;1&lt;/C&gt;&lt;D xsi:type="xsd:double"&gt;173.9&lt;/D&gt;&lt;/FQL&gt;&lt;FQL&gt;&lt;Q&gt;HES-US^FG_PRICE(12/30/2015)&lt;/Q&gt;&lt;R&gt;1&lt;/R&gt;&lt;C&gt;1&lt;/C&gt;&lt;D xsi:type="xsd:double"&gt;48.17&lt;/D&gt;&lt;/FQL&gt;&lt;FQL&gt;&lt;Q&gt;HES-US^FG_PRICE(12/31/2017)&lt;/Q&gt;&lt;R&gt;1&lt;/R&gt;&lt;C&gt;1&lt;/C&gt;&lt;D xsi:type="xsd:double"&gt;47.47&lt;/D&gt;&lt;/FQL&gt;&lt;FQL&gt;&lt;Q&gt;IEP-US^FG_PRICE(12/30/2015)&lt;/Q&gt;&lt;R&gt;1&lt;/R&gt;&lt;C&gt;1&lt;/C&gt;&lt;D xsi:type="xsd:double"&gt;61.79085&lt;/D&gt;&lt;/FQL&gt;&lt;FQL&gt;&lt;Q&gt;IEP-US^FG_PRICE(12/31/2017)&lt;/Q&gt;&lt;R&gt;1&lt;/R&gt;&lt;C&gt;1&lt;/C&gt;&lt;D xsi:type="xsd:double"&gt;53&lt;/D&gt;&lt;/FQL&gt;&lt;FQL&gt;&lt;Q&gt;AXP-US^FG_PRICE(12/30/2015)&lt;/Q&gt;&lt;R&gt;1&lt;/R&gt;&lt;C&gt;1&lt;/C&gt;&lt;D xsi:type="xsd:double"&gt;70.16&lt;/D&gt;&lt;/FQL&gt;&lt;FQL&gt;&lt;Q&gt;AXP-US^FG_PRICE(12/31/2017)&lt;/Q&gt;&lt;R&gt;1&lt;/R&gt;&lt;C&gt;1&lt;/C&gt;&lt;D xsi:type="xsd:double"&gt;99.31&lt;/D&gt;&lt;/FQL&gt;&lt;FQL&gt;&lt;Q&gt;AEP-US^FG_PRICE(12/30/2015)&lt;/Q&gt;&lt;R&gt;1&lt;/R&gt;&lt;C&gt;1&lt;/C&gt;&lt;D xsi:type="xsd:double"&gt;58.9&lt;/D&gt;&lt;/FQL&gt;&lt;FQL&gt;&lt;Q&gt;AEP-US^FG_PRICE(12/31/2017)&lt;/Q&gt;&lt;R&gt;1&lt;/R&gt;&lt;C&gt;1&lt;/C&gt;&lt;D xsi:type="xsd:double"&gt;73.57&lt;/D&gt;&lt;/FQL&gt;&lt;FQL&gt;&lt;Q&gt;AFL-US^FG_PRICE(12/30/2015)&lt;/Q&gt;&lt;R&gt;1&lt;/R&gt;&lt;C&gt;1&lt;/C&gt;&lt;D xsi:type="xsd:double"&gt;30.26&lt;/D&gt;&lt;/FQL&gt;&lt;FQL&gt;&lt;Q&gt;AFL-US^FG_PRICE(12/31/2017)&lt;/Q&gt;&lt;R&gt;1&lt;/R&gt;&lt;C&gt;1&lt;/C&gt;&lt;D xsi:type="xsd:double"&gt;43.89&lt;/D&gt;&lt;/FQL&gt;&lt;FQL&gt;&lt;Q&gt;AIG-US^FG_PRICE(12/30/2015)&lt;/Q&gt;&lt;R&gt;1&lt;/R&gt;&lt;C&gt;1&lt;/C&gt;&lt;D xsi:type="xsd:double"&gt;62.51&lt;/D&gt;&lt;/FQL&gt;&lt;FQL&gt;&lt;Q&gt;AIG-US^FG_PRICE(12/31/2017)&lt;/Q&gt;&lt;R&gt;1&lt;/R&gt;&lt;C&gt;1&lt;/C&gt;&lt;D xsi:type="xsd:double"&gt;59.58&lt;/D&gt;&lt;/FQL&gt;&lt;FQL&gt;&lt;Q&gt;JAH-US^FG_PRICE(12/30/2015)&lt;/Q&gt;&lt;R&gt;1&lt;/R&gt;&lt;C&gt;1&lt;/C&gt;&lt;D xsi:type="xsd:double"&gt;56.74&lt;/D&gt;&lt;/FQL&gt;&lt;FQL&gt;&lt;Q&gt;JAH-US^FG_PRICE(12/31/2017)&lt;/Q&gt;&lt;R&gt;0&lt;/R&gt;&lt;C&gt;0&lt;/C&gt;&lt;/FQL&gt;&lt;FQL&gt;&lt;Q&gt;ANAT-US^FG_PRICE(12/30/2015)&lt;/Q&gt;&lt;R&gt;1&lt;/R&gt;&lt;C&gt;1&lt;/C&gt;&lt;D xsi:type="xsd:double"&gt;102.59&lt;/D&gt;&lt;/FQL&gt;&lt;FQL&gt;&lt;Q&gt;ANAT-US^FG_PRICE(12/31/2017)&lt;/Q&gt;&lt;R&gt;1&lt;/R&gt;&lt;C&gt;1&lt;/C&gt;&lt;D xsi:type="xsd:double"&gt;128.25&lt;/D&gt;&lt;/FQL&gt;&lt;FQL&gt;&lt;Q&gt;ADI-US^FG_PRICE(12/30/2015)&lt;/Q&gt;&lt;R&gt;1&lt;/R&gt;&lt;C&gt;1&lt;/C&gt;&lt;D xsi:type="xsd:double"&gt;56.55&lt;/D&gt;&lt;/FQL&gt;&lt;FQL&gt;&lt;Q&gt;ADI-US^FG_PRICE(12/31/2017)&lt;/Q&gt;&lt;R&gt;1&lt;/R&gt;&lt;C&gt;1&lt;/C&gt;&lt;D xsi:type="xsd:double"&gt;89.03&lt;/D&gt;&lt;/FQL&gt;&lt;FQL&gt;&lt;Q&gt;APC-US^FG_PRICE(12/30/2015)&lt;/Q&gt;&lt;R&gt;1&lt;/R&gt;&lt;C&gt;1&lt;/C&gt;&lt;D xsi:type="xsd:double"&gt;48.38&lt;/D&gt;&lt;/FQL&gt;&lt;FQL&gt;&lt;Q&gt;APC-US^FG_PRICE(12/31/2017)&lt;/Q&gt;&lt;R&gt;1&lt;/R&gt;&lt;C&gt;1&lt;/C&gt;&lt;D xsi:type="xsd:double"&gt;53.64&lt;/D&gt;&lt;/FQL&gt;&lt;FQL&gt;&lt;Q&gt;ALXN-US^FG_PRICE(12/30/2015)&lt;/Q&gt;&lt;R&gt;1&lt;/R&gt;&lt;C&gt;1&lt;/C&gt;&lt;D xsi:type="xsd:double"&gt;191.31&lt;/D&gt;&lt;/FQL&gt;&lt;FQL&gt;&lt;Q&gt;ALXN-US^FG_PRICE(12/31/2017)&lt;/Q&gt;&lt;R&gt;1&lt;/R&gt;&lt;C&gt;1&lt;/C&gt;&lt;D xsi:type="xsd:double"&gt;119.59&lt;/D&gt;&lt;/FQL&gt;&lt;FQL&gt;&lt;Q&gt;HLX-US^FG_PRICE(12/30/2015)&lt;/Q&gt;&lt;R&gt;1&lt;/R&gt;&lt;C&gt;1&lt;/C&gt;&lt;D xsi:type="xsd:double"&gt;5.23&lt;/D&gt;&lt;/FQL&gt;&lt;FQL&gt;&lt;Q&gt;HLX-US^FG_PRICE(12/31/2017)&lt;/Q&gt;&lt;R&gt;1&lt;/R&gt;&lt;C&gt;1&lt;/C&gt;&lt;D xsi:type="xsd:double"&gt;7.54&lt;/D&gt;&lt;/FQL&gt;&lt;FQL&gt;&lt;Q&gt;JLL-US^FG_PRICE(12/30/2015)&lt;/Q&gt;&lt;R&gt;1&lt;/R&gt;&lt;C&gt;1&lt;/C&gt;&lt;D xsi:type="xsd:double"&gt;158.81&lt;/D&gt;&lt;/FQL&gt;&lt;FQL&gt;&lt;Q&gt;JLL-US^FG_PRICE(12/31/2017)&lt;/Q&gt;&lt;R&gt;1&lt;/R&gt;&lt;C&gt;1&lt;/C&gt;&lt;D xsi:type="xsd:double"&gt;148.93&lt;/D&gt;&lt;/FQL&gt;&lt;FQL&gt;&lt;Q&gt;VLO-US^FG_PRICE(12/30/2015)&lt;/Q&gt;&lt;R&gt;1&lt;/R&gt;&lt;C&gt;1&lt;/C&gt;&lt;D xsi:type="xsd:double"&gt;71.58&lt;/D&gt;&lt;/FQL&gt;&lt;FQL&gt;&lt;Q&gt;VLO-US^FG_PRICE(12/31/2017)&lt;/Q&gt;&lt;R&gt;1&lt;/R&gt;&lt;C&gt;1&lt;/C&gt;&lt;D xsi:type="xsd:double"&gt;91.91&lt;/D&gt;&lt;/FQL&gt;&lt;FQL&gt;&lt;Q&gt;APOL-US^FG_PRICE(12/30/2015)&lt;/Q&gt;&lt;R&gt;1&lt;/R&gt;&lt;C&gt;1&lt;/C&gt;&lt;D xsi:type="xsd:double"&gt;7.91&lt;/D&gt;&lt;/FQL&gt;&lt;FQL&gt;&lt;Q&gt;APOL-US^FG_PRICE(12/31/2017)&lt;/Q&gt;&lt;R&gt;0&lt;/R&gt;&lt;C&gt;0&lt;/C&gt;&lt;/FQL&gt;&lt;FQL&gt;&lt;Q&gt;APA-US^FG_PRICE(12/30/2015)&lt;/Q&gt;&lt;R&gt;1&lt;/R&gt;&lt;C&gt;1&lt;/C&gt;&lt;D xsi:type="xsd:double"&gt;44.81&lt;/D&gt;&lt;/FQL&gt;&lt;FQL&gt;&lt;Q&gt;APA-US^FG_PRICE(12/31/2017)&lt;/Q&gt;&lt;R&gt;1&lt;/R&gt;&lt;C&gt;1&lt;/C&gt;&lt;D xsi:type="xsd:double"&gt;42.22&lt;/D&gt;&lt;/FQL&gt;&lt;FQL&gt;&lt;Q&gt;CMCSA-US^FG_PRICE(12/30/2015)&lt;/Q&gt;&lt;R&gt;1&lt;/R&gt;&lt;C&gt;1&lt;/C&gt;&lt;D xsi:type="xsd:double"&gt;28.355&lt;/D&gt;&lt;/FQL&gt;&lt;FQL&gt;&lt;Q&gt;CMCSA-US^FG_PRICE(12/31/2017)&lt;/Q&gt;&lt;R&gt;1&lt;/R&gt;&lt;C&gt;1&lt;/C&gt;&lt;D xsi:type="xsd:double"&gt;40.05&lt;/D&gt;&lt;/FQL&gt;&lt;FQL&gt;&lt;Q&gt;ATR-US^FG_PRICE(12/30/2015)&lt;/Q&gt;&lt;R&gt;1&lt;/R&gt;&lt;C&gt;1&lt;/C&gt;&lt;D xsi:type="xsd:double"&gt;73.62&lt;/D&gt;&lt;/FQL&gt;&lt;FQL&gt;&lt;Q&gt;ATR-US^FG_PRICE(12/31/2017)&lt;/Q&gt;&lt;R&gt;1&lt;/R&gt;&lt;C&gt;1&lt;/C&gt;&lt;D xsi:type="xsd:double"&gt;86.28&lt;/D&gt;&lt;/FQL&gt;&lt;FQL&gt;&lt;Q&gt;ANSS-US^FG_PRICE(12/30/2015)&lt;/Q&gt;&lt;R&gt;1&lt;/R&gt;&lt;C&gt;1&lt;/C&gt;&lt;D xsi:type="xsd:double"&gt;93.72&lt;/D&gt;&lt;/FQL&gt;&lt;FQL&gt;&lt;Q&gt;ANSS-US^FG_PRICE(12/31/2017)&lt;/Q&gt;&lt;R&gt;1&lt;/R&gt;&lt;C&gt;1&lt;/C&gt;&lt;D xsi:type="xsd:double"&gt;147.59&lt;/D&gt;&lt;/FQL&gt;&lt;FQL&gt;&lt;Q&gt;APOG-US^FG_PRICE(12/30/2015)&lt;/Q&gt;&lt;R&gt;1&lt;/R&gt;&lt;C&gt;1&lt;/C&gt;&lt;D xsi:type="xsd:double"&gt;44&lt;/D&gt;&lt;/FQL&gt;&lt;FQL&gt;&lt;Q&gt;APOG-US^FG_PRICE(12/31/2017)&lt;/Q&gt;&lt;R&gt;1&lt;/R&gt;&lt;C&gt;1&lt;/C&gt;&lt;D xsi:type="xsd:double"&gt;45.73&lt;/D&gt;&lt;/FQL&gt;&lt;FQL&gt;&lt;Q&gt;AAPL-US^FG_PRICE(12/30/2015)&lt;/Q&gt;&lt;R&gt;1&lt;/R&gt;&lt;C&gt;1&lt;/C&gt;&lt;D xsi:type="xsd:double"&gt;107.32&lt;/D&gt;&lt;/FQL&gt;&lt;FQL&gt;&lt;Q&gt;AAPL-US^FG_PRICE(12/31/2017)&lt;/Q&gt;&lt;R&gt;1&lt;/R&gt;&lt;C&gt;1&lt;/C&gt;&lt;D xsi:type="xsd:double"&gt;169.23&lt;/D&gt;&lt;/FQL&gt;&lt;FQL&gt;&lt;Q&gt;AMAT-US^FG_PRICE(12/30/2015)&lt;/Q&gt;&lt;R&gt;1&lt;/R&gt;&lt;C&gt;1&lt;/C&gt;&lt;D xsi:type="xsd:double"&gt;18.96&lt;/D&gt;&lt;/FQL&gt;&lt;FQL&gt;&lt;Q&gt;AMAT-US^FG_PRICE(12/31/2017)&lt;/Q&gt;&lt;R&gt;1&lt;/R&gt;&lt;C&gt;1&lt;/C&gt;&lt;D xsi:type="xsd:double"&gt;51.12&lt;/D&gt;&lt;/FQL&gt;&lt;FQL&gt;&lt;Q&gt;ALB-US^FG_PRICE(12/30/2015)&lt;/Q&gt;&lt;R&gt;1&lt;/R&gt;&lt;C&gt;1&lt;/C&gt;&lt;D xsi:type="xsd:double"&gt;56.34&lt;/D&gt;&lt;/FQL&gt;&lt;FQL&gt;&lt;Q&gt;ALB-US^FG_PRICE(12/31/2017)&lt;/Q&gt;&lt;R&gt;1&lt;/R&gt;&lt;C&gt;1&lt;/C&gt;&lt;D xsi:type="xsd:double"&gt;127.89&lt;/D&gt;&lt;/FQL&gt;&lt;FQL&gt;&lt;Q&gt;ADM-US^FG_PRICE(12/30/2015)&lt;/Q&gt;&lt;R&gt;1&lt;/R&gt;&lt;C&gt;1&lt;/C&gt;&lt;D xsi:type="xsd:double"&gt;36.88&lt;/D&gt;&lt;/FQL&gt;&lt;FQL&gt;&lt;Q&gt;ADM-US^FG_PRICE(12/31/2017)&lt;/Q&gt;&lt;R&gt;1&lt;/R&gt;&lt;C&gt;1&lt;/C&gt;&lt;D xsi:type="xsd:double"&gt;40.08&lt;/D&gt;&lt;/FQL&gt;&lt;FQL&gt;&lt;Q&gt;AEO-US^FG_PRICE(12/30/2015)&lt;/Q&gt;&lt;R&gt;1&lt;/R&gt;&lt;C&gt;1&lt;/C&gt;&lt;D xsi:type="xsd:double"&gt;15.63&lt;/D&gt;&lt;/FQL&gt;&lt;FQL&gt;&lt;Q&gt;AEO-US^FG_PRICE(12/31/2017)&lt;/Q&gt;&lt;R&gt;1&lt;/R&gt;&lt;C&gt;1&lt;/C&gt;&lt;D xsi:type="xsd:double"&gt;18.8&lt;/D&gt;&lt;/FQL&gt;&lt;FQL&gt;&lt;Q&gt;PNW-US^FG_PRICE(12/30/2015)&lt;/Q&gt;&lt;R&gt;1&lt;/R&gt;&lt;C&gt;1&lt;/C&gt;&lt;D xsi:type="xsd:double"&gt;65.23&lt;/D&gt;&lt;/FQL&gt;&lt;FQL&gt;&lt;Q&gt;PNW-US^FG_PRICE(12/31/2017)&lt;/Q&gt;&lt;R&gt;1&lt;/R&gt;&lt;C&gt;1&lt;/C&gt;&lt;D xsi:type="xsd:double"&gt;85.18&lt;/D&gt;&lt;/FQL&gt;&lt;FQL&gt;&lt;Q&gt;AEE-US^FG_PRICE(12/30/2015)&lt;/Q&gt;&lt;R&gt;1&lt;/R&gt;&lt;C&gt;1&lt;/C&gt;&lt;D xsi:type="xsd:double"&gt;44&lt;/D&gt;&lt;/FQL&gt;&lt;FQL&gt;&lt;Q&gt;AEE-US^FG_PRICE(12/31/2017)&lt;/Q&gt;&lt;R&gt;1&lt;/R&gt;&lt;C&gt;1&lt;/C&gt;&lt;D xsi:type="xsd:double"&gt;58.99&lt;/D&gt;&lt;/FQL&gt;&lt;FQL&gt;&lt;Q&gt;ARW-US^FG_PRICE(12/30/2015)&lt;/Q&gt;&lt;R&gt;1&lt;/R&gt;&lt;C&gt;1&lt;/C&gt;&lt;D xsi:type="xsd:double"&gt;55.35&lt;/D&gt;&lt;/FQL&gt;&lt;FQL&gt;&lt;Q&gt;ARW-US^FG_PRICE(12/31/2017)&lt;/Q&gt;&lt;R&gt;1&lt;/R&gt;&lt;C&gt;1&lt;/C&gt;&lt;D xsi:type="xsd:double"&gt;80.41&lt;/D&gt;&lt;/FQL&gt;&lt;FQL&gt;&lt;Q&gt;ADTN-US^FG_PRICE(12/30/2015)&lt;/Q&gt;&lt;R&gt;1&lt;/R&gt;&lt;C&gt;1&lt;/C&gt;&lt;D xsi:type="xsd:double"&gt;17.3&lt;/D&gt;&lt;/FQL&gt;&lt;FQL&gt;&lt;Q&gt;ADTN-US^FG_PRICE(12/31/2017)&lt;/Q&gt;&lt;R&gt;1&lt;/R&gt;&lt;C&gt;1&lt;/C&gt;&lt;D xsi:type="xsd:double"&gt;19.35&lt;/D&gt;&lt;/FQL&gt;&lt;FQL&gt;&lt;Q&gt;AVX-US^FG_PRICE(12/30/2015)&lt;/Q&gt;&lt;R&gt;1&lt;/R&gt;&lt;C&gt;1&lt;/C&gt;&lt;D xsi:type="xsd:double"&gt;12.18&lt;/D&gt;&lt;/FQL&gt;&lt;FQL&gt;&lt;Q&gt;AVX-US^FG_PRICE(12/31/2017)&lt;/Q&gt;&lt;R&gt;1&lt;/R&gt;&lt;C&gt;1&lt;/C&gt;&lt;D xsi:type="xsd:double"&gt;17.3&lt;/D&gt;&lt;/FQL&gt;&lt;FQL&gt;&lt;Q&gt;ASB-US^FG_PRICE(12/30/2015)&lt;/Q&gt;&lt;R&gt;1&lt;/R&gt;&lt;C&gt;1&lt;/C&gt;&lt;D xsi:type="xsd:double"&gt;19&lt;/D&gt;&lt;/FQL&gt;&lt;FQL&gt;&lt;Q&gt;ASB-US^FG_PRICE(12/31/2017)&lt;/Q&gt;&lt;R&gt;1&lt;/R&gt;&lt;C&gt;1&lt;/C&gt;&lt;D xsi:type="xsd:double"&gt;25.4&lt;/D&gt;&lt;/FQL&gt;&lt;FQL&gt;&lt;Q&gt;AIV-US^FG_PRICE(12/30/2015)&lt;/Q&gt;&lt;R&gt;1&lt;/R&gt;&lt;C&gt;1&lt;/C&gt;&lt;D xsi:type="xsd:double"&gt;40.36&lt;/D&gt;&lt;/FQL&gt;&lt;FQL&gt;&lt;Q&gt;AIV-US^FG_PRICE(12/31/2017)&lt;/Q&gt;&lt;R&gt;1&lt;/R&gt;&lt;C&gt;1&lt;/C&gt;&lt;D xsi:type="xsd:double"&gt;43.71&lt;/D&gt;&lt;/FQL&gt;&lt;FQL&gt;&lt;Q&gt;GAS-US^FG_PRICE(12/30/2015)&lt;/Q&gt;&lt;R&gt;1&lt;/R&gt;&lt;C&gt;1&lt;/C&gt;&lt;D xsi:type="xsd:double"&gt;63.82&lt;/D&gt;&lt;/FQL&gt;&lt;FQL&gt;&lt;Q&gt;GAS-US^FG_PRICE(12/31/2017)&lt;/Q&gt;&lt;R&gt;0&lt;/R&gt;&lt;C&gt;0&lt;/C&gt;&lt;/FQL&gt;&lt;FQL&gt;&lt;Q&gt;ATML-US^FG_PRICE(12/30/2015)&lt;/Q&gt;&lt;R&gt;1&lt;/R&gt;&lt;C&gt;1&lt;/C&gt;&lt;D xsi:type="xsd:double"&gt;8.68&lt;/D&gt;&lt;/FQL&gt;&lt;FQL&gt;&lt;Q&gt;ATML-US^FG_PRICE(12/31/2017)&lt;/Q&gt;&lt;R&gt;0&lt;/R&gt;&lt;C&gt;0&lt;/C&gt;&lt;/FQL&gt;&lt;FQL&gt;&lt;Q&gt;ATW-US^FG_PRICE(12/30/2015)&lt;/Q&gt;&lt;R&gt;1&lt;/R&gt;&lt;C&gt;1&lt;/C&gt;&lt;D xsi:type="xsd:double"&gt;10.12&lt;/D&gt;&lt;/FQL&gt;&lt;FQL&gt;&lt;Q&gt;ATW-US^FG_PRICE(12/31/2017)&lt;/Q&gt;&lt;R&gt;0&lt;/R&gt;&lt;C&gt;0&lt;/C&gt;&lt;/FQL&gt;&lt;FQL&gt;&lt;Q&gt;PNRA-US^FG_PRICE(12/30/2015)&lt;/Q&gt;&lt;R&gt;1&lt;/R&gt;&lt;C&gt;1&lt;/C&gt;&lt;D xsi:type="xsd:double"&gt;195.19&lt;/D&gt;&lt;/FQL&gt;&lt;FQL&gt;&lt;Q&gt;PNRA-US^FG_PRICE(12/31/2017)&lt;/Q&gt;&lt;R&gt;0&lt;/R&gt;&lt;C&gt;0&lt;/C&gt;&lt;/FQL&gt;&lt;FQL&gt;&lt;Q&gt;ADSK-US^FG_PRICE(12/30/2015)&lt;/Q&gt;&lt;R&gt;1&lt;/R&gt;&lt;C&gt;1&lt;/C&gt;&lt;D xsi:type="xsd:double"&gt;62.25&lt;/D&gt;&lt;/FQL&gt;&lt;FQL&gt;&lt;Q&gt;ADSK-US^FG_PRICE(12/31/2017)&lt;/Q&gt;&lt;R&gt;1&lt;/R&gt;&lt;C&gt;1&lt;/C&gt;&lt;D xsi:type="xsd:double"&gt;104.83&lt;/D&gt;&lt;/FQL&gt;&lt;FQL&gt;&lt;Q&gt;ADP-US^FG_PRICE(12/30/2015)&lt;/Q&gt;&lt;R&gt;1&lt;/R&gt;&lt;C&gt;1&lt;/C&gt;&lt;D xsi:type="xsd:double"&gt;86.38&lt;/D&gt;&lt;/FQL&gt;&lt;FQL&gt;&lt;Q&gt;ADP-US^FG_PRICE(12/31/2017)&lt;/Q&gt;&lt;R&gt;1&lt;/R&gt;&lt;C&gt;1&lt;/C&gt;&lt;D xsi:type="xsd:double"&gt;117.19&lt;/D&gt;&lt;/FQL&gt;&lt;FQL&gt;&lt;Q&gt;AZO-US^FG_PRICE(12/30/2015)&lt;/Q&gt;&lt;R&gt;1&lt;/R&gt;&lt;C&gt;1&lt;/C&gt;&lt;D xsi:type="xsd:double"&gt;750.17&lt;/D&gt;&lt;/FQL&gt;&lt;FQL&gt;&lt;Q&gt;AZO-US^FG_PRICE(12/31/2017)&lt;/Q&gt;&lt;R&gt;1&lt;/R&gt;&lt;C&gt;1&lt;/C&gt;&lt;D xsi:type="xsd:double"&gt;711.37&lt;/D&gt;&lt;/FQL&gt;&lt;FQL&gt;&lt;Q&gt;AVY-US^FG_PRICE(12/30/2015)&lt;/Q&gt;&lt;R&gt;1&lt;/R&gt;&lt;C&gt;1&lt;/C&gt;&lt;D xsi:type="xsd:double"&gt;63.34&lt;/D&gt;&lt;/FQL&gt;&lt;FQL&gt;&lt;Q&gt;AVY-US^FG_PRICE(12/31/2017)&lt;/Q&gt;&lt;R&gt;1&lt;/R&gt;&lt;C&gt;1&lt;/C&gt;&lt;D xsi:type="xsd:double"&gt;114.86&lt;/D&gt;&lt;/FQL&gt;&lt;FQL&gt;&lt;Q&gt;AVT-US^FG_PRICE(12/30/2015)&lt;/Q&gt;&lt;R&gt;1&lt;/R&gt;&lt;C&gt;1&lt;/C&gt;&lt;D xsi:type="xsd:double"&gt;43.75&lt;/D&gt;&lt;/FQL&gt;&lt;FQL&gt;&lt;Q&gt;AVT-US^FG_PRICE(12/31/2017)&lt;/Q&gt;&lt;R&gt;1&lt;/R&gt;&lt;C&gt;1&lt;/C&gt;&lt;D xsi:type="xsd:double"&gt;39.62&lt;/D&gt;&lt;/FQL&gt;&lt;FQL&gt;&lt;Q&gt;ARIA-US^FG_PRICE(12/30/2015)&lt;/Q&gt;&lt;R&gt;1&lt;/R&gt;&lt;C&gt;1&lt;/C&gt;&lt;D xsi:type="xsd:double"&gt;6.34&lt;/D&gt;&lt;/FQL&gt;&lt;FQL&gt;&lt;Q&gt;ARIA-US^FG_PRICE(12/31/2017)&lt;/Q&gt;&lt;R&gt;0&lt;/R&gt;&lt;C&gt;0&lt;/C&gt;&lt;/FQL&gt;&lt;FQL&gt;&lt;Q&gt;AVP-US^FG_PRICE(12/30/2015)&lt;/Q&gt;&lt;R&gt;1&lt;/R&gt;&lt;C&gt;1&lt;/C&gt;&lt;D xsi:type="xsd:double"&gt;4.08&lt;/D&gt;&lt;/FQL&gt;&lt;FQL&gt;&lt;Q&gt;AVP-US^FG_PRICE(12/31/2017)&lt;/Q&gt;&lt;R&gt;1&lt;/R&gt;&lt;C&gt;1&lt;/C&gt;&lt;D xsi:type="xsd:double"&gt;2.15&lt;/D&gt;&lt;/FQL&gt;&lt;FQL&gt;&lt;Q&gt;AKS-US^FG_PRICE(12/30/2015)&lt;/Q&gt;&lt;R&gt;1&lt;/R&gt;&lt;C&gt;1&lt;/C&gt;&lt;D xsi:type="xsd:double"&gt;2.21&lt;/D&gt;&lt;/FQL&gt;&lt;FQL&gt;&lt;Q&gt;AKS-US^FG_PRICE(12/31/2017)&lt;/Q&gt;&lt;R&gt;1&lt;/R&gt;&lt;C&gt;1&lt;/C&gt;&lt;D xsi:type="xsd:double"&gt;5.66&lt;/D&gt;&lt;/FQL&gt;&lt;FQL&gt;&lt;Q&gt;BHGE-US^FG_PRICE(12/30/2015)&lt;/Q&gt;&lt;R&gt;1&lt;/R&gt;&lt;C&gt;1&lt;/C&gt;&lt;D xsi:type="xsd:double"&gt;45.76&lt;/D&gt;&lt;/FQL&gt;&lt;FQL&gt;&lt;Q&gt;BHGE-US^FG_PRICE(12/31/2017)&lt;/Q&gt;&lt;R&gt;1&lt;/R&gt;&lt;C&gt;1&lt;/C&gt;&lt;D xsi:type="xsd:double"&gt;31.64&lt;/D&gt;&lt;/FQL&gt;&lt;FQL&gt;&lt;Q&gt;BLL-US^FG_PRICE(12/30/2015)&lt;/Q&gt;&lt;R&gt;1&lt;/R&gt;&lt;C&gt;1&lt;/C&gt;&lt;D xsi:type="xsd:double"&gt;36.665&lt;/D&gt;&lt;/FQL&gt;&lt;FQL&gt;&lt;Q&gt;BLL-US^FG_PRICE(12/31/2017)&lt;/Q&gt;&lt;R&gt;1&lt;/R&gt;&lt;C&gt;1&lt;/C&gt;&lt;D xsi:type="xsd:double"&gt;37.85&lt;/D&gt;&lt;/FQL&gt;&lt;FQL&gt;&lt;Q&gt;BOH-US^FG_PRICE(12/30/2015)&lt;/Q&gt;&lt;R&gt;1&lt;/R&gt;&lt;C&gt;1&lt;/C&gt;&lt;D xsi:type="xsd:double"&gt;63.68&lt;/D&gt;&lt;/FQL&gt;&lt;FQL&gt;&lt;Q&gt;BOH-US^FG_PRICE(12/31/2017)&lt;/Q&gt;&lt;R&gt;1&lt;/R&gt;&lt;C&gt;1&lt;/C&gt;&lt;D xsi:type="xsd:double"&gt;85.7&lt;/D&gt;&lt;/FQL&gt;&lt;FQL&gt;&lt;Q&gt;BXS-US^FG_PRICE(12/30/2015)&lt;/Q&gt;&lt;R&gt;1&lt;/R&gt;&lt;C&gt;1&lt;/C&gt;&lt;D xsi:type="xsd:double"&gt;24.41&lt;/D&gt;&lt;/FQL&gt;&lt;FQL&gt;&lt;Q&gt;BXS-US^FG_PRICE(12/31/2017)&lt;/Q&gt;&lt;R&gt;1&lt;/R&gt;&lt;C&gt;1&lt;/C&gt;&lt;D xsi:type="xsd:double"&gt;31.45&lt;/D&gt;&lt;/FQL&gt;&lt;FQL&gt;&lt;Q&gt;BCR-US^FG_PRICE(12/30/2015)&lt;/Q&gt;&lt;R&gt;1&lt;/R&gt;&lt;C&gt;1&lt;/C&gt;&lt;D xsi:type="xsd:double"&gt;190.69&lt;/D&gt;&lt;/FQL&gt;&lt;FQL&gt;&lt;Q&gt;BCR-US^FG_PRICE(12/31/2017)&lt;/Q&gt;&lt;R&gt;0&lt;/R&gt;&lt;C&gt;0&lt;/C&gt;&lt;/FQL&gt;&lt;FQL&gt;&lt;Q&gt;BKS-US^FG_PRICE(12/30/2015)&lt;/Q&gt;&lt;R&gt;1&lt;/R&gt;&lt;C&gt;1&lt;/C&gt;&lt;D xsi:type="xsd:double"&gt;8.72&lt;/D&gt;&lt;/FQL&gt;&lt;FQL&gt;&lt;Q&gt;BKS-US^FG_PRICE(12/31/2017)&lt;/Q&gt;&lt;R&gt;1&lt;/R&gt;&lt;C&gt;1&lt;/C&gt;&lt;D xsi:type="xsd:double"&gt;6.7&lt;/D&gt;&lt;/FQL&gt;&lt;FQL&gt;&lt;Q&gt;BAX-US^FG_PRICE(12/30/2015)&lt;/Q&gt;&lt;R&gt;1&lt;/R&gt;&lt;C&gt;1&lt;/C&gt;&lt;D xsi:type="xsd:double"&gt;38.05&lt;/D&gt;&lt;/FQL&gt;&lt;FQL&gt;&lt;Q&gt;BAX-US^FG_PRICE(12/31/2017)&lt;/Q&gt;&lt;R&gt;1&lt;/R&gt;&lt;C&gt;1&lt;/C&gt;&lt;D xsi:type="xsd:double"&gt;64.64&lt;/D&gt;&lt;/FQL&gt;&lt;FQL&gt;&lt;Q&gt;BBBY-US^FG_PRICE(12/30/2015)&lt;/Q&gt;&lt;R&gt;1&lt;/R&gt;&lt;C&gt;1&lt;/C&gt;&lt;D xsi:type="xsd:double"&gt;48.61&lt;/D&gt;&lt;/FQL&gt;&lt;FQL&gt;&lt;Q&gt;BBBY-US^FG_PRICE(12/31/2017)&lt;/Q&gt;&lt;R&gt;1&lt;/R&gt;&lt;C&gt;1&lt;/C&gt;&lt;D xsi:type="xsd:double"&gt;21.99&lt;/D&gt;&lt;/FQL&gt;&lt;FQL&gt;&lt;Q&gt;BDX-US^FG_PRICE(12/30/2015)&lt;/Q&gt;&lt;R&gt;1&lt;/R&gt;&lt;C&gt;1&lt;/C&gt;&lt;D xsi:type="xsd:double"&gt;155.43&lt;/D&gt;&lt;/FQL&gt;&lt;FQL&gt;&lt;Q&gt;BDX-US^FG_PRICE(12/31/2017)&lt;/Q&gt;&lt;R&gt;1&lt;/R&gt;&lt;C&gt;1&lt;/C&gt;&lt;D xsi:type="xsd:double"&gt;214.06&lt;/D&gt;&lt;/FQL&gt;&lt;FQL&gt;&lt;Q&gt;AME-US^FG_PRICE(12/30/2015)&lt;/Q&gt;&lt;R&gt;1&lt;/R&gt;&lt;C&gt;1&lt;/C&gt;&lt;D xsi:type="xsd:double"&gt;54.18&lt;/D&gt;&lt;/FQL&gt;&lt;FQL&gt;&lt;Q&gt;AME-US^FG_PRICE(12/31/2017)&lt;/Q&gt;&lt;R&gt;1&lt;/R&gt;&lt;C&gt;1&lt;/C&gt;&lt;D xsi:type="xsd:double"&gt;72.47&lt;/D&gt;&lt;/FQL&gt;&lt;FQL&gt;&lt;Q&gt;BEAV-US^FG_PRICE(12/30/2015)&lt;/Q&gt;&lt;R&gt;1&lt;/R&gt;&lt;C&gt;1&lt;/C&gt;&lt;D xsi:type="xsd:double"&gt;42.92&lt;/D&gt;&lt;/FQL&gt;&lt;FQL&gt;&lt;Q&gt;BEAV-US^FG_PRICE(12/31/2017)&lt;/Q&gt;&lt;R&gt;0&lt;/R&gt;&lt;C&gt;0&lt;/C&gt;&lt;/FQL&gt;&lt;FQL&gt;&lt;Q&gt;BMS-US^FG_PRICE(12/30/2015)&lt;/Q&gt;&lt;R&gt;1&lt;/R&gt;&lt;C&gt;1&lt;/C&gt;&lt;D xsi:type="xsd:double"&gt;45.41&lt;/D&gt;&lt;/FQL&gt;&lt;FQL&gt;&lt;Q&gt;BMS-US^FG_PRICE(12/31/2017)&lt;/Q&gt;&lt;R&gt;1&lt;/R&gt;&lt;C&gt;1&lt;/C&gt;&lt;D xsi:type="xsd:double"&gt;47.79&lt;/D&gt;&lt;/FQL&gt;&lt;FQL&gt;&lt;Q&gt;VZ-US^FG_PRICE(12/30/2015)&lt;/Q&gt;&lt;R&gt;1&lt;/R&gt;&lt;C&gt;1&lt;/C&gt;&lt;D xsi:type="xsd:double"&gt;46.77&lt;/D&gt;&lt;/FQL&gt;&lt;FQL&gt;&lt;Q&gt;VZ-US^FG_PRICE(12/31/2017)&lt;/Q&gt;&lt;R&gt;1&lt;/R&gt;&lt;C&gt;1&lt;/C&gt;&lt;D xsi:type="xsd:double"&gt;52.93&lt;/D&gt;&lt;/FQL&gt;&lt;FQL&gt;&lt;Q&gt;WRB-US^FG_PRICE(12/30/2015)&lt;/Q&gt;&lt;R&gt;1&lt;/R&gt;&lt;C&gt;1&lt;/C&gt;&lt;D xsi:type="xsd:double"&gt;55.82&lt;/D&gt;&lt;/FQL&gt;&lt;FQL&gt;&lt;Q&gt;WRB-US^FG_PRICE(12/31/2017)&lt;/Q&gt;&lt;R&gt;1&lt;/R&gt;&lt;C&gt;1&lt;/C&gt;&lt;D xsi:type="xsd:double"&gt;71.65&lt;/D&gt;&lt;/FQL&gt;&lt;FQL&gt;&lt;Q&gt;BRK.A-US^FG_PRICE(12/30/2015)&lt;/Q&gt;&lt;R&gt;1&lt;/R&gt;&lt;C&gt;1&lt;/C&gt;&lt;D xsi:type="xsd:double"&gt;200080.98&lt;/D&gt;&lt;/FQL&gt;&lt;FQL&gt;&lt;Q&gt;BRK.A-US^FG_PRICE(12/31/2017)&lt;/Q&gt;&lt;R&gt;1&lt;/R&gt;&lt;C&gt;1&lt;/C&gt;&lt;D xsi:type="xsd:double"&gt;297600&lt;/D&gt;&lt;/FQL&gt;&lt;FQL&gt;&lt;Q&gt;BBY-US^FG_PRICE(12/30/2015)&lt;/Q&gt;&lt;R&gt;1&lt;/R&gt;&lt;C&gt;1&lt;/C&gt;&lt;D xsi:type="xsd:double"&gt;30.46&lt;/D&gt;&lt;/FQL&gt;&lt;FQL&gt;&lt;Q&gt;BBY-US^FG_PRICE(12/31/2017)&lt;/Q&gt;&lt;R&gt;1&lt;/R&gt;&lt;C&gt;1&lt;/C&gt;&lt;D xsi:type="xsd:double"&gt;68.47&lt;/D&gt;&lt;/FQL&gt;&lt;FQL&gt;&lt;Q&gt;SLG-US^FG_PRICE(12/30/2015)&lt;/Q&gt;&lt;R&gt;1&lt;/R&gt;&lt;C&gt;1&lt;/C&gt;&lt;D xsi:type="xsd:double"&gt;114.03&lt;/D&gt;&lt;/FQL&gt;&lt;FQL&gt;&lt;Q&gt;SLG-US^FG_PRICE(12/31/2017)&lt;/Q&gt;&lt;R&gt;1&lt;/R&gt;&lt;C&gt;1&lt;/C&gt;&lt;D xsi:type="xsd:double"&gt;100.93&lt;/D&gt;&lt;/FQL&gt;&lt;FQL&gt;&lt;Q&gt;BIO-US^FG_PRICE(12/30/2015)&lt;/Q&gt;&lt;R&gt;1&lt;/R&gt;&lt;C&gt;1&lt;/C&gt;&lt;D xsi:type="xsd:double"&gt;139.57&lt;/D&gt;&lt;/FQL&gt;&lt;FQL&gt;&lt;Q&gt;BIO-US^FG_PRICE(12/31/2017)&lt;/Q&gt;&lt;R&gt;1&lt;/R&gt;&lt;C&gt;1&lt;/C&gt;&lt;D xsi:type="xsd:double"&gt;238.67&lt;/D&gt;&lt;/FQL&gt;&lt;FQL&gt;&lt;Q&gt;YUM-US^FG_PRICE(12/30/2015)&lt;/Q&gt;&lt;R&gt;1&lt;/R&gt;&lt;C&gt;1&lt;/C&gt;&lt;D xsi:type="xsd:double"&gt;53.07339&lt;/D&gt;&lt;/FQL&gt;&lt;FQL&gt;&lt;Q&gt;YUM-US^FG_PRICE(12/31/2017)&lt;/Q&gt;&lt;R&gt;1&lt;/R&gt;&lt;C&gt;1&lt;/C&gt;&lt;D xsi:type="xsd:double"&gt;81.61&lt;/D&gt;&lt;/FQL&gt;&lt;FQL&gt;&lt;Q&gt;FE-US^FG_PRICE(12/30/2015)&lt;/Q&gt;&lt;R&gt;1&lt;/R&gt;&lt;C&gt;1&lt;/C&gt;&lt;D xsi:type="xsd:double"&gt;32.29&lt;/D&gt;&lt;/FQL&gt;&lt;FQL&gt;&lt;Q&gt;FE-US^FG_PRICE(12/31/2017)&lt;/Q&gt;&lt;R&gt;1&lt;/R&gt;&lt;C&gt;1&lt;/C&gt;&lt;D xsi:type="xsd:double"&gt;30.62&lt;/D&gt;&lt;/FQL&gt;&lt;FQL&gt;&lt;Q&gt;SLM-US^FG_PRICE(12/30/2015)&lt;/Q&gt;&lt;R&gt;1&lt;/R&gt;&lt;C&gt;1&lt;/C&gt;&lt;D xsi:type="xsd:double"&gt;6.52&lt;/D&gt;&lt;/FQL&gt;&lt;FQL&gt;&lt;Q&gt;SLM-US^FG_PRICE(12/31/2017)&lt;/Q&gt;&lt;R&gt;1&lt;/R&gt;&lt;C&gt;1&lt;/C&gt;&lt;D xsi:type="xsd:double"&gt;11.3&lt;/D&gt;&lt;/FQL&gt;&lt;FQL&gt;&lt;Q&gt;ACAS-US^FG_PRICE(12/30/2015)&lt;/Q&gt;&lt;R&gt;1&lt;/R&gt;&lt;C&gt;1&lt;/C&gt;&lt;D xsi:type="xsd:double"&gt;13.78&lt;/D&gt;&lt;/FQL&gt;&lt;FQL&gt;&lt;Q&gt;ACAS-US^FG_PRICE(12/31/2017)&lt;/Q&gt;&lt;R&gt;0&lt;/R&gt;&lt;C&gt;0&lt;/C&gt;&lt;/FQL&gt;&lt;FQL&gt;&lt;Q&gt;HRB-US^FG_PRICE(12/30/2015)&lt;/Q&gt;&lt;R&gt;1&lt;/R&gt;&lt;C&gt;1&lt;/C&gt;&lt;D xsi:type="xsd:double"&gt;33.42&lt;/D&gt;&lt;/FQL&gt;&lt;FQL&gt;&lt;Q&gt;HRB-US^FG_PRICE(12/31/2017)&lt;/Q&gt;&lt;R&gt;1&lt;/R&gt;&lt;C&gt;1&lt;/C&gt;&lt;D xsi:type="xsd:double"&gt;26.22&lt;/D&gt;&lt;/FQL&gt;&lt;FQL&gt;&lt;Q&gt;CHH-US^FG_PRICE(12/30/2015)&lt;/Q&gt;&lt;R&gt;1&lt;/R&gt;&lt;C&gt;1&lt;/C&gt;&lt;D xsi:type="xsd:double"&gt;50.6&lt;/D&gt;&lt;/FQL&gt;&lt;FQL&gt;&lt;Q&gt;CHH-US^FG_PRICE(12/31/2017)&lt;/Q&gt;&lt;R&gt;1&lt;/R&gt;&lt;C&gt;1&lt;/C&gt;&lt;D xsi:type="xsd:double"&gt;77.6&lt;/D&gt;&lt;/FQL&gt;&lt;FQL&gt;&lt;Q&gt;BA-US^FG_PRICE(12/30/2015)&lt;/Q&gt;&lt;R&gt;1&lt;/R&gt;&lt;C&gt;1&lt;/C&gt;&lt;D xsi:type="xsd:double"&gt;146.41&lt;/D&gt;&lt;/FQL&gt;&lt;FQL&gt;&lt;Q&gt;BA-US^FG_PRICE(12/31/2017)&lt;/Q&gt;&lt;R&gt;1&lt;/R&gt;&lt;C&gt;1&lt;/C&gt;&lt;D xsi:type="xsd:double"&gt;294.91&lt;/D&gt;&lt;/FQL&gt;&lt;FQL&gt;&lt;Q&gt;BOKF-US^FG_PRICE(12/30/2015)&lt;/Q&gt;&lt;R&gt;1&lt;/R&gt;&lt;C&gt;1&lt;/C&gt;&lt;D xsi:type="xsd:double"&gt;60.4&lt;/D&gt;&lt;/FQL&gt;&lt;FQL&gt;&lt;Q&gt;BOKF-US^FG_PRICE(12/31/2017)&lt;/Q&gt;&lt;R&gt;1&lt;/R&gt;&lt;C&gt;1&lt;/C&gt;&lt;D xsi:type="xsd:double"&gt;92.32&lt;/D&gt;&lt;/FQL&gt;&lt;FQL&gt;&lt;Q&gt;RHI-US^FG_PRICE(12/30/2015)&lt;/Q&gt;&lt;R&gt;1&lt;/R&gt;&lt;C&gt;1&lt;/C&gt;&lt;D xsi:type="xsd:double"&gt;47.52&lt;/D&gt;&lt;/FQL&gt;&lt;FQL&gt;&lt;Q&gt;RHI-US^FG_PRICE(12/31/2017)&lt;/Q&gt;&lt;R&gt;1&lt;/R&gt;&lt;C&gt;1&lt;/C&gt;&lt;D xsi:type="xsd:double"&gt;55.54&lt;/D&gt;&lt;/FQL&gt;&lt;FQL&gt;&lt;Q&gt;BWA-US^FG_PRICE(12/30/2015)&lt;/Q&gt;&lt;R&gt;1&lt;/R&gt;&lt;C&gt;1&lt;/C&gt;&lt;D xsi:type="xsd:double"&gt;43.92&lt;/D&gt;&lt;/FQL&gt;&lt;FQL&gt;&lt;Q&gt;BWA-US^FG_PRICE(12/31/2017)&lt;/Q&gt;&lt;R&gt;1&lt;/R&gt;&lt;C&gt;1&lt;/C&gt;&lt;D xsi:type="xsd:double"&gt;51.09&lt;/D&gt;&lt;/FQL&gt;&lt;FQL&gt;&lt;Q&gt;BSX-US^FG_PRICE(12/30/2015)&lt;/Q&gt;&lt;R&gt;1&lt;/R&gt;&lt;C&gt;1&lt;/C&gt;&lt;D xsi:type="xsd:double"&gt;18.61&lt;/D&gt;&lt;/FQL&gt;&lt;FQL&gt;&lt;Q&gt;BSX-US^FG_PRICE(12/31/2017)&lt;/Q&gt;&lt;R&gt;1&lt;/R&gt;&lt;C&gt;1&lt;/C&gt;&lt;D xsi:type="xsd:double"&gt;24.79&lt;/D&gt;&lt;/FQL&gt;&lt;FQL&gt;&lt;Q&gt;NLY-US^FG_PRICE(12/30/2015)&lt;/Q&gt;&lt;R&gt;1&lt;/R&gt;&lt;C&gt;1&lt;/C&gt;&lt;D xsi:type="xsd:double"&gt;9.37&lt;/D&gt;&lt;/FQL&gt;&lt;FQL&gt;&lt;Q&gt;NLY-US^FG_PRICE(12/31/2017)&lt;/Q&gt;&lt;R&gt;1&lt;/R&gt;&lt;C&gt;1&lt;/C&gt;&lt;D xsi:type="xsd:double"&gt;11.89&lt;/D&gt;&lt;/FQL&gt;&lt;FQL&gt;&lt;Q&gt;CHRW-US^FG_PRICE(12/30/2015)&lt;/Q&gt;&lt;R&gt;1&lt;/R&gt;&lt;C&gt;1&lt;/C&gt;&lt;D xsi:type="xsd:double"&gt;62.36&lt;/D&gt;&lt;/FQL&gt;&lt;FQL&gt;&lt;Q&gt;CHRW-US^FG_PRICE(12/31/2017)&lt;/Q&gt;&lt;R&gt;1&lt;/R&gt;&lt;C&gt;1&lt;/C&gt;&lt;D xsi:type="xsd:double"&gt;89.09&lt;/D&gt;&lt;/FQL&gt;&lt;FQL&gt;&lt;Q&gt;DRQ-US^FG_PRICE(12/30/2015)&lt;/Q&gt;&lt;R&gt;1&lt;/R&gt;&lt;C&gt;1&lt;/C&gt;&lt;D xsi:type="xsd:double"&gt;59.44&lt;/D&gt;&lt;/FQL&gt;&lt;FQL&gt;&lt;Q&gt;DRQ-US^FG_PRICE(12/31/2017)&lt;/Q&gt;&lt;R&gt;1&lt;/R&gt;&lt;C&gt;1&lt;/C&gt;&lt;D xsi:type="xsd:double"&gt;47.7&lt;/D&gt;&lt;/FQL&gt;&lt;FQL&gt;&lt;Q&gt;BYD-US^FG_PRICE(12/30/2015)&lt;/Q&gt;&lt;R&gt;1&lt;/R&gt;&lt;C&gt;1&lt;/C&gt;&lt;D xsi:type="xsd:double"&gt;19.92&lt;/D&gt;&lt;/FQL&gt;&lt;FQL&gt;&lt;Q&gt;BYD-US^FG_PRICE(12/31/2017)&lt;/Q&gt;&lt;R&gt;1&lt;/R&gt;&lt;C&gt;1&lt;/C&gt;&lt;D xsi:type="xsd:double"&gt;35.05&lt;/D&gt;&lt;/FQL&gt;&lt;FQL&gt;&lt;Q&gt;MTD-US^FG_PRICE(12/30/2015)&lt;/Q&gt;&lt;R&gt;1&lt;/R&gt;&lt;C&gt;1&lt;/C&gt;&lt;D xsi:type="xsd:double"&gt;344.14&lt;/D&gt;&lt;/FQL&gt;&lt;FQL&gt;&lt;Q&gt;MTD-US^FG_PRICE(12/31/2017)&lt;/Q&gt;&lt;R&gt;1&lt;/R&gt;&lt;C&gt;1&lt;/C&gt;&lt;D xsi:type="xsd:double"&gt;619.52&lt;/D&gt;&lt;/FQL&gt;&lt;FQL&gt;&lt;Q&gt;BMY-US^FG_PRICE(12/30/2015)&lt;/Q&gt;&lt;R&gt;1&lt;/R&gt;&lt;C&gt;1&lt;/C&gt;&lt;D xsi:type="xsd:double"&gt;69.52&lt;/D&gt;&lt;/FQL&gt;&lt;FQL&gt;&lt;Q&gt;BMY-US^FG_PRICE(12/31/2017)&lt;/Q&gt;&lt;R&gt;1&lt;/R&gt;&lt;C&gt;1&lt;/C&gt;&lt;D xsi:type="xsd:double"&gt;61.28&lt;/D&gt;&lt;/FQL&gt;&lt;FQL&gt;&lt;Q&gt;AMG-US^FG_PRICE(12/30/2015)&lt;/Q&gt;&lt;R&gt;1&lt;/R&gt;&lt;C&gt;1&lt;/C&gt;&lt;D xsi:type="xsd:double"&gt;160.74&lt;/D&gt;&lt;/FQL&gt;&lt;FQL&gt;&lt;Q&gt;AMG-US^FG_PRICE(12/31/2017)&lt;/Q&gt;&lt;R&gt;1&lt;/R&gt;&lt;C&gt;1&lt;/C&gt;&lt;D xsi:type="xsd:double"&gt;205.25&lt;/D&gt;&lt;/FQL&gt;&lt;FQL&gt;&lt;Q&gt;OKE-US^FG_PRICE(12/30/2015)&lt;/Q&gt;&lt;R&gt;1&lt;/R&gt;&lt;C&gt;1&lt;/C&gt;&lt;D xsi:type="xsd:double"&gt;23.44&lt;/D&gt;&lt;/FQL&gt;&lt;FQL&gt;&lt;Q&gt;OKE-US^FG_PRICE(12/31/2017)&lt;/Q&gt;&lt;R&gt;1&lt;/R&gt;&lt;C&gt;1&lt;/C&gt;&lt;D xsi:type="xsd:double"&gt;53.45&lt;/D&gt;&lt;/FQL&gt;&lt;FQL&gt;&lt;Q&gt;AVB-US^FG_PRICE(12/30/2015)&lt;/Q&gt;&lt;R&gt;1&lt;/R&gt;&lt;C&gt;1&lt;/C&gt;&lt;D xsi:type="xsd:double"&gt;185.32&lt;/D&gt;&lt;/FQL&gt;&lt;FQL&gt;&lt;Q&gt;AVB-US^FG_PRICE(12/31/2017)&lt;/Q&gt;&lt;R&gt;1&lt;/R&gt;&lt;C&gt;1&lt;/C&gt;&lt;D xsi:type="xsd:double"&gt;178.41&lt;/D&gt;&lt;/FQL&gt;&lt;FQL&gt;&lt;Q&gt;AFG-US^FG_PRICE(12/30/2015)&lt;/Q&gt;&lt;R&gt;1&lt;/R&gt;&lt;C&gt;1&lt;/C&gt;&lt;D xsi:type="xsd:double"&gt;73.09&lt;/D&gt;&lt;/FQL&gt;&lt;FQL&gt;&lt;Q&gt;AFG-US^FG_PRICE(12/31/2017)&lt;/Q&gt;&lt;R&gt;1&lt;/R&gt;&lt;C&gt;1&lt;/C&gt;&lt;D xsi:type="xsd:double"&gt;108.54&lt;/D&gt;&lt;/FQL&gt;&lt;FQL&gt;&lt;Q&gt;URI-US^FG_PRICE(12/30/2015)&lt;/Q&gt;&lt;R&gt;1&lt;/R&gt;&lt;C&gt;1&lt;/C&gt;&lt;D xsi:type="xsd:double"&gt;72.68&lt;/D&gt;&lt;/FQL&gt;&lt;FQL&gt;&lt;Q&gt;URI-US^FG_PRICE(12/31/2017)&lt;/Q&gt;&lt;R&gt;1&lt;/R&gt;&lt;C&gt;1&lt;/C&gt;&lt;D xsi:type="xsd:double"&gt;171.91&lt;/D&gt;&lt;/FQL&gt;&lt;FQL&gt;&lt;Q&gt;SRE-US^FG_PRICE(12/30/2015)&lt;/Q&gt;&lt;R&gt;1&lt;/R&gt;&lt;C&gt;1&lt;/C&gt;&lt;D xsi:type="xsd:double"&gt;94.85&lt;/D&gt;&lt;/FQL&gt;&lt;FQL&gt;&lt;Q&gt;SRE-US^FG_PRICE(12/31/2017)&lt;/Q&gt;&lt;R&gt;1&lt;/R&gt;&lt;C&gt;1&lt;/C&gt;&lt;D xsi:type="xsd:double"&gt;106.92&lt;/D&gt;&lt;/FQL&gt;&lt;FQL&gt;&lt;Q&gt;FDX-US^FG_PRICE(12/30/2015)&lt;/Q&gt;&lt;R&gt;1&lt;/R&gt;&lt;C&gt;1&lt;/C&gt;&lt;D xsi:type="xsd:double"&gt;149.18&lt;/D&gt;&lt;/FQL&gt;&lt;FQL&gt;&lt;Q&gt;FDX-US^FG_PRICE(12/31/2017)&lt;/Q&gt;&lt;R&gt;1&lt;/R&gt;&lt;C&gt;1&lt;/C&gt;&lt;D xsi:type="xsd:double"&gt;249.54&lt;/D&gt;&lt;/FQL&gt;&lt;FQL&gt;&lt;Q&gt;VRSN-US^FG_PRICE(12/30/2015)&lt;/Q&gt;&lt;R&gt;1&lt;/R&gt;&lt;C&gt;1&lt;/C&gt;&lt;D xsi:type="xsd:double"&gt;88.14&lt;/D&gt;&lt;/FQL&gt;&lt;FQL&gt;&lt;Q&gt;VRSN-US^FG_PRICE(12/31/2017)&lt;/Q&gt;&lt;R&gt;1&lt;/R&gt;&lt;C&gt;1&lt;/C&gt;&lt;D xsi:type="xsd:double"&gt;114.44&lt;/D&gt;&lt;/FQL&gt;&lt;FQL&gt;&lt;Q&gt;CECO-US^FG_PRICE(12/30/2015)&lt;/Q&gt;&lt;R&gt;1&lt;/R&gt;&lt;C&gt;1&lt;/C&gt;&lt;D xsi:type="xsd:double"&gt;3.74&lt;/D&gt;&lt;/FQL&gt;&lt;FQL&gt;&lt;Q&gt;CECO-US^FG_PRICE(12/31/2017)&lt;/Q&gt;&lt;R&gt;1&lt;/R&gt;&lt;C&gt;1&lt;/C&gt;&lt;D xsi:type="xsd:double"&gt;12.08&lt;/D&gt;&lt;/FQL&gt;&lt;FQL&gt;&lt;Q&gt;APH-US^FG_PRICE(12/30/2015)&lt;/Q&gt;&lt;R&gt;1&lt;/R&gt;&lt;C&gt;1&lt;/C&gt;&lt;D xsi:type="xsd:double"&gt;52.93&lt;/D&gt;&lt;/FQL&gt;&lt;FQL&gt;&lt;Q&gt;APH-US^FG_PRICE(12/31/2017)&lt;/Q&gt;&lt;R&gt;1&lt;/R&gt;&lt;C&gt;1&lt;/C&gt;&lt;D xsi:type="xsd:double"&gt;87.8&lt;/D&gt;&lt;/FQL&gt;&lt;FQL&gt;&lt;Q&gt;BF.B-US^FG_PRICE(12/30/2015)&lt;/Q&gt;&lt;R&gt;1&lt;/R&gt;&lt;C&gt;1&lt;/C&gt;&lt;D xsi:type="xsd:double"&gt;40.568&lt;/D&gt;&lt;/FQL&gt;&lt;FQL&gt;&lt;Q&gt;BF.B-US^FG_PRICE(12/31/2017)&lt;/Q&gt;&lt;R&gt;1&lt;/R&gt;&lt;C&gt;1&lt;/C&gt;&lt;D xsi:type="xsd:double"&gt;54.936&lt;/D&gt;&lt;/FQL&gt;&lt;FQL&gt;&lt;Q&gt;PWR-US^FG_PRICE(12/30/2015)&lt;/Q&gt;&lt;R&gt;1&lt;/R&gt;&lt;C&gt;1&lt;/C&gt;&lt;D xsi:type="xsd:double"&gt;20.52&lt;/D&gt;&lt;/FQL&gt;&lt;FQL&gt;&lt;Q&gt;PWR-US^FG_PRICE(12/31/2017)&lt;/Q&gt;&lt;R&gt;1&lt;/R&gt;&lt;C&gt;1&lt;/C&gt;&lt;D xsi:type="xsd:double"&gt;39.11&lt;/D&gt;&lt;/FQL&gt;&lt;FQL&gt;&lt;Q&gt;MTZ-US^FG_PRICE(12/30/2015)&lt;/Q&gt;&lt;R&gt;1&lt;/R&gt;&lt;C&gt;1&lt;/C&gt;&lt;D xsi:type="xsd:double"&gt;17.68&lt;/D&gt;&lt;/FQL&gt;&lt;FQL&gt;&lt;Q&gt;MTZ-US^FG_PRICE(12/31/2017)&lt;/Q&gt;&lt;R&gt;1&lt;/R&gt;&lt;C&gt;1&lt;/C&gt;&lt;D xsi:type="xsd:double"&gt;48.95&lt;/D&gt;&lt;/FQL&gt;&lt;FQL&gt;&lt;Q&gt;WDR-US^FG_PRICE(12/30/2015)&lt;/Q&gt;&lt;R&gt;1&lt;/R&gt;&lt;C&gt;1&lt;/C&gt;&lt;D xsi:type="xsd:double"&gt;28.57&lt;/D&gt;&lt;/FQL&gt;&lt;FQL&gt;&lt;Q&gt;WDR-US^FG_PRICE(12/31/2017)&lt;/Q&gt;&lt;R&gt;1&lt;/R&gt;&lt;C&gt;1&lt;/C&gt;&lt;D xsi:type="xsd:double"&gt;22.34&lt;/D&gt;&lt;/FQL&gt;&lt;FQL&gt;&lt;Q&gt;CSX-US^FG_PRICE(12/30/2015)&lt;/Q&gt;&lt;R&gt;1&lt;/R&gt;&lt;C&gt;1&lt;/C&gt;&lt;D xsi:type="xsd:double"&gt;25.9&lt;/D&gt;&lt;/FQL&gt;&lt;FQL&gt;&lt;Q&gt;CSX-US^FG_PRICE(12/31/2017)&lt;/Q&gt;&lt;R&gt;1&lt;/R&gt;&lt;C&gt;1&lt;/C&gt;&lt;D xsi:type="xsd:double"&gt;55.01&lt;/D&gt;&lt;/FQL&gt;&lt;FQL&gt;&lt;Q&gt;CVC-US^FG_PRICE(12/30/2015)&lt;/Q&gt;&lt;R&gt;1&lt;/R&gt;&lt;C&gt;1&lt;/C&gt;&lt;D xsi:type="xsd:double"&gt;31.86&lt;/D&gt;&lt;/FQL&gt;&lt;FQL&gt;&lt;Q&gt;CVC-US^FG_PRICE(12/31/2017)&lt;/Q&gt;&lt;R&gt;0&lt;/R&gt;&lt;C&gt;0&lt;/C&gt;&lt;/FQL&gt;&lt;FQL&gt;&lt;Q&gt;COG-US^FG_PRICE(12/30/2015)&lt;/Q&gt;&lt;R&gt;1&lt;/R&gt;&lt;C&gt;1&lt;/C&gt;&lt;D xsi:type="xsd:double"&gt;17.01&lt;/D&gt;&lt;/FQL&gt;&lt;FQL&gt;&lt;Q&gt;COG-US^FG_PRICE(12/31/2017)&lt;/Q&gt;&lt;R&gt;1&lt;/R&gt;&lt;C&gt;1&lt;/C&gt;&lt;D xsi:type="xsd:double"&gt;28.6&lt;/D&gt;&lt;/FQL&gt;&lt;FQL&gt;&lt;Q&gt;CBT-US^FG_PRICE(12/30/2015)&lt;/Q&gt;&lt;R&gt;1&lt;/R&gt;&lt;C&gt;1&lt;/C&gt;&lt;D xsi:type="xsd:double"&gt;41.36&lt;/D&gt;&lt;/FQL&gt;&lt;FQL&gt;&lt;Q&gt;CBT-US^FG_PRICE(12/31/2017)&lt;/Q&gt;&lt;R&gt;1&lt;/R&gt;&lt;C&gt;1&lt;/C&gt;&lt;D xsi:type="xsd:double"&gt;61.59&lt;/D&gt;&lt;/FQL&gt;&lt;FQL&gt;&lt;Q&gt;CPB-US^FG_PRICE(12/30/2015)&lt;/Q&gt;&lt;R&gt;1&lt;/R&gt;&lt;C&gt;1&lt;/C&gt;&lt;D xsi:type="xsd:double"&gt;53.21&lt;/D&gt;&lt;/FQL&gt;&lt;FQL&gt;&lt;Q&gt;CPB-US^FG_PRICE(12/31/2017)&lt;/Q&gt;&lt;R&gt;1&lt;/R&gt;&lt;C&gt;1&lt;/C&gt;&lt;D xsi:type="xsd:double"&gt;48.11&lt;/D&gt;&lt;/FQL&gt;&lt;FQL&gt;&lt;Q&gt;CCC-US^FG_PRICE(12/30/2015)&lt;/Q&gt;&lt;R&gt;1&lt;/R&gt;&lt;C&gt;1&lt;/C&gt;&lt;D xsi:type="xsd:double"&gt;17.32&lt;/D&gt;&lt;/FQL&gt;&lt;FQL&gt;&lt;Q&gt;CCC-US^FG_PRICE(12/31/2017)&lt;/Q&gt;&lt;R&gt;1&lt;/R&gt;&lt;C&gt;1&lt;/C&gt;&lt;D xsi:type="xsd:double"&gt;21.3&lt;/D&gt;&lt;/FQL&gt;&lt;FQL&gt;&lt;Q&gt;CPT-US^FG_PRICE(12/30/2015)&lt;/Q&gt;&lt;R&gt;1&lt;/R&gt;&lt;C&gt;1&lt;/C&gt;&lt;D xsi:type="xsd:double"&gt;77.41&lt;/D&gt;&lt;/FQL&gt;&lt;FQL&gt;&lt;Q&gt;CPT-US^FG_PRICE(12/31/2017)&lt;/Q&gt;&lt;R&gt;1&lt;/R&gt;&lt;C&gt;1&lt;/C&gt;&lt;D xsi:type="xsd:double"&gt;92.06&lt;/D&gt;&lt;/FQL&gt;&lt;FQL&gt;&lt;Q&gt;KRO-US^FG_PRICE(12/30/2015)&lt;/Q&gt;&lt;R&gt;1&lt;/R&gt;&lt;C&gt;1&lt;/C&gt;&lt;D xsi:type="xsd:double"&gt;5.54&lt;/D&gt;&lt;/FQL&gt;&lt;FQL&gt;&lt;Q&gt;KRO-US^FG_PRICE(12/31/2017)&lt;/Q&gt;&lt;R&gt;1&lt;/R&gt;&lt;C&gt;1&lt;/C&gt;&lt;D xsi:type="xsd:double"&gt;25.77&lt;/D&gt;&lt;/FQL&gt;&lt;FQL&gt;&lt;Q&gt;WLL-US^FG_PRICE(12/30/2015)&lt;/Q&gt;&lt;R&gt;1&lt;/R&gt;&lt;C&gt;1&lt;/C&gt;&lt;D xsi:type="xsd:double"&gt;34.56&lt;/D&gt;&lt;/FQL&gt;&lt;FQL&gt;&lt;Q&gt;WLL-US^FG_PRICE(12/31/2017)&lt;/Q&gt;&lt;R&gt;1&lt;/R&gt;&lt;C&gt;1&lt;/C&gt;&lt;D xsi:type="xsd:double"&gt;26.48&lt;/D&gt;&lt;/FQL&gt;&lt;FQL&gt;&lt;Q&gt;STZ-US^FG_PRICE(12/30/2015)&lt;/Q&gt;&lt;R&gt;1&lt;/R&gt;&lt;C&gt;1&lt;/C&gt;&lt;D xsi:type="xsd:double"&gt;144.17&lt;/D&gt;&lt;/FQL&gt;&lt;FQL&gt;&lt;Q&gt;STZ-US^FG_PRICE(12/31/2017)&lt;/Q&gt;&lt;R&gt;1&lt;/R&gt;&lt;C&gt;1&lt;/C&gt;&lt;D xsi:type="xsd:double"&gt;228.57&lt;/D&gt;&lt;/FQL&gt;&lt;FQL&gt;&lt;Q&gt;CAH-US^FG_PRICE(12/30/2015)&lt;/Q&gt;&lt;R&gt;1&lt;/R&gt;&lt;C&gt;1&lt;/C&gt;&lt;D xsi:type="xsd:double"&gt;90.54&lt;/D&gt;&lt;/FQL&gt;&lt;FQL&gt;&lt;Q&gt;CAH-US^FG_PRICE(12/31/2017)&lt;/Q&gt;&lt;R&gt;1&lt;/R&gt;&lt;C&gt;1&lt;/C&gt;&lt;D xsi:type="xsd:double"&gt;61.27&lt;/D&gt;&lt;/FQL&gt;&lt;FQL&gt;&lt;Q&gt;CSL-US^FG_PRICE(12/30/2015)&lt;/Q&gt;&lt;R&gt;1&lt;/R&gt;&lt;C&gt;1&lt;/C&gt;&lt;D xsi:type="xsd:double"&gt;88.89&lt;/D&gt;&lt;/FQL&gt;&lt;FQL&gt;&lt;Q&gt;CSL-US^FG_PRICE(12/31/2017)&lt;/Q&gt;&lt;R&gt;1&lt;/R&gt;&lt;C&gt;1&lt;/C&gt;&lt;D xsi:type="xsd:double"&gt;113.65&lt;/D&gt;&lt;/FQL&gt;&lt;FQL&gt;&lt;Q&gt;CRS-US^FG_PRICE(12/30/2015)&lt;/Q&gt;&lt;R&gt;1&lt;/R&gt;&lt;C&gt;1&lt;/C&gt;&lt;D xsi:type="xsd:double"&gt;30.82&lt;/D&gt;&lt;/FQL&gt;&lt;FQL&gt;&lt;Q&gt;CRS-US^FG_PRICE(12/31/2017)&lt;/Q&gt;&lt;R&gt;1&lt;/R&gt;&lt;C&gt;1&lt;/C&gt;&lt;D xsi:type="xsd:double"&gt;50.99&lt;/D&gt;&lt;/FQL&gt;&lt;FQL&gt;&lt;Q&gt;CAT-US^FG_PRICE(12/30/2015)&lt;/Q&gt;&lt;R&gt;1&lt;/R&gt;&lt;C&gt;1&lt;/C&gt;&lt;D xsi:type="xsd:double"&gt;68.69&lt;/D&gt;&lt;/FQL&gt;&lt;FQL&gt;&lt;Q&gt;CAT-US^FG_PRICE(12/31/2017)&lt;/Q&gt;&lt;R&gt;1&lt;/R&gt;&lt;C&gt;1&lt;/C&gt;&lt;D xsi:type="xsd:double"&gt;157.58&lt;/D&gt;&lt;/FQL&gt;&lt;FQL&gt;&lt;Q&gt;CHKP-US^FG_PRICE(12/30/2015)&lt;/Q&gt;&lt;R&gt;1&lt;/R&gt;&lt;C&gt;1&lt;/C&gt;&lt;D xsi:type="xsd:double"&gt;82.36&lt;/D&gt;&lt;/FQL&gt;&lt;FQL&gt;&lt;Q&gt;CHKP-US^FG_PRICE(12/31/2017)&lt;/Q&gt;&lt;R&gt;1&lt;/R&gt;&lt;C&gt;1&lt;/C&gt;&lt;D xsi:type="xsd:double"&gt;103.62&lt;/D&gt;&lt;/FQL&gt;&lt;FQL&gt;&lt;Q&gt;CELG-US^FG_PRICE(12/30/2015)&lt;/Q&gt;&lt;R&gt;1&lt;/R&gt;&lt;C&gt;1&lt;/C&gt;&lt;D xsi:type="xsd:double"&gt;120.68&lt;/D&gt;&lt;/FQL&gt;&lt;FQL&gt;&lt;Q&gt;CELG-US^FG_PRICE(12/31/2017)&lt;/Q&gt;&lt;R&gt;1&lt;/R&gt;&lt;C&gt;1&lt;/C&gt;&lt;D xsi:type="xsd:double"&gt;104.36&lt;/D&gt;&lt;/FQL&gt;&lt;FQL&gt;&lt;Q&gt;CTXS-US^FG_PRICE(12/30/2015)&lt;/Q&gt;&lt;R&gt;1&lt;/R&gt;&lt;C&gt;1&lt;/C&gt;&lt;D xsi:type="xsd:double"&gt;61.286472&lt;/D&gt;&lt;/FQL&gt;&lt;FQL&gt;&lt;Q&gt;CTXS-US^FG_PRICE(12/31/2017)&lt;/Q&gt;&lt;R&gt;1&lt;/R&gt;&lt;C&gt;1&lt;/C&gt;&lt;D xsi:type="xsd:double"&gt;88&lt;/D&gt;&lt;/FQL&gt;&lt;FQL&gt;&lt;Q&gt;CHK-US^FG_PRICE(12/30/2015)&lt;/Q&gt;&lt;R&gt;1&lt;/R&gt;&lt;C&gt;1&lt;/C&gt;&lt;D xsi:type="xsd:double"&gt;4.4&lt;/D&gt;&lt;/FQL&gt;&lt;FQL&gt;&lt;Q&gt;CHK-US^FG_PRICE(12/31/2017)&lt;/Q&gt;&lt;R&gt;1&lt;/R&gt;&lt;C&gt;1&lt;/C&gt;&lt;D xsi:type="xsd:double"&gt;3.96&lt;/D&gt;&lt;/FQL&gt;&lt;FQL&gt;&lt;Q&gt;CTL-US^FG_PRICE(12/30/2015)&lt;/Q&gt;&lt;R&gt;1&lt;/R&gt;&lt;C&gt;1&lt;/C&gt;&lt;D xsi:type="xsd:double"&gt;25.38&lt;/D&gt;&lt;/FQL&gt;&lt;FQL&gt;&lt;Q&gt;CTL-US^FG_PRICE(12/31/2017)&lt;/Q&gt;&lt;R&gt;1&lt;/R&gt;&lt;C&gt;1&lt;/C&gt;&lt;D xsi:type="xsd:double"&gt;16.68&lt;/D&gt;&lt;/FQL&gt;&lt;FQL&gt;&lt;Q&gt;CERN-US^FG_PRICE(12/30/2015)&lt;/Q&gt;&lt;R&gt;1&lt;/R&gt;&lt;C&gt;1&lt;/C&gt;&lt;D xsi:type="xsd:double"&gt;60.63&lt;/D&gt;&lt;/FQL&gt;&lt;FQL&gt;&lt;Q&gt;CERN-US^FG_PRICE(12/31/2017)&lt;/Q&gt;&lt;R&gt;1&lt;/R&gt;&lt;C&gt;1&lt;/C&gt;&lt;D xsi:type="xsd:double"&gt;67.39&lt;/D&gt;&lt;/FQL&gt;&lt;FQL&gt;&lt;Q&gt;JPM-US^FG_PRICE(12/30/2015)&lt;/Q&gt;&lt;R&gt;1&lt;/R&gt;&lt;C&gt;1&lt;/C&gt;&lt;D xsi:type="xsd:double"&gt;66.59&lt;/D&gt;&lt;/FQL&gt;&lt;FQL&gt;&lt;Q&gt;JPM-US^FG_PRICE(12/31/2017)&lt;/Q&gt;&lt;R&gt;1&lt;/R&gt;&lt;C&gt;1&lt;/C&gt;&lt;D xsi:type="xsd:double"&gt;106.94&lt;/D&gt;&lt;/FQL&gt;&lt;FQL&gt;&lt;Q&gt;EXP-US^FG_PRICE(12/30/2015)&lt;/Q&gt;&lt;R&gt;1&lt;/R&gt;&lt;C&gt;1&lt;/C&gt;&lt;D xsi:type="xsd:double"&gt;60.11&lt;/D&gt;&lt;/FQL&gt;&lt;FQL&gt;&lt;Q&gt;EXP-US^FG_PRICE(12/31/2017)&lt;/Q&gt;&lt;R&gt;1&lt;/R&gt;&lt;C&gt;1&lt;/C&gt;&lt;D xsi:type="xsd:double"&gt;113.3&lt;/D&gt;&lt;/FQL&gt;&lt;FQL&gt;&lt;Q&gt;CLI-US^FG_PRICE(12/30/2015)&lt;/Q&gt;&lt;R&gt;1&lt;/R&gt;&lt;C&gt;1&lt;/C&gt;&lt;D xsi:type="xsd:double"&gt;23.82&lt;/D&gt;&lt;/FQL&gt;&lt;FQL&gt;&lt;Q&gt;CLI-US^FG_PRICE(12/31/2017)&lt;/Q&gt;&lt;R&gt;1&lt;/R&gt;&lt;C&gt;1&lt;/C&gt;&lt;D xsi:type="xsd:double"&gt;21.56&lt;/D&gt;&lt;/FQL&gt;&lt;FQL&gt;&lt;Q&gt;EAT-US^FG_PRICE(12/30/2015)&lt;/Q&gt;&lt;R&gt;1&lt;/R&gt;&lt;C&gt;1&lt;/C&gt;&lt;D xsi:type="xsd:double"&gt;48.06&lt;/D&gt;&lt;/FQL&gt;&lt;FQL&gt;&lt;Q&gt;EAT-US^FG_PRICE(12/31/2017)&lt;/Q&gt;&lt;R&gt;1&lt;/R&gt;&lt;C&gt;1&lt;/C&gt;&lt;D xsi:type="xsd:double"&gt;38.84&lt;/D&gt;&lt;/FQL&gt;&lt;FQL&gt;&lt;Q&gt;CB.XX2-US^FG_PRICE(12/30/2015)&lt;/Q&gt;&lt;R&gt;1&lt;/R&gt;&lt;C&gt;1&lt;/C&gt;&lt;D xsi:type="xsd:double"&gt;133.67&lt;/D&gt;&lt;/FQL&gt;&lt;FQL&gt;&lt;Q&gt;CB.XX2-US^FG_PRICE(12/31/2017)&lt;/Q&gt;&lt;R&gt;0&lt;/R&gt;&lt;C&gt;0&lt;/C&gt;&lt;/FQL&gt;&lt;FQL&gt;&lt;Q&gt;CHD-US^FG_PRICE(12/30/2015)&lt;/Q&gt;&lt;R&gt;1&lt;/R&gt;&lt;C&gt;1&lt;/C&gt;&lt;D xsi:type="xsd:double"&gt;43.065&lt;/D&gt;&lt;/FQL&gt;&lt;FQL&gt;&lt;Q&gt;CHD-US^FG_PRICE(12/31/2017)&lt;/Q&gt;&lt;R&gt;1&lt;/R&gt;&lt;C&gt;1&lt;/C&gt;&lt;D xsi:type="xsd:double"&gt;50.17&lt;/D&gt;&lt;/FQL&gt;&lt;FQL&gt;&lt;Q&gt;CI-US^FG_PRICE(12/30/2015)&lt;/Q&gt;&lt;R&gt;1&lt;/R&gt;&lt;C&gt;1&lt;/C&gt;&lt;D xsi:type="xsd:double"&gt;146.85&lt;/D&gt;&lt;/FQL&gt;&lt;FQL&gt;&lt;Q&gt;CI-US^FG_PRICE(12/31/2017)&lt;/Q&gt;&lt;R&gt;1&lt;/R&gt;&lt;C&gt;1&lt;/C&gt;&lt;D xsi:type="xsd:double"&gt;203.09&lt;/D&gt;&lt;/FQL&gt;&lt;FQL&gt;&lt;Q&gt;CHS-US^FG_PRICE(12/30/2015)&lt;/Q&gt;&lt;R&gt;1&lt;/R&gt;&lt;C&gt;1&lt;/C&gt;&lt;D xsi:type="xsd:double"&gt;10.71&lt;/D&gt;&lt;/FQL&gt;&lt;FQL&gt;&lt;Q&gt;CHS-US^FG_PRICE(12/31/2017)&lt;/Q&gt;&lt;R&gt;1&lt;/R&gt;&lt;C&gt;1&lt;/C&gt;&lt;D xsi:type="xsd:double"&gt;8.82&lt;/D&gt;&lt;/FQL&gt;&lt;FQL&gt;&lt;Q&gt;CINF-US^FG_PRICE(12/30/2015)&lt;/Q&gt;&lt;R&gt;1&lt;/R&gt;&lt;C&gt;1&lt;/C&gt;&lt;D xsi:type="xsd:double"&gt;60.1&lt;/D&gt;&lt;/FQL&gt;&lt;FQL&gt;&lt;Q&gt;CINF-US^FG_PRICE(12/31/2017)&lt;/Q&gt;&lt;R&gt;1&lt;/R&gt;&lt;C&gt;1&lt;/C&gt;&lt;D xsi:type="xsd:double"&gt;74.97&lt;/D&gt;&lt;/FQL&gt;&lt;FQL&gt;&lt;Q&gt;CTAS-US^FG_PRICE(12/30/2015)&lt;/Q&gt;&lt;R&gt;1&lt;/R&gt;&lt;C&gt;1&lt;/C&gt;&lt;D xsi:type="xsd:double"&gt;92.24&lt;/D&gt;&lt;/FQL&gt;&lt;FQL&gt;&lt;Q&gt;CTAS-US^FG_PRICE(12/31/2017)&lt;/Q&gt;&lt;R&gt;1&lt;/R&gt;&lt;C&gt;1&lt;/C&gt;&lt;D xsi:type="xsd:double"&gt;155.83&lt;/D&gt;&lt;/FQL&gt;&lt;FQL&gt;&lt;Q&gt;FTR-US^FG_PRICE(12/30/2015)&lt;/Q&gt;&lt;R&gt;1&lt;/R&gt;&lt;C&gt;1&lt;/C&gt;&lt;D xsi:type="xsd:double"&gt;69.899994&lt;/D&gt;&lt;/FQL&gt;&lt;FQL&gt;&lt;Q&gt;FTR-US^FG_PRICE(12/31/2017)&lt;/Q&gt;&lt;R&gt;1&lt;/R&gt;&lt;C&gt;1&lt;/C&gt;&lt;D xsi:type="xsd:double"&gt;6.76&lt;/D&gt;&lt;/FQL&gt;&lt;FQL&gt;&lt;Q&gt;CSCO-US^FG_PRICE(12/30/2015)&lt;/Q&gt;&lt;R&gt;1&lt;/R&gt;&lt;C&gt;1&lt;/C&gt;&lt;D xsi:type="xsd:double"&gt;27.53&lt;/D&gt;&lt;/FQL&gt;&lt;FQL&gt;&lt;Q&gt;CSCO-US^FG_PRICE(12/31/2017)&lt;/Q&gt;&lt;R&gt;1&lt;/R&gt;&lt;C&gt;1&lt;/C&gt;&lt;D xsi:type="xsd:double"&gt;38.3&lt;/D&gt;&lt;/FQL&gt;&lt;FQL&gt;&lt;Q&gt;CLH-US^FG_PRICE(12/30/2015)&lt;/Q&gt;&lt;R&gt;1&lt;/R&gt;&lt;C&gt;1&lt;/C&gt;&lt;D xsi:type="xsd:double"&gt;42.28&lt;/D&gt;&lt;/FQL&gt;&lt;FQL&gt;&lt;Q&gt;CLH-US^FG_PRICE(12/31/2017)&lt;/Q&gt;&lt;R&gt;1&lt;/R&gt;&lt;C&gt;1&lt;/C&gt;&lt;D xsi:type="xsd:double"&gt;54.2&lt;/D&gt;&lt;/FQL&gt;&lt;FQL&gt;&lt;Q&gt;CLF-US^FG_PRICE(12/30/2015)&lt;/Q&gt;&lt;R&gt;1&lt;/R&gt;&lt;C&gt;1&lt;/C&gt;&lt;D xsi:type="xsd:double"&gt;1.67&lt;/D&gt;&lt;/FQL&gt;&lt;FQL&gt;&lt;Q&gt;CLF-US^FG_PRICE(12/31/2017)&lt;/Q&gt;&lt;R&gt;1&lt;/R&gt;&lt;C&gt;1&lt;/C&gt;&lt;D xsi:type="xsd:double"&gt;7.21&lt;/D&gt;&lt;/FQL&gt;&lt;FQL&gt;&lt;Q&gt;CMP-US^FG_PRICE(12/30/2015)&lt;/Q&gt;&lt;R&gt;1&lt;/R&gt;&lt;C&gt;1&lt;/C&gt;&lt;D xsi:type="xsd:double"&gt;75.81&lt;/D&gt;&lt;/FQL&gt;&lt;FQL&gt;&lt;Q&gt;CMP-US^FG_PRICE(12/31/2017)&lt;/Q&gt;&lt;R&gt;1&lt;/R&gt;&lt;C&gt;1&lt;/C&gt;&lt;D xsi:type="xsd:double"&gt;72.25&lt;/D&gt;&lt;/FQL&gt;&lt;FQL&gt;&lt;Q&gt;CLX-US^FG_PRICE(12/30/2015)&lt;/Q&gt;&lt;R&gt;1&lt;/R&gt;&lt;C&gt;1&lt;/C&gt;&lt;D xsi:type="xsd:double"&gt;128.2&lt;/D&gt;&lt;/FQL&gt;&lt;FQL&gt;&lt;Q&gt;CLX-US^FG_PRICE(12/31/2017)&lt;/Q&gt;&lt;R&gt;1&lt;/R&gt;&lt;C&gt;1&lt;/C&gt;&lt;D xsi:type="xsd:double"&gt;148.74&lt;/D&gt;&lt;/FQL&gt;&lt;FQL&gt;&lt;Q&gt;CNA-US^FG_PRICE(12/30/2015)&lt;/Q&gt;&lt;R&gt;1&lt;/R&gt;&lt;C&gt;1&lt;/C&gt;&lt;D xsi:type="xsd:double"&gt;35.59&lt;/D&gt;&lt;/FQL&gt;&lt;FQL&gt;&lt;Q&gt;CNA-US^FG_PRICE(12/31/2017)&lt;/Q&gt;&lt;R&gt;1&lt;/R&gt;&lt;C&gt;1&lt;/C&gt;&lt;D xsi:type="xsd:double"&gt;53.05&lt;/D&gt;&lt;/FQL&gt;&lt;FQL&gt;&lt;Q&gt;KO-US^FG_PRICE(12/30/2015)&lt;/Q&gt;&lt;R&gt;1&lt;/R&gt;&lt;C&gt;1&lt;/C&gt;&lt;D xsi:type="xsd:double"&gt;43.57&lt;/D&gt;&lt;/FQL&gt;&lt;FQL&gt;&lt;Q&gt;KO-US^FG_PRICE(12/31/2017)&lt;/Q&gt;&lt;R&gt;1&lt;/R&gt;&lt;C&gt;1&lt;/C&gt;&lt;D xsi:type="xsd:double"&gt;45.88&lt;/D&gt;&lt;/FQL&gt;&lt;FQL&gt;&lt;Q&gt;CPRT-US^FG_PRICE(12/30/2015)&lt;/Q&gt;&lt;R&gt;1&lt;/R&gt;&lt;C&gt;1&lt;/C&gt;&lt;D xsi:type="xsd:double"&gt;19.06&lt;/D&gt;&lt;/FQL&gt;&lt;FQL&gt;&lt;Q&gt;CPRT-US^FG_PRICE(12/31/2017)&lt;/Q&gt;&lt;R&gt;1&lt;/R&gt;&lt;C&gt;1&lt;/C&gt;&lt;D xsi:type="xsd:double"&gt;43.19&lt;/D&gt;&lt;/FQL&gt;&lt;FQL&gt;&lt;Q&gt;CL-US^FG_PRICE(12/30/2015)&lt;/Q&gt;&lt;R&gt;1&lt;/R&gt;&lt;C&gt;1&lt;/C&gt;&lt;D xsi:type="xsd:double"&gt;67.53&lt;/D&gt;&lt;/FQL&gt;&lt;FQL&gt;&lt;Q&gt;CL-US^FG_PRICE(12/31/2017)&lt;/Q&gt;&lt;R&gt;1&lt;/R&gt;&lt;C&gt;1&lt;/C&gt;&lt;D xsi:type="xsd:double"&gt;75.45&lt;/D&gt;&lt;/FQL&gt;&lt;FQL&gt;&lt;Q&gt;MAR-US^FG_PRICE(12/30/2015)&lt;/Q&gt;&lt;R&gt;1&lt;/R&gt;&lt;C&gt;1&lt;/C&gt;&lt;D xsi:type="xsd:double"&gt;68.02&lt;/D&gt;&lt;/FQL&gt;&lt;FQL&gt;&lt;Q&gt;MAR-US^FG_PRICE(12/31/2017)&lt;/Q&gt;&lt;R&gt;1&lt;/R&gt;&lt;C&gt;1&lt;/C&gt;&lt;D xsi:type="xsd:double"&gt;135.73&lt;/D&gt;&lt;/FQL&gt;&lt;FQL&gt;&lt;Q&gt;CMA-US^FG_PRICE(12/30/2015)&lt;/Q&gt;&lt;R&gt;1&lt;/R&gt;&lt;C&gt;1&lt;/C&gt;&lt;D xsi:type="xsd:double"&gt;41.98&lt;/D&gt;&lt;/FQL&gt;&lt;FQL&gt;&lt;Q&gt;CMA-US^FG_PRICE(12/31/2017)&lt;/Q&gt;&lt;R&gt;1&lt;/R&gt;&lt;C&gt;1&lt;/C&gt;&lt;D xsi:type="xsd:double"&gt;86.81&lt;/D&gt;&lt;/FQL&gt;&lt;FQL&gt;&lt;Q&gt;NRG-US^FG_PRICE(12/30/2015)&lt;/Q&gt;&lt;R&gt;1&lt;/R&gt;&lt;C&gt;1&lt;/C&gt;&lt;D xsi:type="xsd:double"&gt;11.09&lt;/D&gt;&lt;/FQL&gt;&lt;FQL&gt;&lt;Q&gt;NRG-US^FG_PRICE(12/31/2017)&lt;/Q&gt;&lt;R&gt;1&lt;/R&gt;&lt;C&gt;1&lt;/C&gt;&lt;D xsi:type="xsd:double"&gt;28.48&lt;/D&gt;&lt;/FQL&gt;&lt;FQL&gt;&lt;Q&gt;CBSH-US^FG_PRICE(12/30/2015)&lt;/Q&gt;&lt;R&gt;1&lt;/R&gt;&lt;C&gt;1&lt;/C&gt;&lt;D xsi:type="xsd:double"&gt;39.11111&lt;/D&gt;&lt;/FQL&gt;&lt;FQL&gt;&lt;Q&gt;CBSH-US^FG_PRICE(12/31/2017)&lt;/Q&gt;&lt;R&gt;1&lt;/R&gt;&lt;C&gt;1&lt;/C&gt;&lt;D xsi:type="xsd:double"&gt;55.84&lt;/D&gt;&lt;/FQL&gt;&lt;FQL&gt;&lt;Q&gt;CMC-US^FG_PRICE(12/30/2015)&lt;/Q&gt;&lt;R&gt;1&lt;/R&gt;&lt;C&gt;1&lt;/C&gt;&lt;D xsi:type="xsd:double"&gt;13.92&lt;/D&gt;&lt;/FQL&gt;&lt;FQL&gt;&lt;Q&gt;CMC-US^FG_PRICE(12/31/2017)&lt;/Q&gt;&lt;R&gt;1&lt;/R&gt;&lt;C&gt;1&lt;/C&gt;&lt;D xsi:type="xsd:double"&gt;21.32&lt;/D&gt;&lt;/FQL&gt;&lt;FQL&gt;&lt;Q&gt;CRK-US^FG_PRICE(12/30/2015)&lt;/Q&gt;&lt;R&gt;1&lt;/R&gt;&lt;C&gt;1&lt;/C&gt;&lt;D xsi:type="xsd:double"&gt;8.65&lt;/D&gt;&lt;/FQL&gt;&lt;FQL&gt;&lt;Q&gt;CRK-US^FG_PRICE(12/31/2017)&lt;/Q&gt;&lt;R&gt;1&lt;/R&gt;&lt;C&gt;1&lt;/C&gt;&lt;D xsi:type="xsd:double"&gt;8.46&lt;/D&gt;&lt;/FQL&gt;&lt;FQL&gt;&lt;Q&gt;CA-US^FG_PRICE(12/30/2015)&lt;/Q&gt;&lt;R&gt;1&lt;/R&gt;&lt;C&gt;1&lt;/C&gt;&lt;D xsi:type="xsd:double"&gt;29.11&lt;/D&gt;&lt;/FQL&gt;&lt;FQL&gt;&lt;Q&gt;CA-US^FG_PRICE(12/31/2017)&lt;/Q&gt;&lt;R&gt;1&lt;/R&gt;&lt;C&gt;1&lt;/C&gt;&lt;D xsi:type="xsd:double"&gt;33.28&lt;/D&gt;&lt;/FQL&gt;&lt;FQL&gt;&lt;Q&gt;DXC-US^FG_PRICE(12/30/2015)&lt;/Q&gt;&lt;R&gt;1&lt;/R&gt;&lt;C&gt;1&lt;/C&gt;&lt;D xsi:type="xsd:double"&gt;33.12&lt;/D&gt;&lt;/FQL&gt;&lt;FQL&gt;&lt;Q&gt;DXC-US^FG_PRICE(12/31/2017)&lt;/Q&gt;&lt;R&gt;1&lt;/R&gt;&lt;C&gt;1&lt;/C&gt;&lt;D xsi:type="xsd:double"&gt;94.9&lt;/D&gt;&lt;/FQL&gt;&lt;FQL&gt;&lt;Q&gt;CAG-US^FG_PRICE(12/30/2015)&lt;/Q&gt;&lt;R&gt;1&lt;/R&gt;&lt;C&gt;1&lt;/C&gt;&lt;D xsi:type="xsd:double"&gt;33.14138&lt;/D&gt;&lt;/FQL&gt;&lt;FQL&gt;&lt;Q&gt;CAG-US^FG_PRICE(12/31/2017)&lt;/Q&gt;&lt;R&gt;1&lt;/R&gt;&lt;C&gt;1&lt;/C&gt;&lt;D xsi:type="xsd:double"&gt;37.67&lt;/D&gt;&lt;/FQL&gt;&lt;FQL&gt;&lt;Q&gt;ED-US^FG_PRICE(12/30/2015)&lt;/Q&gt;&lt;R&gt;1&lt;/R&gt;&lt;C&gt;1&lt;/C&gt;&lt;D xsi:type="xsd:double"&gt;65.25&lt;/D&gt;&lt;/FQL&gt;&lt;FQL&gt;&lt;Q&gt;ED-US^FG_PRICE(12/31/2017)&lt;/Q&gt;&lt;R&gt;1&lt;/R&gt;&lt;C&gt;1&lt;/C&gt;&lt;D xsi:type="xsd:double"&gt;84.95&lt;/D&gt;&lt;/FQL&gt;&lt;FQL&gt;&lt;Q&gt;TPX-US^FG_PRICE(12/30/2015)&lt;/Q&gt;&lt;R&gt;1&lt;/R&gt;&lt;C&gt;1&lt;/C&gt;&lt;D xsi:type="xsd:double"&gt;70.65&lt;/D&gt;&lt;/FQL&gt;&lt;FQL&gt;&lt;Q&gt;TPX-US^FG_PRICE(12/31/2017)&lt;/Q&gt;&lt;R&gt;1&lt;/R&gt;&lt;C&gt;1&lt;/C&gt;&lt;D xsi:type="xsd:double"&gt;62.69&lt;/D&gt;&lt;/FQL&gt;&lt;FQL&gt;&lt;Q&gt;BIG-US^FG_PRICE(12/30/2015)&lt;/Q&gt;&lt;R&gt;1&lt;/R&gt;&lt;C&gt;1&lt;/C&gt;&lt;D xsi:type="xsd:double"&gt;39.03&lt;/D&gt;&lt;/FQL&gt;&lt;FQL&gt;&lt;Q&gt;BIG-US^FG_PRICE(12/31/2017)&lt;/Q&gt;&lt;R&gt;1&lt;/R&gt;&lt;C&gt;1&lt;/C&gt;&lt;D xsi:type="xsd:double"&gt;56.15&lt;/D&gt;&lt;/FQL&gt;&lt;FQL&gt;&lt;Q&gt;CMS-US^FG_PRICE(12/30/2015)&lt;/Q&gt;&lt;R&gt;1&lt;/R&gt;&lt;C&gt;1&lt;/C&gt;&lt;D xsi:type="xsd:double"&gt;36.68&lt;/D&gt;&lt;/FQL&gt;&lt;FQL&gt;&lt;Q&gt;CMS-US^FG_PRICE(12/31/2017)&lt;/Q&gt;&lt;R&gt;1&lt;/R&gt;&lt;C&gt;1&lt;/C&gt;&lt;D xsi:type="xsd:double"&gt;47.3&lt;/D&gt;&lt;/FQL&gt;&lt;FQL&gt;&lt;Q&gt;CAM-US^FG_PRICE(12/30/2015)&lt;/Q&gt;&lt;R&gt;1&lt;/R&gt;&lt;C&gt;1&lt;/C&gt;&lt;D xsi:type="xsd:double"&gt;63.13&lt;/D&gt;&lt;/FQL&gt;&lt;FQL&gt;&lt;Q&gt;CAM-US^FG_PRICE(12/31/2017)&lt;/Q&gt;&lt;R&gt;0&lt;/R&gt;&lt;C&gt;0&lt;/C&gt;&lt;/FQL&gt;&lt;FQL&gt;&lt;Q&gt;COO-US^FG_PRICE(12/30/2015)&lt;/Q&gt;&lt;R&gt;1&lt;/R&gt;&lt;C&gt;1&lt;/C&gt;&lt;D xsi:type="xsd:double"&gt;135.48&lt;/D&gt;&lt;/FQL&gt;&lt;FQL&gt;&lt;Q&gt;COO-US^FG_PRICE(12/31/2017)&lt;/Q&gt;&lt;R&gt;1&lt;/R&gt;&lt;C&gt;1&lt;/C&gt;&lt;D xsi:type="xsd:double"&gt;217.88&lt;/D&gt;&lt;/FQL&gt;&lt;FQL&gt;&lt;Q&gt;GLW-US^FG_PRICE(12/30/2015)&lt;/Q&gt;&lt;R&gt;1&lt;/R&gt;&lt;C&gt;1&lt;/C&gt;&lt;D xsi:type="xsd:double"&gt;18.49&lt;/D&gt;&lt;/FQL&gt;&lt;FQL&gt;&lt;Q&gt;GLW-US^FG_PRICE(12/31/2017)&lt;/Q&gt;&lt;R&gt;1&lt;/R&gt;&lt;C&gt;1&lt;/C&gt;&lt;D xsi:type="xsd:double"&gt;31.99&lt;/D&gt;&lt;/FQL&gt;&lt;FQL&gt;&lt;Q&gt;CR-US^FG_PRICE(12/30/2015)&lt;/Q&gt;&lt;R&gt;1&lt;/R&gt;&lt;C&gt;1&lt;/C&gt;&lt;D xsi:type="xsd:double"&gt;48.27&lt;/D&gt;&lt;/FQL&gt;&lt;FQL&gt;&lt;Q&gt;CR-US^FG_PRICE(12/31/2017)&lt;/Q&gt;&lt;R&gt;1&lt;/R&gt;&lt;C&gt;1&lt;/C&gt;&lt;D xsi:type="xsd:double"&gt;89.22&lt;/D&gt;&lt;/FQL&gt;&lt;FQL&gt;&lt;Q&gt;CREE-US^FG_PRICE(12/30/2015)&lt;/Q&gt;&lt;R&gt;1</t>
        </r>
      </text>
    </comment>
    <comment ref="A2" authorId="0" shapeId="0">
      <text>
        <r>
          <rPr>
            <b/>
            <sz val="9"/>
            <color indexed="81"/>
            <rFont val="Tahoma"/>
            <charset val="1"/>
          </rPr>
          <t>&lt;/R&gt;&lt;C&gt;1&lt;/C&gt;&lt;D xsi:type="xsd:double"&gt;27.51&lt;/D&gt;&lt;/FQL&gt;&lt;FQL&gt;&lt;Q&gt;CREE-US^FG_PRICE(12/31/2017)&lt;/Q&gt;&lt;R&gt;1&lt;/R&gt;&lt;C&gt;1&lt;/C&gt;&lt;D xsi:type="xsd:double"&gt;37.14&lt;/D&gt;&lt;/FQL&gt;&lt;FQL&gt;&lt;Q&gt;GRA-US^FG_PRICE(12/30/2015)&lt;/Q&gt;&lt;R&gt;1&lt;/R&gt;&lt;C&gt;1&lt;/C&gt;&lt;D xsi:type="xsd:double"&gt;80.43489&lt;/D&gt;&lt;/FQL&gt;&lt;FQL&gt;&lt;Q&gt;GRA-US^FG_PRICE(12/31/2017)&lt;/Q&gt;&lt;R&gt;1&lt;/R&gt;&lt;C&gt;1&lt;/C&gt;&lt;D xsi:type="xsd:double"&gt;70.13&lt;/D&gt;&lt;/FQL&gt;&lt;FQL&gt;&lt;Q&gt;SEE-US^FG_PRICE(12/30/2015)&lt;/Q&gt;&lt;R&gt;1&lt;/R&gt;&lt;C&gt;1&lt;/C&gt;&lt;D xsi:type="xsd:double"&gt;44.93&lt;/D&gt;&lt;/FQL&gt;&lt;FQL&gt;&lt;Q&gt;SEE-US^FG_PRICE(12/31/2017)&lt;/Q&gt;&lt;R&gt;1&lt;/R&gt;&lt;C&gt;1&lt;/C&gt;&lt;D xsi:type="xsd:double"&gt;49.3&lt;/D&gt;&lt;/FQL&gt;&lt;FQL&gt;&lt;Q&gt;BRCM-US^FG_PRICE(12/30/2015)&lt;/Q&gt;&lt;R&gt;1&lt;/R&gt;&lt;C&gt;1&lt;/C&gt;&lt;D xsi:type="xsd:double"&gt;58.22&lt;/D&gt;&lt;/FQL&gt;&lt;FQL&gt;&lt;Q&gt;BRCM-US^FG_PRICE(12/31/2017)&lt;/Q&gt;&lt;R&gt;0&lt;/R&gt;&lt;C&gt;0&lt;/C&gt;&lt;/FQL&gt;&lt;FQL&gt;&lt;Q&gt;CDZI-US^FG_PRICE(12/30/2015)&lt;/Q&gt;&lt;R&gt;1&lt;/R&gt;&lt;C&gt;1&lt;/C&gt;&lt;D xsi:type="xsd:double"&gt;5.3&lt;/D&gt;&lt;/FQL&gt;&lt;FQL&gt;&lt;Q&gt;CDZI-US^FG_PRICE(12/31/2017)&lt;/Q&gt;&lt;R&gt;1&lt;/R&gt;&lt;C&gt;1&lt;/C&gt;&lt;D xsi:type="xsd:double"&gt;14.25&lt;/D&gt;&lt;/FQL&gt;&lt;FQL&gt;&lt;Q&gt;CRR-US^FG_PRICE(12/30/2015)&lt;/Q&gt;&lt;R&gt;1&lt;/R&gt;&lt;C&gt;1&lt;/C&gt;&lt;D xsi:type="xsd:double"&gt;17.31&lt;/D&gt;&lt;/FQL&gt;&lt;FQL&gt;&lt;Q&gt;CRR-US^FG_PRICE(12/31/2017)&lt;/Q&gt;&lt;R&gt;1&lt;/R&gt;&lt;C&gt;1&lt;/C&gt;&lt;D xsi:type="xsd:double"&gt;10.18&lt;/D&gt;&lt;/FQL&gt;&lt;FQL&gt;&lt;Q&gt;CFR-US^FG_PRICE(12/30/2015)&lt;/Q&gt;&lt;R&gt;1&lt;/R&gt;&lt;C&gt;1&lt;/C&gt;&lt;D xsi:type="xsd:double"&gt;61.02&lt;/D&gt;&lt;/FQL&gt;&lt;FQL&gt;&lt;Q&gt;CFR-US^FG_PRICE(12/31/2017)&lt;/Q&gt;&lt;R&gt;1&lt;/R&gt;&lt;C&gt;1&lt;/C&gt;&lt;D xsi:type="xsd:double"&gt;94.65&lt;/D&gt;&lt;/FQL&gt;&lt;FQL&gt;&lt;Q&gt;CMI-US^FG_PRICE(12/30/2015)&lt;/Q&gt;&lt;R&gt;1&lt;/R&gt;&lt;C&gt;1&lt;/C&gt;&lt;D xsi:type="xsd:double"&gt;89.18&lt;/D&gt;&lt;/FQL&gt;&lt;FQL&gt;&lt;Q&gt;CMI-US^FG_PRICE(12/31/2017)&lt;/Q&gt;&lt;R&gt;1&lt;/R&gt;&lt;C&gt;1&lt;/C&gt;&lt;D xsi:type="xsd:double"&gt;176.64&lt;/D&gt;&lt;/FQL&gt;&lt;FQL&gt;&lt;Q&gt;CY-US^FG_PRICE(12/30/2015)&lt;/Q&gt;&lt;R&gt;1&lt;/R&gt;&lt;C&gt;1&lt;/C&gt;&lt;D xsi:type="xsd:double"&gt;9.9&lt;/D&gt;&lt;/FQL&gt;&lt;FQL&gt;&lt;Q&gt;CY-US^FG_PRICE(12/31/2017)&lt;/Q&gt;&lt;R&gt;1&lt;/R&gt;&lt;C&gt;1&lt;/C&gt;&lt;D xsi:type="xsd:double"&gt;15.24&lt;/D&gt;&lt;/FQL&gt;&lt;FQL&gt;&lt;Q&gt;FII-US^FG_PRICE(12/30/2015)&lt;/Q&gt;&lt;R&gt;1&lt;/R&gt;&lt;C&gt;1&lt;/C&gt;&lt;D xsi:type="xsd:double"&gt;28.8&lt;/D&gt;&lt;/FQL&gt;&lt;FQL&gt;&lt;Q&gt;FII-US^FG_PRICE(12/31/2017)&lt;/Q&gt;&lt;R&gt;1&lt;/R&gt;&lt;C&gt;1&lt;/C&gt;&lt;D xsi:type="xsd:double"&gt;36.08&lt;/D&gt;&lt;/FQL&gt;&lt;FQL&gt;&lt;Q&gt;LLL-US^FG_PRICE(12/30/2015)&lt;/Q&gt;&lt;R&gt;1&lt;/R&gt;&lt;C&gt;1&lt;/C&gt;&lt;D xsi:type="xsd:double"&gt;120.94&lt;/D&gt;&lt;/FQL&gt;&lt;FQL&gt;&lt;Q&gt;LLL-US^FG_PRICE(12/31/2017)&lt;/Q&gt;&lt;R&gt;1&lt;/R&gt;&lt;C&gt;1&lt;/C&gt;&lt;D xsi:type="xsd:double"&gt;197.85&lt;/D&gt;&lt;/FQL&gt;&lt;FQL&gt;&lt;Q&gt;WCN.XX2-US^FG_PRICE(12/30/2015)&lt;/Q&gt;&lt;R&gt;1&lt;/R&gt;&lt;C&gt;1&lt;/C&gt;&lt;D xsi:type="xsd:double"&gt;56.74&lt;/D&gt;&lt;/FQL&gt;&lt;FQL&gt;&lt;Q&gt;WCN.XX2-US^FG_PRICE(12/31/2017)&lt;/Q&gt;&lt;R&gt;0&lt;/R&gt;&lt;C&gt;0&lt;/C&gt;&lt;/FQL&gt;&lt;FQL&gt;&lt;Q&gt;DHI-US^FG_PRICE(12/30/2015)&lt;/Q&gt;&lt;R&gt;1&lt;/R&gt;&lt;C&gt;1&lt;/C&gt;&lt;D xsi:type="xsd:double"&gt;32.44&lt;/D&gt;&lt;/FQL&gt;&lt;FQL&gt;&lt;Q&gt;DHI-US^FG_PRICE(12/31/2017)&lt;/Q&gt;&lt;R&gt;1&lt;/R&gt;&lt;C&gt;1&lt;/C&gt;&lt;D xsi:type="xsd:double"&gt;51.07&lt;/D&gt;&lt;/FQL&gt;&lt;FQL&gt;&lt;Q&gt;DHR-US^FG_PRICE(12/30/2015)&lt;/Q&gt;&lt;R&gt;1&lt;/R&gt;&lt;C&gt;1&lt;/C&gt;&lt;D xsi:type="xsd:double"&gt;70.75149&lt;/D&gt;&lt;/FQL&gt;&lt;FQL&gt;&lt;Q&gt;DHR-US^FG_PRICE(12/31/2017)&lt;/Q&gt;&lt;R&gt;1&lt;/R&gt;&lt;C&gt;1&lt;/C&gt;&lt;D xsi:type="xsd:double"&gt;92.82&lt;/D&gt;&lt;/FQL&gt;&lt;FQL&gt;&lt;Q&gt;MCO-US^FG_PRICE(12/30/2015)&lt;/Q&gt;&lt;R&gt;1&lt;/R&gt;&lt;C&gt;1&lt;/C&gt;&lt;D xsi:type="xsd:double"&gt;101.11&lt;/D&gt;&lt;/FQL&gt;&lt;FQL&gt;&lt;Q&gt;MCO-US^FG_PRICE(12/31/2017)&lt;/Q&gt;&lt;R&gt;1&lt;/R&gt;&lt;C&gt;1&lt;/C&gt;&lt;D xsi:type="xsd:double"&gt;147.61&lt;/D&gt;&lt;/FQL&gt;&lt;FQL&gt;&lt;Q&gt;CVA-US^FG_PRICE(12/30/2015)&lt;/Q&gt;&lt;R&gt;1&lt;/R&gt;&lt;C&gt;1&lt;/C&gt;&lt;D xsi:type="xsd:double"&gt;15.5&lt;/D&gt;&lt;/FQL&gt;&lt;FQL&gt;&lt;Q&gt;CVA-US^FG_PRICE(12/31/2017)&lt;/Q&gt;&lt;R&gt;1&lt;/R&gt;&lt;C&gt;1&lt;/C&gt;&lt;D xsi:type="xsd:double"&gt;16.9&lt;/D&gt;&lt;/FQL&gt;&lt;FQL&gt;&lt;Q&gt;CTSH-US^FG_PRICE(12/30/2015)&lt;/Q&gt;&lt;R&gt;1&lt;/R&gt;&lt;C&gt;1&lt;/C&gt;&lt;D xsi:type="xsd:double"&gt;61&lt;/D&gt;&lt;/FQL&gt;&lt;FQL&gt;&lt;Q&gt;CTSH-US^FG_PRICE(12/31/2017)&lt;/Q&gt;&lt;R&gt;1&lt;/R&gt;&lt;C&gt;1&lt;/C&gt;&lt;D xsi:type="xsd:double"&gt;71.02&lt;/D&gt;&lt;/FQL&gt;&lt;FQL&gt;&lt;Q&gt;TGT-US^FG_PRICE(12/30/2015)&lt;/Q&gt;&lt;R&gt;1&lt;/R&gt;&lt;C&gt;1&lt;/C&gt;&lt;D xsi:type="xsd:double"&gt;73.62&lt;/D&gt;&lt;/FQL&gt;&lt;FQL&gt;&lt;Q&gt;TGT-US^FG_PRICE(12/31/2017)&lt;/Q&gt;&lt;R&gt;1&lt;/R&gt;&lt;C&gt;1&lt;/C&gt;&lt;D xsi:type="xsd:double"&gt;65.25&lt;/D&gt;&lt;/FQL&gt;&lt;FQL&gt;&lt;Q&gt;DO-US^FG_PRICE(12/30/2015)&lt;/Q&gt;&lt;R&gt;1&lt;/R&gt;&lt;C&gt;1&lt;/C&gt;&lt;D xsi:type="xsd:double"&gt;20.85&lt;/D&gt;&lt;/FQL&gt;&lt;FQL&gt;&lt;Q&gt;DO-US^FG_PRICE(12/31/2017)&lt;/Q&gt;&lt;R&gt;1&lt;/R&gt;&lt;C&gt;1&lt;/C&gt;&lt;D xsi:type="xsd:double"&gt;18.59&lt;/D&gt;&lt;/FQL&gt;&lt;FQL&gt;&lt;Q&gt;DE-US^FG_PRICE(12/30/2015)&lt;/Q&gt;&lt;R&gt;1&lt;/R&gt;&lt;C&gt;1&lt;/C&gt;&lt;D xsi:type="xsd:double"&gt;77.5&lt;/D&gt;&lt;/FQL&gt;&lt;FQL&gt;&lt;Q&gt;DE-US^FG_PRICE(12/31/2017)&lt;/Q&gt;&lt;R&gt;1&lt;/R&gt;&lt;C&gt;1&lt;/C&gt;&lt;D xsi:type="xsd:double"&gt;156.51&lt;/D&gt;&lt;/FQL&gt;&lt;FQL&gt;&lt;Q&gt;MS-US^FG_PRICE(12/30/2015)&lt;/Q&gt;&lt;R&gt;1&lt;/R&gt;&lt;C&gt;1&lt;/C&gt;&lt;D xsi:type="xsd:double"&gt;32.23&lt;/D&gt;&lt;/FQL&gt;&lt;FQL&gt;&lt;Q&gt;MS-US^FG_PRICE(12/31/2017)&lt;/Q&gt;&lt;R&gt;1&lt;/R&gt;&lt;C&gt;1&lt;/C&gt;&lt;D xsi:type="xsd:double"&gt;52.47&lt;/D&gt;&lt;/FQL&gt;&lt;FQL&gt;&lt;Q&gt;RSG-US^FG_PRICE(12/30/2015)&lt;/Q&gt;&lt;R&gt;1&lt;/R&gt;&lt;C&gt;1&lt;/C&gt;&lt;D xsi:type="xsd:double"&gt;44.54&lt;/D&gt;&lt;/FQL&gt;&lt;FQL&gt;&lt;Q&gt;RSG-US^FG_PRICE(12/31/2017)&lt;/Q&gt;&lt;R&gt;1&lt;/R&gt;&lt;C&gt;1&lt;/C&gt;&lt;D xsi:type="xsd:double"&gt;67.61&lt;/D&gt;&lt;/FQL&gt;&lt;FQL&gt;&lt;Q&gt;DECK-US^FG_PRICE(12/30/2015)&lt;/Q&gt;&lt;R&gt;1&lt;/R&gt;&lt;C&gt;1&lt;/C&gt;&lt;D xsi:type="xsd:double"&gt;47.85&lt;/D&gt;&lt;/FQL&gt;&lt;FQL&gt;&lt;Q&gt;DECK-US^FG_PRICE(12/31/2017)&lt;/Q&gt;&lt;R&gt;1&lt;/R&gt;&lt;C&gt;1&lt;/C&gt;&lt;D xsi:type="xsd:double"&gt;80.25&lt;/D&gt;&lt;/FQL&gt;&lt;FQL&gt;&lt;Q&gt;ATGE-US^FG_PRICE(12/30/2015)&lt;/Q&gt;&lt;R&gt;1&lt;/R&gt;&lt;C&gt;1&lt;/C&gt;&lt;D xsi:type="xsd:double"&gt;25.73&lt;/D&gt;&lt;/FQL&gt;&lt;FQL&gt;&lt;Q&gt;ATGE-US^FG_PRICE(12/31/2017)&lt;/Q&gt;&lt;R&gt;1&lt;/R&gt;&lt;C&gt;1&lt;/C&gt;&lt;D xsi:type="xsd:double"&gt;42.05&lt;/D&gt;&lt;/FQL&gt;&lt;FQL&gt;&lt;Q&gt;DBD-US^FG_PRICE(12/30/2015)&lt;/Q&gt;&lt;R&gt;1&lt;/R&gt;&lt;C&gt;1&lt;/C&gt;&lt;D xsi:type="xsd:double"&gt;30.7&lt;/D&gt;&lt;/FQL&gt;&lt;FQL&gt;&lt;Q&gt;DBD-US^FG_PRICE(12/31/2017)&lt;/Q&gt;&lt;R&gt;1&lt;/R&gt;&lt;C&gt;1&lt;/C&gt;&lt;D xsi:type="xsd:double"&gt;16.35&lt;/D&gt;&lt;/FQL&gt;&lt;FQL&gt;&lt;Q&gt;DDS-US^FG_PRICE(12/30/2015)&lt;/Q&gt;&lt;R&gt;1&lt;/R&gt;&lt;C&gt;1&lt;/C&gt;&lt;D xsi:type="xsd:double"&gt;67.91&lt;/D&gt;&lt;/FQL&gt;&lt;FQL&gt;&lt;Q&gt;DDS-US^FG_PRICE(12/31/2017)&lt;/Q&gt;&lt;R&gt;1&lt;/R&gt;&lt;C&gt;1&lt;/C&gt;&lt;D xsi:type="xsd:double"&gt;60.05&lt;/D&gt;&lt;/FQL&gt;&lt;FQL&gt;&lt;Q&gt;DIS-US^FG_PRICE(12/30/2015)&lt;/Q&gt;&lt;R&gt;1&lt;/R&gt;&lt;C&gt;1&lt;/C&gt;&lt;D xsi:type="xsd:double"&gt;106.34&lt;/D&gt;&lt;/FQL&gt;&lt;FQL&gt;&lt;Q&gt;DIS-US^FG_PRICE(12/31/2017)&lt;/Q&gt;&lt;R&gt;1&lt;/R&gt;&lt;C&gt;1&lt;/C&gt;&lt;D xsi:type="xsd:double"&gt;107.51&lt;/D&gt;&lt;/FQL&gt;&lt;FQL&gt;&lt;Q&gt;DLTR-US^FG_PRICE(12/30/2015)&lt;/Q&gt;&lt;R&gt;1&lt;/R&gt;&lt;C&gt;1&lt;/C&gt;&lt;D xsi:type="xsd:double"&gt;77.62&lt;/D&gt;&lt;/FQL&gt;&lt;FQL&gt;&lt;Q&gt;DLTR-US^FG_PRICE(12/31/2017)&lt;/Q&gt;&lt;R&gt;1&lt;/R&gt;&lt;C&gt;1&lt;/C&gt;&lt;D xsi:type="xsd:double"&gt;107.31&lt;/D&gt;&lt;/FQL&gt;&lt;FQL&gt;&lt;Q&gt;DCI-US^FG_PRICE(12/30/2015)&lt;/Q&gt;&lt;R&gt;1&lt;/R&gt;&lt;C&gt;1&lt;/C&gt;&lt;D xsi:type="xsd:double"&gt;28.89&lt;/D&gt;&lt;/FQL&gt;&lt;FQL&gt;&lt;Q&gt;DCI-US^FG_PRICE(12/31/2017)&lt;/Q&gt;&lt;R&gt;1&lt;/R&gt;&lt;C&gt;1&lt;/C&gt;&lt;D xsi:type="xsd:double"&gt;48.95&lt;/D&gt;&lt;/FQL&gt;&lt;FQL&gt;&lt;Q&gt;RRD-US^FG_PRICE(12/30/2015)&lt;/Q&gt;&lt;R&gt;1&lt;/R&gt;&lt;C&gt;1&lt;/C&gt;&lt;D xsi:type="xsd:double"&gt;20.957205&lt;/D&gt;&lt;/FQL&gt;&lt;FQL&gt;&lt;Q&gt;RRD-US^FG_PRICE(12/31/2017)&lt;/Q&gt;&lt;R&gt;1&lt;/R&gt;&lt;C&gt;1&lt;/C&gt;&lt;D xsi:type="xsd:double"&gt;9.3&lt;/D&gt;&lt;/FQL&gt;&lt;FQL&gt;&lt;Q&gt;DOV-US^FG_PRICE(12/30/2015)&lt;/Q&gt;&lt;R&gt;1&lt;/R&gt;&lt;C&gt;1&lt;/C&gt;&lt;D xsi:type="xsd:double"&gt;61.68&lt;/D&gt;&lt;/FQL&gt;&lt;FQL&gt;&lt;Q&gt;DOV-US^FG_PRICE(12/31/2017)&lt;/Q&gt;&lt;R&gt;1&lt;/R&gt;&lt;C&gt;1&lt;/C&gt;&lt;D xsi:type="xsd:double"&gt;100.99&lt;/D&gt;&lt;/FQL&gt;&lt;FQL&gt;&lt;Q&gt;DWDP-US^FG_PRICE(12/30/2015)&lt;/Q&gt;&lt;R&gt;1&lt;/R&gt;&lt;C&gt;1&lt;/C&gt;&lt;D xsi:type="xsd:double"&gt;51.66&lt;/D&gt;&lt;/FQL&gt;&lt;FQL&gt;&lt;Q&gt;DWDP-US^FG_PRICE(12/31/2017)&lt;/Q&gt;&lt;R&gt;1&lt;/R&gt;&lt;C&gt;1&lt;/C&gt;&lt;D xsi:type="xsd:double"&gt;71.22&lt;/D&gt;&lt;/FQL&gt;&lt;FQL&gt;&lt;Q&gt;OMC-US^FG_PRICE(12/30/2015)&lt;/Q&gt;&lt;R&gt;1&lt;/R&gt;&lt;C&gt;1&lt;/C&gt;&lt;D xsi:type="xsd:double"&gt;76.63&lt;/D&gt;&lt;/FQL&gt;&lt;FQL&gt;&lt;Q&gt;OMC-US^FG_PRICE(12/31/2017)&lt;/Q&gt;&lt;R&gt;1&lt;/R&gt;&lt;C&gt;1&lt;/C&gt;&lt;D xsi:type="xsd:double"&gt;72.83&lt;/D&gt;&lt;/FQL&gt;&lt;FQL&gt;&lt;Q&gt;DTE-US^FG_PRICE(12/30/2015)&lt;/Q&gt;&lt;R&gt;1&lt;/R&gt;&lt;C&gt;1&lt;/C&gt;&lt;D xsi:type="xsd:double"&gt;81.54&lt;/D&gt;&lt;/FQL&gt;&lt;FQL&gt;&lt;Q&gt;DTE-US^FG_PRICE(12/31/2017)&lt;/Q&gt;&lt;R&gt;1&lt;/R&gt;&lt;C&gt;1&lt;/C&gt;&lt;D xsi:type="xsd:double"&gt;109.46&lt;/D&gt;&lt;/FQL&gt;&lt;FQL&gt;&lt;Q&gt;DST-US^FG_PRICE(12/30/2015)&lt;/Q&gt;&lt;R&gt;1&lt;/R&gt;&lt;C&gt;1&lt;/C&gt;&lt;D xsi:type="xsd:double"&gt;57.74&lt;/D&gt;&lt;/FQL&gt;&lt;FQL&gt;&lt;Q&gt;DST-US^FG_PRICE(12/31/2017)&lt;/Q&gt;&lt;R&gt;1&lt;/R&gt;&lt;C&gt;1&lt;/C&gt;&lt;D xsi:type="xsd:double"&gt;62.07&lt;/D&gt;&lt;/FQL&gt;&lt;FQL&gt;&lt;Q&gt;DRE-US^FG_PRICE(12/30/2015)&lt;/Q&gt;&lt;R&gt;1&lt;/R&gt;&lt;C&gt;1&lt;/C&gt;&lt;D xsi:type="xsd:double"&gt;21.22&lt;/D&gt;&lt;/FQL&gt;&lt;FQL&gt;&lt;Q&gt;DRE-US^FG_PRICE(12/31/2017)&lt;/Q&gt;&lt;R&gt;1&lt;/R&gt;&lt;C&gt;1&lt;/C&gt;&lt;D xsi:type="xsd:double"&gt;27.21&lt;/D&gt;&lt;/FQL&gt;&lt;FQL&gt;&lt;Q&gt;CVG-US^FG_PRICE(12/30/2015)&lt;/Q&gt;&lt;R&gt;1&lt;/R&gt;&lt;C&gt;1&lt;/C&gt;&lt;D xsi:type="xsd:double"&gt;25.26&lt;/D&gt;&lt;/FQL&gt;&lt;FQL&gt;&lt;Q&gt;CVG-US^FG_PRICE(12/31/2017)&lt;/Q&gt;&lt;R&gt;1&lt;/R&gt;&lt;C&gt;1&lt;/C&gt;&lt;D xsi:type="xsd:double"&gt;23.5&lt;/D&gt;&lt;/FQL&gt;&lt;FQL&gt;&lt;Q&gt;FLS-US^FG_PRICE(12/30/2015)&lt;/Q&gt;&lt;R&gt;1&lt;/R&gt;&lt;C&gt;1&lt;/C&gt;&lt;D xsi:type="xsd:double"&gt;42.56&lt;/D&gt;&lt;/FQL&gt;&lt;FQL&gt;&lt;Q&gt;FLS-US^FG_PRICE(12/31/2017)&lt;/Q&gt;&lt;R&gt;1&lt;/R&gt;&lt;C&gt;1&lt;/C&gt;&lt;D xsi:type="xsd:double"&gt;42.13&lt;/D&gt;&lt;/FQL&gt;&lt;FQL&gt;&lt;Q&gt;DRI-US^FG_PRICE(12/30/2015)&lt;/Q&gt;&lt;R&gt;1&lt;/R&gt;&lt;C&gt;1&lt;/C&gt;&lt;D xsi:type="xsd:double"&gt;64.29&lt;/D&gt;&lt;/FQL&gt;&lt;FQL&gt;&lt;Q&gt;DRI-US^FG_PRICE(12/31/2017)&lt;/Q&gt;&lt;R&gt;1&lt;/R&gt;&lt;C&gt;1&lt;/C&gt;&lt;D xsi:type="xsd:double"&gt;96.02&lt;/D&gt;&lt;/FQL&gt;&lt;FQL&gt;&lt;Q&gt;EBAY-US^FG_PRICE(12/30/2015)&lt;/Q&gt;&lt;R&gt;1&lt;/R&gt;&lt;C&gt;1&lt;/C&gt;&lt;D xsi:type="xsd:double"&gt;27.75&lt;/D&gt;&lt;/FQL&gt;&lt;FQL&gt;&lt;Q&gt;EBAY-US^FG_PRICE(12/31/2017)&lt;/Q&gt;&lt;R&gt;1&lt;/R&gt;&lt;C&gt;1&lt;/C&gt;&lt;D xsi:type="xsd:double"&gt;37.74&lt;/D&gt;&lt;/FQL&gt;&lt;FQL&gt;&lt;Q&gt;EMC-US^FG_PRICE(12/30/2015)&lt;/Q&gt;&lt;R&gt;1&lt;/R&gt;&lt;C&gt;1&lt;/C&gt;&lt;D xsi:type="xsd:double"&gt;25.72&lt;/D&gt;&lt;/FQL&gt;&lt;FQL&gt;&lt;Q&gt;EMC-US^FG_PRICE(12/31/2017)&lt;/Q&gt;&lt;R&gt;0&lt;/R&gt;&lt;C&gt;0&lt;/C&gt;&lt;/FQL&gt;&lt;FQL&gt;&lt;Q&gt;BAC-US^FG_PRICE(12/30/2015)&lt;/Q&gt;&lt;R&gt;1&lt;/R&gt;&lt;C&gt;1&lt;/C&gt;&lt;D xsi:type="xsd:double"&gt;17.05&lt;/D&gt;&lt;/FQL&gt;&lt;FQL&gt;&lt;Q&gt;BAC-US^FG_PRICE(12/31/2017)&lt;/Q&gt;&lt;R&gt;1&lt;/R&gt;&lt;C&gt;1&lt;/C&gt;&lt;D xsi:type="xsd:double"&gt;29.52&lt;/D&gt;&lt;/FQL&gt;&lt;FQL&gt;&lt;Q&gt;C-US^FG_PRICE(12/30/2015)&lt;/Q&gt;&lt;R&gt;1&lt;/R&gt;&lt;C&gt;1&lt;/C&gt;&lt;D xsi:type="xsd:double"&gt;52.3&lt;/D&gt;&lt;/FQL&gt;&lt;FQL&gt;&lt;Q&gt;C-US^FG_PRICE(12/31/2017)&lt;/Q&gt;&lt;R&gt;1&lt;/R&gt;&lt;C&gt;1&lt;/C&gt;&lt;D xsi:type="xsd:double"&gt;74.41&lt;/D&gt;&lt;/FQL&gt;&lt;FQL&gt;&lt;Q&gt;EMN-US^FG_PRICE(12/30/2015)&lt;/Q&gt;&lt;R&gt;1&lt;/R&gt;&lt;C&gt;1&lt;/C&gt;&lt;D xsi:type="xsd:double"&gt;67.8&lt;/D&gt;&lt;/FQL&gt;&lt;FQL&gt;&lt;Q&gt;EMN-US^FG_PRICE(12/31/2017)&lt;/Q&gt;&lt;R&gt;1&lt;/R&gt;&lt;C&gt;1&lt;/C&gt;&lt;D xsi:type="xsd:double"&gt;92.64&lt;/D&gt;&lt;/FQL&gt;&lt;FQL&gt;&lt;Q&gt;ETFC-US^FG_PRICE(12/30/2015)&lt;/Q&gt;&lt;R&gt;1&lt;/R&gt;&lt;C&gt;1&lt;/C&gt;&lt;D xsi:type="xsd:double"&gt;29.9&lt;/D&gt;&lt;/FQL&gt;&lt;FQL&gt;&lt;Q&gt;ETFC-US^FG_PRICE(12/31/2017)&lt;/Q&gt;&lt;R&gt;1&lt;/R&gt;&lt;C&gt;1&lt;/C&gt;&lt;D xsi:type="xsd:double"&gt;49.57&lt;/D&gt;&lt;/FQL&gt;&lt;FQL&gt;&lt;Q&gt;EV-US^FG_PRICE(12/30/2015)&lt;/Q&gt;&lt;R&gt;1&lt;/R&gt;&lt;C&gt;1&lt;/C&gt;&lt;D xsi:type="xsd:double"&gt;32.73&lt;/D&gt;&lt;/FQL&gt;&lt;FQL&gt;&lt;Q&gt;EV-US^FG_PRICE(12/31/2017)&lt;/Q&gt;&lt;R&gt;1&lt;/R&gt;&lt;C&gt;1&lt;/C&gt;&lt;D xsi:type="xsd:double"&gt;56.39&lt;/D&gt;&lt;/FQL&gt;&lt;FQL&gt;&lt;Q&gt;CDNS-US^FG_PRICE(12/30/2015)&lt;/Q&gt;&lt;R&gt;1&lt;/R&gt;&lt;C&gt;1&lt;/C&gt;&lt;D xsi:type="xsd:double"&gt;21.22&lt;/D&gt;&lt;/FQL&gt;&lt;FQL&gt;&lt;Q&gt;CDNS-US^FG_PRICE(12/31/2017)&lt;/Q&gt;&lt;R&gt;1&lt;/R&gt;&lt;C&gt;1&lt;/C&gt;&lt;D xsi:type="xsd:double"&gt;41.82&lt;/D&gt;&lt;/FQL&gt;&lt;FQL&gt;&lt;Q&gt;DISH-US^FG_PRICE(12/30/2015)&lt;/Q&gt;&lt;R&gt;1&lt;/R&gt;&lt;C&gt;1&lt;/C&gt;&lt;D xsi:type="xsd:double"&gt;57.48&lt;/D&gt;&lt;/FQL&gt;&lt;FQL&gt;&lt;Q&gt;DISH-US^FG_PRICE(12/31/2017)&lt;/Q&gt;&lt;R&gt;1&lt;/R&gt;&lt;C&gt;1&lt;/C&gt;&lt;D xsi:type="xsd:double"&gt;47.75&lt;/D&gt;&lt;/FQL&gt;&lt;FQL&gt;&lt;Q&gt;ECL-US^FG_PRICE(12/30/2015)&lt;/Q&gt;&lt;R&gt;1&lt;/R&gt;&lt;C&gt;1&lt;/C&gt;&lt;D xsi:type="xsd:double"&gt;115.43&lt;/D&gt;&lt;/FQL&gt;&lt;FQL&gt;&lt;Q&gt;ECL-US^FG_PRICE(12/31/2017)&lt;/Q&gt;&lt;R&gt;1&lt;/R&gt;&lt;C&gt;1&lt;/C&gt;&lt;D xsi:type="xsd:double"&gt;134.18&lt;/D&gt;&lt;/FQL&gt;&lt;FQL&gt;&lt;Q&gt;PKI-US^FG_PRICE(12/30/2015)&lt;/Q&gt;&lt;R&gt;1&lt;/R&gt;&lt;C&gt;1&lt;/C&gt;&lt;D xsi:type="xsd:double"&gt;53.93&lt;/D&gt;&lt;/FQL&gt;&lt;FQL&gt;&lt;Q&gt;PKI-US^FG_PRICE(12/31/2017)&lt;/Q&gt;&lt;R&gt;1&lt;/R&gt;&lt;C&gt;1&lt;/C&gt;&lt;D xsi:type="xsd:double"&gt;73.12&lt;/D&gt;&lt;/FQL&gt;&lt;FQL&gt;&lt;Q&gt;EA-US^FG_PRICE(12/30/2015)&lt;/Q&gt;&lt;R&gt;1&lt;/R&gt;&lt;C&gt;1&lt;/C&gt;&lt;D xsi:type="xsd:double"&gt;69.65&lt;/D&gt;&lt;/FQL&gt;&lt;FQL&gt;&lt;Q&gt;EA-US^FG_PRICE(12/31/2017)&lt;/Q&gt;&lt;R&gt;1&lt;/R&gt;&lt;C&gt;1&lt;/C&gt;&lt;D xsi:type="xsd:double"&gt;105.06&lt;/D&gt;&lt;/FQL&gt;&lt;FQL&gt;&lt;Q&gt;CRM-US^FG_PRICE(12/30/2015)&lt;/Q&gt;&lt;R&gt;1&lt;/R&gt;&lt;C&gt;1&lt;/C&gt;&lt;D xsi:type="xsd:double"&gt;79.14&lt;/D&gt;&lt;/FQL&gt;&lt;FQL&gt;&lt;Q&gt;CRM-US^FG_PRICE(12/31/2017)&lt;/Q&gt;&lt;R&gt;1&lt;/R&gt;&lt;C&gt;1&lt;/C&gt;&lt;D xsi:type="xsd:double"&gt;102.23&lt;/D&gt;&lt;/FQL&gt;&lt;FQL&gt;&lt;Q&gt;ERIE-US^FG_PRICE(12/30/2015)&lt;/Q&gt;&lt;R&gt;1&lt;/R&gt;&lt;C&gt;1&lt;/C&gt;&lt;D xsi:type="xsd:double"&gt;97.89&lt;/D&gt;&lt;/FQL&gt;&lt;FQL&gt;&lt;Q&gt;ERIE-US^FG_PRICE(12/31/2017)&lt;/Q&gt;&lt;R&gt;1&lt;/R&gt;&lt;C&gt;1&lt;/C&gt;&lt;D xsi:type="xsd:double"&gt;121.84&lt;/D&gt;&lt;/FQL&gt;&lt;FQL&gt;&lt;Q&gt;EMR-US^FG_PRICE(12/30/2015)&lt;/Q&gt;&lt;R&gt;1&lt;/R&gt;&lt;C&gt;1&lt;/C&gt;&lt;D xsi:type="xsd:double"&gt;48.53&lt;/D&gt;&lt;/FQL&gt;&lt;FQL&gt;&lt;Q&gt;EMR-US^FG_PRICE(12/31/2017)&lt;/Q&gt;&lt;R&gt;1&lt;/R&gt;&lt;C&gt;1&lt;/C&gt;&lt;D xsi:type="xsd:double"&gt;69.69&lt;/D&gt;&lt;/FQL&gt;&lt;FQL&gt;&lt;Q&gt;ATO-US^FG_PRICE(12/30/2015)&lt;/Q&gt;&lt;R&gt;1&lt;/R&gt;&lt;C&gt;1&lt;/C&gt;&lt;D xsi:type="xsd:double"&gt;64.15&lt;/D&gt;&lt;/FQL&gt;&lt;FQL&gt;&lt;Q&gt;ATO-US^FG_PRICE(12/31/2017)&lt;/Q&gt;&lt;R&gt;1&lt;/R&gt;&lt;C&gt;1&lt;/C&gt;&lt;D xsi:type="xsd:double"&gt;85.89&lt;/D&gt;&lt;/FQL&gt;&lt;FQL&gt;&lt;Q&gt;ESS-US^FG_PRICE(12/30/2015)&lt;/Q&gt;&lt;R&gt;1&lt;/R&gt;&lt;C&gt;1&lt;/C&gt;&lt;D xsi:type="xsd:double"&gt;243.27&lt;/D&gt;&lt;/FQL&gt;&lt;FQL&gt;&lt;Q&gt;ESS-US^FG_PRICE(12/31/2017)&lt;/Q&gt;&lt;R&gt;1&lt;/R&gt;&lt;C&gt;1&lt;/C&gt;&lt;D xsi:type="xsd:double"&gt;241.37&lt;/D&gt;&lt;/FQL&gt;&lt;FQL&gt;&lt;Q&gt;ETR-US^FG_PRICE(12/30/2015)&lt;/Q&gt;&lt;R&gt;1&lt;/R&gt;&lt;C&gt;1&lt;/C&gt;&lt;D xsi:type="xsd:double"&gt;69.25&lt;/D&gt;&lt;/FQL&gt;&lt;FQL&gt;&lt;Q&gt;ETR-US^FG_PRICE(12/31/2017)&lt;/Q&gt;&lt;R&gt;1&lt;/R&gt;&lt;C&gt;1&lt;/C&gt;&lt;D xsi:type="xsd:double"&gt;81.39&lt;/D&gt;&lt;/FQL&gt;&lt;FQL&gt;&lt;Q&gt;EOG-US^FG_PRICE(12/30/2015)&lt;/Q&gt;&lt;R&gt;1&lt;/R&gt;&lt;C&gt;1&lt;/C&gt;&lt;D xsi:type="xsd:double"&gt;70.61&lt;/D&gt;&lt;/FQL&gt;&lt;FQL&gt;&lt;Q&gt;EOG-US^FG_PRICE(12/31/2017)&lt;/Q&gt;&lt;R&gt;1&lt;/R&gt;&lt;C&gt;1&lt;/C&gt;&lt;D xsi:type="xsd:double"&gt;107.91&lt;/D&gt;&lt;/FQL&gt;&lt;FQL&gt;&lt;Q&gt;EFX-US^FG_PRICE(12/30/2015)&lt;/Q&gt;&lt;R&gt;1&lt;/R&gt;&lt;C&gt;1&lt;/C&gt;&lt;D xsi:type="xsd:double"&gt;112.77&lt;/D&gt;&lt;/FQL&gt;&lt;FQL&gt;&lt;Q&gt;EFX-US^FG_PRICE(12/31/2017)&lt;/Q&gt;&lt;R&gt;1&lt;/R&gt;&lt;C&gt;1&lt;/C&gt;&lt;D xsi:type="xsd:double"&gt;117.92&lt;/D&gt;&lt;/FQL&gt;&lt;FQL&gt;&lt;Q&gt;EQR-US^FG_PRICE(12/30/2015)&lt;/Q&gt;&lt;R&gt;1&lt;/R&gt;&lt;C&gt;1&lt;/C&gt;&lt;D xsi:type="xsd:double"&gt;81.89&lt;/D&gt;&lt;/FQL&gt;&lt;FQL&gt;&lt;Q&gt;EQR-US^FG_PRICE(12/31/2017)&lt;/Q&gt;&lt;R&gt;1&lt;/R&gt;&lt;C&gt;1&lt;/C&gt;&lt;D xsi:type="xsd:double"&gt;63.77&lt;/D&gt;&lt;/FQL&gt;&lt;FQL&gt;&lt;Q&gt;EQT-US^FG_PRICE(12/30/2015)&lt;/Q&gt;&lt;R&gt;1&lt;/R&gt;&lt;C&gt;1&lt;/C&gt;&lt;D xsi:type="xsd:double"&gt;51.41&lt;/D&gt;&lt;/FQL&gt;&lt;FQL&gt;&lt;Q&gt;EQT-US^FG_PRICE(12/31/2017)&lt;/Q&gt;&lt;R&gt;1&lt;/R&gt;&lt;C&gt;1&lt;/C&gt;&lt;D xsi:type="xsd:double"&gt;56.92&lt;/D&gt;&lt;/FQL&gt;&lt;FQL&gt;&lt;Q&gt;EL-US^FG_PRICE(12/30/2015)&lt;/Q&gt;&lt;R&gt;1&lt;/R&gt;&lt;C&gt;1&lt;/C&gt;&lt;D xsi:type="xsd:double"&gt;89.03&lt;/D&gt;&lt;/FQL&gt;&lt;FQL&gt;&lt;Q&gt;EL-US^FG_PRICE(12/31/2017)&lt;/Q&gt;&lt;R&gt;1&lt;/R&gt;&lt;C&gt;1&lt;/C&gt;&lt;D xsi:type="xsd:double"&gt;127.24&lt;/D&gt;&lt;/FQL&gt;&lt;FQL&gt;&lt;Q&gt;EXPD-US^FG_PRICE(12/30/2015)&lt;/Q&gt;&lt;R&gt;1&lt;/R&gt;&lt;C&gt;1&lt;/C&gt;&lt;D xsi:type="xsd:double"&gt;45.58&lt;/D&gt;&lt;/FQL&gt;&lt;FQL&gt;&lt;Q&gt;EXPD-US^FG_PRICE(12/31/2017)&lt;/Q&gt;&lt;R&gt;1&lt;/R&gt;&lt;C&gt;1&lt;/C&gt;&lt;D xsi:type="xsd:double"&gt;64.69&lt;/D&gt;&lt;/FQL&gt;&lt;FQL&gt;&lt;Q&gt;XOM-US^FG_PRICE(12/30/2015)&lt;/Q&gt;&lt;R&gt;1&lt;/R&gt;&lt;C&gt;1&lt;/C&gt;&lt;D xsi:type="xsd:double"&gt;78.11&lt;/D&gt;&lt;/FQL&gt;&lt;FQL&gt;&lt;Q&gt;XOM-US^FG_PRICE(12/31/2017)&lt;/Q&gt;&lt;R&gt;1&lt;/R&gt;&lt;C&gt;1&lt;/C&gt;&lt;D xsi:type="xsd:double"&gt;83.64&lt;/D&gt;&lt;/FQL&gt;&lt;FQL&gt;&lt;Q&gt;FMC-US^FG_PRICE(12/30/2015)&lt;/Q&gt;&lt;R&gt;1&lt;/R&gt;&lt;C&gt;1&lt;/C&gt;&lt;D xsi:type="xsd:double"&gt;39.69&lt;/D&gt;&lt;/FQL&gt;&lt;FQL&gt;&lt;Q&gt;FMC-US^FG_PRICE(12/31/2017)&lt;/Q&gt;&lt;R&gt;1&lt;/R&gt;&lt;C&gt;1&lt;/C&gt;&lt;D xsi:type="xsd:double"&gt;94.66&lt;/D&gt;&lt;/FQL&gt;&lt;FQL&gt;&lt;Q&gt;NEE-US^FG_PRICE(12/30/2015)&lt;/Q&gt;&lt;R&gt;1&lt;/R&gt;&lt;C&gt;1&lt;/C&gt;&lt;D xsi:type="xsd:double"&gt;104.91&lt;/D&gt;&lt;/FQL&gt;&lt;FQL&gt;&lt;Q&gt;NEE-US^FG_PRICE(12/31/2017)&lt;/Q&gt;&lt;R&gt;1&lt;/R&gt;&lt;C&gt;1&lt;/C&gt;&lt;D xsi:type="xsd:double"&gt;156.19&lt;/D&gt;&lt;/FQL&gt;&lt;FQL&gt;&lt;Q&gt;FDS-US^FG_PRICE(12/30/2015)&lt;/Q&gt;&lt;R&gt;1&lt;/R&gt;&lt;C&gt;1&lt;/C&gt;&lt;D xsi:type="xsd:double"&gt;162.49&lt;/D&gt;&lt;/FQL&gt;&lt;FQL&gt;&lt;Q&gt;FDS-US^FG_PRICE(12/31/2017)&lt;/Q&gt;&lt;R&gt;1&lt;/R&gt;&lt;C&gt;1&lt;/C&gt;&lt;D xsi:type="xsd:double"&gt;192.76&lt;/D&gt;&lt;/FQL&gt;&lt;FQL&gt;&lt;Q&gt;AIZ-US^FG_PRICE(12/30/2015)&lt;/Q&gt;&lt;R&gt;1&lt;/R&gt;&lt;C&gt;1&lt;/C&gt;&lt;D xsi:type="xsd:double"&gt;81.37&lt;/D&gt;&lt;/FQL&gt;&lt;FQL&gt;&lt;Q&gt;AIZ-US^FG_PRICE(12/31/2017)&lt;/Q&gt;&lt;R&gt;1&lt;/R&gt;&lt;C&gt;1&lt;/C&gt;&lt;D xsi:type="xsd:double"&gt;100.84&lt;/D&gt;&lt;/FQL&gt;&lt;FQL&gt;&lt;Q&gt;FAST-US^FG_PRICE(12/30/2015)&lt;/Q&gt;&lt;R&gt;1&lt;/R&gt;&lt;C&gt;1&lt;/C&gt;&lt;D xsi:type="xsd:double"&gt;41.51&lt;/D&gt;&lt;/FQL&gt;&lt;FQL&gt;&lt;Q&gt;FAST-US^FG_PRICE(12/31/2017)&lt;/Q&gt;&lt;R&gt;1&lt;/R&gt;&lt;C&gt;1&lt;/C&gt;&lt;D xsi:type="xsd:double"&gt;54.69&lt;/D&gt;&lt;/FQL&gt;&lt;FQL&gt;&lt;Q&gt;FNMA-US^FG_PRICE(12/30/2015)&lt;/Q&gt;&lt;R&gt;1&lt;/R&gt;&lt;C&gt;1&lt;/C&gt;&lt;D xsi:type="xsd:double"&gt;1.64&lt;/D&gt;&lt;/FQL&gt;&lt;FQL&gt;&lt;Q&gt;FNMA-US^FG_PRICE(12/31/2017)&lt;/Q&gt;&lt;R&gt;1&lt;/R&gt;&lt;C&gt;1&lt;/C&gt;&lt;D xsi:type="xsd:double"&gt;2.65&lt;/D&gt;&lt;/FQL&gt;&lt;FQL&gt;&lt;Q&gt;FRT-US^FG_PRICE(12/30/2015)&lt;/Q&gt;&lt;R&gt;1&lt;/R&gt;&lt;C&gt;1&lt;/C&gt;&lt;D xsi:type="xsd:double"&gt;148.13&lt;/D&gt;&lt;/FQL&gt;&lt;FQL&gt;&lt;Q&gt;FRT-US^FG_PRICE(12/31/2017)&lt;/Q&gt;&lt;R&gt;1&lt;/R&gt;&lt;C&gt;1&lt;/C&gt;&lt;D xsi:type="xsd:double"&gt;132.81&lt;/D&gt;&lt;/FQL&gt;&lt;FQL&gt;&lt;Q&gt;FMCC-US^FG_PRICE(12/30/2015)&lt;/Q&gt;&lt;R&gt;1&lt;/R&gt;&lt;C&gt;1&lt;/C&gt;&lt;D xsi:type="xsd:double"&gt;1.62&lt;/D&gt;&lt;/FQL&gt;&lt;FQL&gt;&lt;Q&gt;FMCC-US^FG_PRICE(12/31/2017)&lt;/Q&gt;&lt;R&gt;1&lt;/R&gt;&lt;C&gt;1&lt;/C&gt;&lt;D xsi:type="xsd:double"&gt;2.52&lt;/D&gt;&lt;/FQL&gt;&lt;FQL&gt;&lt;Q&gt;FITB-US^FG_PRICE(12/30/2015)&lt;/Q&gt;&lt;R&gt;1&lt;/R&gt;&lt;C&gt;1&lt;/C&gt;&lt;D xsi:type="xsd:double"&gt;20.25&lt;/D&gt;&lt;/FQL&gt;&lt;FQL&gt;&lt;Q&gt;FITB-US^FG_PRICE(12/31/2017)&lt;/Q&gt;&lt;R&gt;1&lt;/R&gt;&lt;C&gt;1&lt;/C&gt;&lt;D xsi:type="xsd:double"&gt;30.34&lt;/D&gt;&lt;/FQL&gt;&lt;FQL&gt;&lt;Q&gt;MTB-US^FG_PRICE(12/30/2015)&lt;/Q&gt;&lt;R&gt;1&lt;/R&gt;&lt;C&gt;1&lt;/C&gt;&lt;D xsi:type="xsd:double"&gt;122.64&lt;/D&gt;&lt;/FQL&gt;&lt;FQL&gt;&lt;Q&gt;MTB-US^FG_PRICE(12/31/2017)&lt;/Q&gt;&lt;R&gt;1&lt;/R&gt;&lt;C&gt;1&lt;/C&gt;&lt;D xsi:type="xsd:double"&gt;170.99&lt;/D&gt;&lt;/FQL&gt;&lt;FQL&gt;&lt;Q&gt;FHN-US^FG_PRICE(12/30/2015)&lt;/Q&gt;&lt;R&gt;1&lt;/R&gt;&lt;C&gt;1&lt;/C&gt;&lt;D xsi:type="xsd:double"&gt;14.71&lt;/D&gt;&lt;/FQL&gt;&lt;FQL&gt;&lt;Q&gt;FHN-US^FG_PRICE(12/31/2017)&lt;/Q&gt;&lt;R&gt;1&lt;/R&gt;&lt;C&gt;1&lt;/C&gt;&lt;D xsi:type="xsd:double"&gt;19.99&lt;/D&gt;&lt;/FQL&gt;&lt;FQL&gt;&lt;Q&gt;FISV-US^FG_PRICE(12/30/2015)&lt;/Q&gt;&lt;R&gt;1&lt;/R&gt;&lt;C&gt;1&lt;/C&gt;&lt;D xsi:type="xsd:double"&gt;46.48&lt;/D&gt;&lt;/FQL&gt;&lt;FQL&gt;&lt;Q&gt;FISV-US^FG_PRICE(12/31/2017)&lt;/Q&gt;&lt;R&gt;1&lt;/R&gt;&lt;C&gt;1&lt;/C&gt;&lt;D xsi:type="xsd:double"&gt;65.565&lt;/D&gt;&lt;/FQL&gt;&lt;FQL&gt;&lt;Q&gt;FLIR-US^FG_PRICE(12/30/2015)&lt;/Q&gt;&lt;R&gt;1&lt;/R&gt;&lt;C&gt;1&lt;/C&gt;&lt;D xsi:type="xsd:double"&gt;28.335&lt;/D&gt;&lt;/FQL&gt;&lt;FQL&gt;&lt;Q&gt;FLIR-US^FG_PRICE(12/31/2017)&lt;/Q&gt;&lt;R&gt;1&lt;/R&gt;&lt;C&gt;1&lt;/C&gt;&lt;D xsi:type="xsd:double"&gt;46.62&lt;/D&gt;&lt;/FQL&gt;&lt;FQL&gt;&lt;Q&gt;M-US^FG_PRICE(12/30/2015)&lt;/Q&gt;&lt;R&gt;1&lt;/R&gt;&lt;C&gt;1&lt;/C&gt;&lt;D xsi:type="xsd:double"&gt;35.38&lt;/D&gt;&lt;/FQL&gt;&lt;FQL&gt;&lt;Q&gt;M-US^FG_PRICE(12/31/2017)&lt;/Q&gt;&lt;R&gt;1&lt;/R&gt;&lt;C&gt;1&lt;/C&gt;&lt;D xsi:type="xsd:double"&gt;25.19&lt;/D&gt;&lt;/FQL&gt;&lt;FQL&gt;&lt;Q&gt;BEN-US^FG_PRICE(12/30/2015)&lt;/Q&gt;&lt;R&gt;1&lt;/R&gt;&lt;C&gt;1&lt;/C&gt;&lt;D xsi:type="xsd:double"&gt;37.03&lt;/D&gt;&lt;/FQL&gt;&lt;FQL&gt;&lt;Q&gt;BEN-US^FG_PRICE(12/31/2017)&lt;/Q&gt;&lt;R&gt;1&lt;/R&gt;&lt;C&gt;1&lt;/C&gt;&lt;D xsi:type="xsd:double"&gt;43.33&lt;/D&gt;&lt;/FQL&gt;&lt;FQL&gt;&lt;Q&gt;FCN-US^FG_PRICE(12/30/2015)&lt;/Q&gt;&lt;R&gt;1&lt;/R&gt;&lt;C&gt;1&lt;/C&gt;&lt;D xsi:type="xsd:double"&gt;35.4&lt;/D&gt;&lt;/FQL&gt;&lt;FQL&gt;&lt;Q&gt;FCN-US^FG_PRICE(12/31/2017)&lt;/Q&gt;&lt;R&gt;1&lt;/R&gt;&lt;C&gt;1&lt;/C&gt;&lt;D xsi:type="xsd:double"&gt;42.96&lt;/D&gt;&lt;/FQL&gt;&lt;FQL&gt;&lt;Q&gt;FCX-US^FG_PRICE(12/30/2015)&lt;/Q&gt;&lt;R&gt;1&lt;/R&gt;&lt;C&gt;1&lt;/C&gt;&lt;D xsi:type="xsd:double"&gt;6.77&lt;/D&gt;&lt;/FQL&gt;&lt;FQL&gt;&lt;Q&gt;FCX-US^FG_PRICE(12/31/2017)&lt;/Q&gt;&lt;R&gt;1&lt;/R&gt;&lt;C&gt;1&lt;/C&gt;&lt;D xsi:type="xsd:double"&gt;18.96&lt;/D&gt;&lt;/FQL&gt;&lt;FQL&gt;&lt;Q&gt;FTEK-US^FG_PRICE(12/30/2015)&lt;/Q&gt;&lt;R&gt;1&lt;/R&gt;&lt;C&gt;1&lt;/C&gt;&lt;D xsi:type="xsd:double"&gt;1.78&lt;/D&gt;&lt;/FQL&gt;&lt;FQL&gt;&lt;Q&gt;FTEK-US^FG_PRICE(12/31/2017)&lt;/Q&gt;&lt;R&gt;1&lt;/R&gt;&lt;C&gt;1&lt;/C&gt;&lt;D xsi:type="xsd:double"&gt;1.12&lt;/D&gt;&lt;/FQL&gt;&lt;FQL&gt;&lt;Q&gt;FCNCA-US^FG_PRICE(12/30/2015)&lt;/Q&gt;&lt;R&gt;1&lt;/R&gt;&lt;C&gt;1&lt;/C&gt;&lt;D xsi:type="xsd:double"&gt;261.08&lt;/D&gt;&lt;/FQL&gt;&lt;FQL&gt;&lt;Q&gt;FCNCA-US^FG_PRICE(12/31/2017)&lt;/Q&gt;&lt;R&gt;1&lt;/R&gt;&lt;C&gt;1&lt;/C&gt;&lt;D xsi:type="xsd:double"&gt;403&lt;/D&gt;&lt;/FQL&gt;&lt;FQL&gt;&lt;Q&gt;FULT-US^FG_PRICE(12/30/2015)&lt;/Q&gt;&lt;R&gt;1&lt;/R&gt;&lt;C&gt;1&lt;/C&gt;&lt;D xsi:type="xsd:double"&gt;13.23&lt;/D&gt;&lt;/FQL&gt;&lt;FQL&gt;&lt;Q&gt;FULT-US^FG_PRICE(12/31/2017)&lt;/Q&gt;&lt;R&gt;1&lt;/R&gt;&lt;C&gt;1&lt;/C&gt;&lt;D xsi:type="xsd:double"&gt;17.9&lt;/D&gt;&lt;/FQL&gt;&lt;FQL&gt;&lt;Q&gt;AJG-US^FG_PRICE(12/30/2015)&lt;/Q&gt;&lt;R&gt;1&lt;/R&gt;&lt;C&gt;1&lt;/C&gt;&lt;D xsi:type="xsd:double"&gt;41.38&lt;/D&gt;&lt;/FQL&gt;&lt;FQL&gt;&lt;Q&gt;AJG-US^FG_PRICE(12/31/2017)&lt;/Q&gt;&lt;R&gt;1&lt;/R&gt;&lt;C&gt;1&lt;/C&gt;&lt;D xsi:type="xsd:double"&gt;63.28&lt;/D&gt;&lt;/FQL&gt;&lt;FQL&gt;&lt;Q&gt;GPS-US^FG_PRICE(12/30/2015)&lt;/Q&gt;&lt;R&gt;1&lt;/R&gt;&lt;C&gt;1&lt;/C&gt;&lt;D xsi:type="xsd:double"&gt;25.24&lt;/D&gt;&lt;/FQL&gt;&lt;FQL&gt;&lt;Q&gt;GPS-US^FG_PRICE(12/31/2017)&lt;/Q&gt;&lt;R&gt;1&lt;/R&gt;&lt;C&gt;1&lt;/C&gt;&lt;D xsi:type="xsd:double"&gt;34.06&lt;/D&gt;&lt;/FQL&gt;&lt;FQL&gt;&lt;Q&gt;GATX-US^FG_PRICE(12/30/2015)&lt;/Q&gt;&lt;R&gt;1&lt;/R&gt;&lt;C&gt;1&lt;/C&gt;&lt;D xsi:type="xsd:double"&gt;43.03&lt;/D&gt;&lt;/FQL&gt;&lt;FQL&gt;&lt;Q&gt;GATX-US^FG_PRICE(12/31/2017)&lt;/Q&gt;&lt;R&gt;1&lt;/R&gt;&lt;C&gt;1&lt;/C&gt;&lt;D xsi:type="xsd:double"&gt;62.16&lt;/D&gt;&lt;/FQL&gt;&lt;FQL&gt;&lt;Q&gt;GD-US^FG_PRICE(12/30/2015)&lt;/Q&gt;&lt;R&gt;1&lt;/R&gt;&lt;C&gt;1&lt;/C&gt;&lt;D xsi:type="xsd:double"&gt;139.26&lt;/D&gt;&lt;/FQL&gt;&lt;FQL&gt;&lt;Q&gt;GD-US^FG_PRICE(12/31/2017)&lt;/Q&gt;&lt;R&gt;1&lt;/R&gt;&lt;C&gt;1&lt;/C&gt;&lt;D xsi:type="xsd:double"&gt;203.45&lt;/D&gt;&lt;/FQL&gt;&lt;FQL&gt;&lt;Q&gt;GNTX-US^FG_PRICE(12/30/2015)&lt;/Q&gt;&lt;R&gt;1&lt;/R&gt;&lt;C&gt;1&lt;/C&gt;&lt;D xsi:type="xsd:double"&gt;16.29&lt;/D&gt;&lt;/FQL&gt;&lt;FQL&gt;&lt;Q&gt;GNTX-US^FG_PRICE(12/31/2017)&lt;/Q&gt;&lt;R&gt;1&lt;/R&gt;&lt;C&gt;1&lt;/C&gt;&lt;D xsi:type="xsd:double"&gt;20.95&lt;/D&gt;&lt;/FQL&gt;&lt;FQL&gt;&lt;Q&gt;GIS-US^FG_PRICE(12/30/2015)&lt;/Q&gt;&lt;R&gt;1&lt;/R&gt;&lt;C&gt;1&lt;/C&gt;&lt;D xsi:type="xsd:double"&gt;58.56&lt;/D&gt;&lt;/FQL&gt;&lt;FQL&gt;&lt;Q&gt;GIS-US^FG_PRICE(12/31/2017)&lt;/Q&gt;&lt;R&gt;1&lt;/R&gt;&lt;C&gt;1&lt;/C&gt;&lt;D xsi:type="xsd:double"&gt;59.29&lt;/D&gt;&lt;/FQL&gt;&lt;FQL&gt;&lt;Q&gt;GPC-US^FG_PRICE(12/30/2015)&lt;/Q&gt;&lt;R&gt;1&lt;/R&gt;&lt;C&gt;1&lt;/C&gt;&lt;D xsi:type="xsd:double"&gt;86.87&lt;/D&gt;&lt;/FQL&gt;&lt;FQL&gt;&lt;Q&gt;GPC-US^FG_PRICE(12/31/2017)&lt;/Q&gt;&lt;R&gt;1&lt;/R&gt;&lt;C&gt;1&lt;/C&gt;&lt;D xsi:type="xsd:double"&gt;95.01&lt;/D&gt;&lt;/FQL&gt;&lt;FQL&gt;&lt;Q&gt;GILD-US^FG_PRICE(12/30/2015)&lt;/Q&gt;&lt;R&gt;1&lt;/R&gt;&lt;C&gt;1&lt;/C&gt;&lt;D xsi:type="xsd:double"&gt;102.16&lt;/D&gt;&lt;/FQL&gt;&lt;FQL&gt;&lt;Q&gt;GILD-US^FG_PRICE(12/31/2017)&lt;/Q&gt;&lt;R&gt;1&lt;/R&gt;&lt;C&gt;1&lt;/C&gt;&lt;D xsi:type="xsd:double"&gt;71.64&lt;/D&gt;&lt;/FQL&gt;&lt;FQL&gt;&lt;Q&gt;BGC-US^FG_PRICE(12/30/2015)&lt;/Q&gt;&lt;R&gt;1&lt;/R&gt;&lt;C&gt;1&lt;/C&gt;&lt;D xsi:type="xsd:double"&gt;13.65&lt;/D&gt;&lt;/FQL&gt;&lt;FQL&gt;&lt;Q&gt;BGC-US^FG_PRICE(12/31/2017)&lt;/Q&gt;&lt;R&gt;1&lt;/R&gt;&lt;C&gt;1&lt;/C&gt;&lt;D xsi:type="xsd:double"&gt;29.6&lt;/D&gt;&lt;/FQL&gt;&lt;FQL&gt;&lt;Q&gt;IT-US^FG_PRICE(12/30/2015)&lt;/Q&gt;&lt;R&gt;1&lt;/R&gt;&lt;C&gt;1&lt;/C&gt;&lt;D xsi:type="xsd:double"&gt;91.6&lt;/D&gt;&lt;/FQL&gt;&lt;FQL&gt;&lt;Q&gt;IT-US^FG_PRICE(12/31/2017)&lt;/Q&gt;&lt;R&gt;1&lt;/R&gt;&lt;C&gt;1&lt;/C&gt;&lt;D xsi:type="xsd:double"&gt;123.15&lt;/D&gt;&lt;/FQL&gt;&lt;FQL&gt;&lt;Q&gt;GSS-US^FG_PRICE(12/30/2015)&lt;/Q&gt;&lt;R&gt;1&lt;/R&gt;&lt;C&gt;1&lt;/C&gt;&lt;D xsi:type="xsd:double"&gt;0.1701&lt;/D&gt;&lt;/FQL&gt;&lt;FQL&gt;&lt;Q&gt;GSS-US^FG_PRICE(12/31/2017)&lt;/Q&gt;&lt;R&gt;1&lt;/R&gt;&lt;C&gt;1&lt;/C&gt;&lt;D xsi:type="xsd:double"&gt;0.89&lt;/D&gt;&lt;/FQL&gt;&lt;FQL&gt;&lt;Q&gt;GT-US^FG_PRICE(12/30/2015)&lt;/Q&gt;&lt;R&gt;1&lt;/R&gt;&lt;C&gt;1&lt;/C&gt;&lt;D xsi:type="xsd:double"&gt;33.305&lt;/D&gt;&lt;/FQL&gt;&lt;FQL&gt;&lt;Q&gt;GT-US^FG_PRICE(12/31/2017)&lt;/Q&gt;&lt;R&gt;1&lt;/R&gt;&lt;C&gt;1&lt;/C&gt;&lt;D xsi:type="xsd:double"&gt;32.31&lt;/D&gt;&lt;/FQL&gt;&lt;FQL&gt;&lt;Q&gt;MCK-US^FG_PRICE(12/30/2015)&lt;/Q&gt;&lt;R&gt;1&lt;/R&gt;&lt;C&gt;1&lt;/C&gt;&lt;D xsi:type="xsd:double"&gt;198.74&lt;/D&gt;&lt;/FQL&gt;&lt;FQL&gt;&lt;Q&gt;MCK-US^FG_PRICE(12/31/2017)&lt;/Q&gt;&lt;R&gt;1&lt;/R&gt;&lt;C&gt;1&lt;/C&gt;&lt;D xsi:type="xsd:double"&gt;155.95&lt;/D&gt;&lt;/FQL&gt;&lt;FQL&gt;&lt;Q&gt;NVDA-US^FG_PRICE(12/30/2015)&lt;/Q&gt;&lt;R&gt;1&lt;/R&gt;&lt;C&gt;1&lt;/C&gt;&lt;D xsi:type="xsd:double"&gt;33.39&lt;/D&gt;&lt;/FQL&gt;&lt;FQL&gt;&lt;Q&gt;NVDA-US^FG_PRICE(12/31/2017)&lt;/Q&gt;&lt;R&gt;1&lt;/R&gt;&lt;C&gt;1&lt;/C&gt;&lt;D xsi:type="xsd:double"&gt;193.5&lt;/D&gt;&lt;/FQL&gt;&lt;FQL&gt;&lt;Q&gt;GGG-US^FG_PRICE(12/30/2015)&lt;/Q&gt;&lt;R&gt;1&lt;/R&gt;&lt;C&gt;1&lt;/C&gt;&lt;D xsi:type="xsd:double"&gt;24.29&lt;/D&gt;&lt;/FQL&gt;&lt;FQL&gt;&lt;Q&gt;GGG-US^FG_PRICE(12/31/2017)&lt;/Q&gt;&lt;R&gt;1&lt;/R&gt;&lt;C&gt;1&lt;/C&gt;&lt;D xsi:type="xsd:double"&gt;45.22&lt;/D&gt;&lt;/FQL&gt;&lt;FQL&gt;&lt;Q&gt;GE-US^FG_PRICE(12/30/2015)&lt;/Q&gt;&lt;R&gt;1&lt;/R&gt;&lt;C&gt;1&lt;/C&gt;&lt;D xsi:type="xsd:double"&gt;31.05&lt;/D&gt;&lt;/FQL&gt;&lt;FQL&gt;&lt;Q&gt;GE-US^FG_PRICE(12/31/2017)&lt;/Q&gt;&lt;R&gt;1&lt;/R&gt;&lt;C&gt;1&lt;/C&gt;&lt;D xsi:type="xsd:double"&gt;17.45&lt;/D&gt;&lt;/FQL&gt;&lt;FQL&gt;&lt;Q&gt;GWW-US^FG_PRICE(12/30/2015)&lt;/Q&gt;&lt;R&gt;1&lt;/R&gt;&lt;C&gt;1&lt;/C&gt;&lt;D xsi:type="xsd:double"&gt;204.7&lt;/D&gt;&lt;/FQL&gt;&lt;FQL&gt;&lt;Q&gt;GWW-US^FG_PRICE(12/31/2017)&lt;/Q&gt;&lt;R&gt;1&lt;/R&gt;&lt;C&gt;1&lt;/C&gt;&lt;D xsi:type="xsd:double"&gt;236.25&lt;/D&gt;&lt;/FQL&gt;&lt;FQL&gt;&lt;Q&gt;GES-US^FG_PRICE(12/30/2015)&lt;/Q&gt;&lt;R&gt;1&lt;/R&gt;&lt;C&gt;1&lt;/C&gt;&lt;D xsi:type="xsd:double"&gt;19.1&lt;/D&gt;&lt;/FQL&gt;&lt;FQL&gt;&lt;Q&gt;GES-US^FG_PRICE(12/31/2017)&lt;/Q&gt;&lt;R&gt;1&lt;/R&gt;&lt;C&gt;1&lt;/C&gt;&lt;D xsi:type="xsd:double"&gt;16.88&lt;/D&gt;&lt;/FQL&gt;&lt;FQL&gt;&lt;Q&gt;GEF-US^FG_PRICE(12/30/2015)&lt;/Q&gt;&lt;R&gt;1&lt;/R&gt;&lt;C&gt;1&lt;/C&gt;&lt;D xsi:type="xsd:double"&gt;31.55&lt;/D&gt;&lt;/FQL&gt;&lt;FQL&gt;&lt;Q&gt;GEF-US^FG_PRICE(12/31/2017)&lt;/Q&gt;&lt;R&gt;1&lt;/R&gt;&lt;C&gt;1&lt;/C&gt;&lt;D xsi:type="xsd:double"&gt;60.58&lt;/D&gt;&lt;/FQL&gt;&lt;FQL&gt;&lt;Q&gt;KWKAQ-US^FG_PRICE(12/30/2015)&lt;/Q&gt;&lt;R&gt;1&lt;/R&gt;&lt;C&gt;1&lt;/C&gt;&lt;D xsi:type="xsd:double"&gt;0.0048&lt;/D&gt;&lt;/FQL&gt;&lt;FQL&gt;&lt;Q&gt;KWKAQ-US^FG_PRICE(12/31/2017)&lt;/Q&gt;&lt;R&gt;0&lt;/R&gt;&lt;C&gt;0&lt;/C&gt;&lt;/FQL&gt;&lt;FQL&gt;&lt;Q&gt;NUAN-US^FG_PRICE(12/30/2015)&lt;/Q&gt;&lt;R&gt;1&lt;/R&gt;&lt;C&gt;1&lt;/C&gt;&lt;D xsi:type="xsd:double"&gt;20.18&lt;/D&gt;&lt;/FQL&gt;&lt;FQL&gt;&lt;Q&gt;NUAN-US^FG_PRICE(12/31/2017)&lt;/Q&gt;&lt;R&gt;1&lt;/R&gt;&lt;C&gt;1&lt;/C&gt;&lt;D xsi:type="xsd:double"&gt;16.35&lt;/D&gt;&lt;/FQL&gt;&lt;FQL&gt;&lt;Q&gt;HAL-US^FG_PRICE(12/30/2015)&lt;/Q&gt;&lt;R&gt;1&lt;/R&gt;&lt;C&gt;1&lt;/C&gt;&lt;D xsi:type="xsd:double"&gt;34.13&lt;/D&gt;&lt;/FQL&gt;&lt;FQL&gt;&lt;Q&gt;HAL-US^FG_PRICE(12/31/2017)&lt;/Q&gt;&lt;R&gt;1&lt;/R&gt;&lt;C&gt;1&lt;/C&gt;&lt;D xsi:type="xsd:double"&gt;48.87&lt;/D&gt;&lt;/FQL&gt;&lt;FQL&gt;&lt;Q&gt;GS-US^FG_PRICE(12/30/2015)&lt;/Q&gt;&lt;R&gt;1&lt;/R&gt;&lt;C&gt;1&lt;/C&gt;&lt;D xsi:type="xsd:double"&gt;182.01&lt;/D&gt;&lt;/FQL&gt;&lt;FQL&gt;&lt;Q&gt;GS-US^FG_PRICE(12/31/2017)&lt;/Q&gt;&lt;R&gt;1&lt;/R&gt;&lt;C&gt;1&lt;/C&gt;&lt;D xsi:type="xsd:double"&gt;254.76&lt;/D&gt;&lt;/FQL&gt;&lt;FQL&gt;&lt;Q&gt;SFG-US^FG_PRICE(12/30/2015)&lt;/Q&gt;&lt;R&gt;1&lt;/R&gt;&lt;C&gt;1&lt;/C&gt;&lt;D xsi:type="xsd:double"&gt;114.14&lt;/D&gt;&lt;/FQL&gt;&lt;FQL&gt;&lt;Q&gt;SFG-US^FG_PRICE(12/31/2017)&lt;/Q&gt;&lt;R&gt;0&lt;/R&gt;&lt;C&gt;0&lt;/C&gt;&lt;/FQL&gt;&lt;FQL&gt;&lt;Q&gt;HOG-US^FG_PRICE(12/30/2015)&lt;/Q&gt;&lt;R&gt;1&lt;/R&gt;&lt;C&gt;1&lt;/C&gt;&lt;D xsi:type="xsd:double"&gt;45.56&lt;/D&gt;&lt;/FQL&gt;&lt;FQL&gt;&lt;Q&gt;HOG-US^FG_PRICE(12/31/2017)&lt;/Q&gt;&lt;R&gt;1&lt;/R&gt;&lt;C&gt;1&lt;/C&gt;&lt;D xsi:type="xsd:double"&gt;50.88&lt;/D&gt;&lt;/FQL&gt;&lt;FQL&gt;&lt;Q&gt;HAR-US^FG_PRICE(12/30/2015)&lt;/Q&gt;&lt;R&gt;1&lt;/R&gt;&lt;C&gt;1&lt;/C&gt;&lt;D xsi:type="xsd:double"&gt;94.77&lt;/D&gt;&lt;/FQL&gt;&lt;FQL&gt;&lt;Q&gt;HAR-US^FG_PRICE(12/31/2017)&lt;/Q&gt;&lt;R&gt;0&lt;/R&gt;&lt;C&gt;0&lt;/C&gt;&lt;/FQL&gt;&lt;FQL&gt;&lt;Q&gt;HRS-US^FG_PRICE(12/30/2015)&lt;/Q&gt;&lt;R&gt;1&lt;/R&gt;&lt;C&gt;1&lt;/C&gt;&lt;D xsi:type="xsd:double"&gt;87.43&lt;/D&gt;&lt;/FQL&gt;&lt;FQL&gt;&lt;Q&gt;HRS-US^FG_PRICE(12/31/2017)&lt;/Q&gt;&lt;R&gt;1&lt;/R&gt;&lt;C&gt;1&lt;/C&gt;&lt;D xsi:type="xsd:double"&gt;141.65&lt;/D&gt;&lt;/FQL&gt;&lt;FQL&gt;&lt;Q&gt;HSC-US^FG_PRICE(12/30/2015)&lt;/Q&gt;&lt;R&gt;1&lt;/R&gt;&lt;C&gt;1&lt;/C&gt;&lt;D xsi:type="xsd:double"&gt;7.87&lt;/D&gt;&lt;/FQL&gt;&lt;FQL&gt;&lt;Q&gt;HSC-US^FG_PRICE(12/31/2017)&lt;/Q&gt;&lt;R&gt;1&lt;/R&gt;&lt;C&gt;1&lt;/C&gt;&lt;D xsi:type="xsd:double"&gt;18.65&lt;/D&gt;&lt;/FQL&gt;&lt;FQL&gt;&lt;Q&gt;LPNT-US^FG_PRICE(12/30/2015)&lt;/Q&gt;&lt;R&gt;1&lt;/R&gt;&lt;C&gt;1&lt;/C&gt;&lt;D xsi:type="xsd:double"&gt;74.1&lt;/D&gt;&lt;/FQL&gt;&lt;FQL&gt;&lt;Q&gt;LPNT-US^FG_PRICE(12/31/2017)&lt;/Q&gt;&lt;R&gt;1&lt;/R&gt;&lt;C&gt;1&lt;/C&gt;&lt;D xsi:type="xsd:double"&gt;49.8&lt;/D&gt;&lt;/FQL&gt;&lt;FQL&gt;&lt;Q&gt;CNX-US^FG_PRICE(12/30/2015)&lt;/Q&gt;&lt;R&gt;1&lt;/R&gt;&lt;C&gt;1&lt;/C&gt;&lt;D xsi:type="xsd:double"&gt;6.489151&lt;/D&gt;&lt;/FQL&gt;&lt;FQL&gt;&lt;Q&gt;CNX-US^FG_PRICE(12/31/2017)&lt;/Q&gt;&lt;R&gt;1&lt;/R&gt;&lt;C&gt;1&lt;/C&gt;&lt;D xsi:type="xsd:double"&gt;14.63&lt;/D&gt;&lt;/FQL&gt;&lt;FQL&gt;&lt;Q&gt;HAS-US^FG_PRICE(12/30/2015)&lt;/Q&gt;&lt;R&gt;1&lt;/R&gt;&lt;C&gt;1&lt;/C&gt;&lt;D xsi:type="xsd:double"&gt;67.5&lt;/D&gt;&lt;/FQL&gt;&lt;FQL&gt;&lt;Q&gt;HAS-US^FG_PRICE(12/31/2017)&lt;/Q&gt;&lt;R&gt;1&lt;/R&gt;&lt;C&gt;1&lt;/C&gt;&lt;D xsi:type="xsd:double"&gt;90.89&lt;/D&gt;&lt;/FQL&gt;&lt;FQL&gt;&lt;Q&gt;HE-US^FG_PRICE(12/30/2015)&lt;/Q&gt;&lt;R&gt;1&lt;/R&gt;&lt;C&gt;1&lt;/C&gt;&lt;D xsi:type="xsd:double"&gt;29.16&lt;/D&gt;&lt;/FQL&gt;&lt;FQL&gt;&lt;Q&gt;HE-US^FG_PRICE(12/31/2017)&lt;/Q&gt;&lt;R&gt;1&lt;/R&gt;&lt;C&gt;1&lt;/C&gt;&lt;D xsi:type="xsd:double"&gt;36.15&lt;/D&gt;&lt;/FQL&gt;&lt;FQL&gt;&lt;Q&gt;HSIC-US^FG_PRICE(12/30/2015)&lt;/Q&gt;&lt;R&gt;1&lt;/R&gt;&lt;C&gt;1&lt;/C&gt;&lt;D xsi:type="xsd:double"&gt;79.955&lt;/D&gt;&lt;/FQL&gt;&lt;FQL&gt;&lt;Q&gt;HSIC-US^FG_PRICE(12/31/2017)&lt;/Q&gt;&lt;R&gt;1&lt;/R&gt;&lt;C&gt;1&lt;/C&gt;&lt;D xsi:type="xsd:double"&gt;69.88&lt;/D&gt;&lt;/FQL&gt;&lt;FQL&gt;&lt;Q&gt;WCC-US^FG_PRICE(12/30/2015)&lt;/Q&gt;&lt;R&gt;1&lt;/R&gt;&lt;C&gt;1&lt;/C&gt;&lt;D xsi:type="xsd:double"&gt;44.32&lt;/D&gt;&lt;/FQL&gt;&lt;FQL&gt;&lt;Q&gt;WCC-US^FG_PRICE(12/31/2017)&lt;/Q&gt;&lt;R&gt;1&lt;/R&gt;&lt;C&gt;1&lt;/C&gt;&lt;D xsi:type="xsd:double"&gt;68.15&lt;/D&gt;&lt;/FQL&gt;&lt;FQL&gt;&lt;Q&gt;HCP-US^FG_PRICE(12/30/2015)&lt;/Q&gt;&lt;R&gt;1&lt;/R&gt;&lt;C&gt;1&lt;/C&gt;&lt;D xsi:type="xsd:double"&gt;35.185608&lt;/D&gt;&lt;/FQL&gt;&lt;FQL&gt;&lt;Q&gt;HCP-US^FG_PRICE(12/31/2017)&lt;/Q&gt;&lt;R&gt;1&lt;/R&gt;&lt;C&gt;1&lt;/C&gt;&lt;D xsi:type="xsd:double"&gt;26.08&lt;/D&gt;&lt;/FQL&gt;&lt;FQL&gt;&lt;Q&gt;MFA-US^FG_PRICE(12/30/2015)&lt;/Q&gt;&lt;R&gt;1&lt;/R&gt;&lt;C&gt;1&lt;/C&gt;&lt;D xsi:type="xsd:double"&gt;6.64&lt;/D&gt;&lt;/FQL&gt;&lt;FQL&gt;&lt;Q&gt;MFA-US^FG_PRICE(12/31/2017)&lt;/Q&gt;&lt;R&gt;1&lt;/R&gt;&lt;C&gt;1&lt;/C&gt;&lt;D xsi:type="xsd:double"&gt;7.92&lt;/D&gt;&lt;/FQL&gt;&lt;FQL&gt;&lt;Q&gt;DNR-US^FG_PRICE(12/30/2015)&lt;/Q&gt;&lt;R&gt;1&lt;/R&gt;&lt;C&gt;1&lt;/C&gt;&lt;D xsi:type="xsd:double"&gt;1.97&lt;/D&gt;&lt;/FQL&gt;&lt;FQL&gt;&lt;Q&gt;DNR-US^FG_PRICE(12/31/2017)&lt;/Q&gt;&lt;R&gt;1&lt;/R&gt;&lt;C&gt;1&lt;/C&gt;&lt;D xsi:type="xsd:double"&gt;2.21&lt;/D&gt;&lt;/FQL&gt;&lt;FQL&gt;&lt;Q&gt;HNT-US^FG_PRICE(12/30/2015)&lt;/Q&gt;&lt;R&gt;1&lt;/R&gt;&lt;C&gt;1&lt;/C&gt;&lt;D xsi:type="xsd:double"&gt;68.75&lt;/D&gt;&lt;/FQL&gt;&lt;FQL&gt;&lt;Q&gt;HNT-US^FG_PRICE(12/31/2017)&lt;/Q&gt;&lt;R&gt;0&lt;/R&gt;&lt;C&gt;0&lt;/C&gt;&lt;/FQL&gt;&lt;FQL&gt;&lt;Q&gt;HP-US^FG_PRICE(12/30/2015)&lt;/Q&gt;&lt;R&gt;1&lt;/R&gt;&lt;C&gt;1&lt;/C&gt;&lt;D xsi:type="xsd:double"&gt;52.76&lt;/D&gt;&lt;/FQL&gt;&lt;FQL&gt;&lt;Q&gt;HP-US^FG_PRICE(12/31/2017)&lt;/Q&gt;&lt;R&gt;1&lt;/R&gt;&lt;C&gt;1&lt;/C&gt;&lt;D xsi:type="xsd:double"&gt;64.64&lt;/D&gt;&lt;/FQL&gt;&lt;FQL&gt;&lt;Q&gt;FNFG-US^FG_PRICE(12/30/2015)&lt;/Q&gt;&lt;R&gt;1&lt;/R&gt;&lt;C&gt;1&lt;/C&gt;&lt;D xsi:type="xsd:double"&gt;10.92&lt;/D&gt;&lt;/FQL&gt;&lt;FQL&gt;&lt;Q&gt;FNFG-US^FG_PRICE(12/31/2017)&lt;/Q&gt;&lt;R&gt;0&lt;/R&gt;&lt;C&gt;0&lt;/C&gt;&lt;/FQL&gt;&lt;FQL&gt;&lt;Q&gt;BRCD-US^FG_PRICE(12/30/2015)&lt;/Q&gt;&lt;R&gt;1&lt;/R&gt;&lt;C&gt;1&lt;/C&gt;&lt;D xsi:type="xsd:double"&gt;9.23&lt;/D&gt;&lt;/FQL&gt;&lt;FQL&gt;&lt;Q&gt;BRCD-US^FG_PRICE(12/31/2017)&lt;/Q&gt;&lt;R&gt;0&lt;/R&gt;&lt;C&gt;0&lt;/C&gt;&lt;/FQL&gt;&lt;FQL&gt;&lt;Q&gt;HSY-US^FG_PRICE(12/30/2015)&lt;/Q&gt;&lt;R&gt;1&lt;/R&gt;&lt;C&gt;1&lt;/C&gt;&lt;D xsi:type="xsd:double"&gt;90.6&lt;/D&gt;&lt;/FQL&gt;&lt;FQL&gt;&lt;Q&gt;HSY-US^FG_PRICE(12/31/2017)&lt;/Q&gt;&lt;R&gt;1&lt;/R&gt;&lt;C&gt;1&lt;/C&gt;&lt;D xsi:type="xsd:double"&gt;113.51&lt;/D&gt;&lt;/FQL&gt;&lt;FQL&gt;&lt;Q&gt;HRC-US^FG_PRICE(12/30/2015)&lt;/Q&gt;&lt;R&gt;1&lt;/R&gt;&lt;C&gt;1&lt;/C&gt;&lt;D xsi:type="xsd:double"&gt;49&lt;/D&gt;&lt;/FQL&gt;&lt;FQL&gt;&lt;Q&gt;HRC-US^FG_PRICE(12/31/2017)&lt;/Q&gt;&lt;R&gt;1&lt;/R&gt;&lt;C&gt;1&lt;/C&gt;&lt;D xsi:type="xsd:double"&gt;84.29&lt;/D&gt;&lt;/FQL&gt;&lt;FQL&gt;&lt;Q&gt;FFIV-US^FG_PRICE(12/30/2015)&lt;/Q&gt;&lt;R&gt;1&lt;/R&gt;&lt;C&gt;1&lt;/C&gt;&lt;D xsi:type="xsd:double"&gt;98.06&lt;/D&gt;&lt;/FQL&gt;&lt;FQL&gt;&lt;Q&gt;FFIV-US^FG_PRICE(12/31/2017)&lt;/Q&gt;&lt;R&gt;1&lt;/R&gt;&lt;C&gt;1&lt;/C&gt;&lt;D xsi:type="xsd:double"&gt;131.22&lt;/D&gt;&lt;/FQL&gt;&lt;FQL&gt;&lt;Q&gt;CCK-US^FG_PRICE(12/30/2015)&lt;/Q&gt;&lt;R&gt;1&lt;/R&gt;&lt;C&gt;1&lt;/C&gt;&lt;D xsi:type="xsd:double"&gt;51.54&lt;/D&gt;&lt;/FQL&gt;&lt;FQL&gt;&lt;Q&gt;CCK-US^FG_PRICE(12/31/2017)&lt;/Q&gt;&lt;R&gt;1&lt;/R&gt;&lt;C&gt;1&lt;/C&gt;&lt;D xsi:type="xsd:double"&gt;56.25&lt;/D&gt;&lt;/FQL&gt;&lt;FQL&gt;&lt;Q&gt;RAI-US^FG_PRICE(12/30/2015)&lt;/Q&gt;&lt;R&gt;1&lt;/R&gt;&lt;C&gt;1&lt;/C&gt;&lt;D xsi:type="xsd:double"&gt;46.67&lt;/D&gt;&lt;/FQL&gt;&lt;FQL&gt;&lt;Q&gt;RAI-US^FG_PRICE(12/31/2017)&lt;/Q&gt;&lt;R&gt;0&lt;/R&gt;&lt;C&gt;0&lt;/C&gt;&lt;/FQL&gt;&lt;FQL&gt;&lt;Q&gt;SBAC-US^FG_PRICE(12/30/2015)&lt;/Q&gt;&lt;R&gt;1&lt;/R&gt;&lt;C&gt;1&lt;/C&gt;&lt;D xsi:type="xsd:double"&gt;105.1&lt;/D&gt;&lt;/FQL&gt;&lt;FQL&gt;&lt;Q&gt;SBAC-US^FG_PRICE(12/31/2017)&lt;/Q&gt;&lt;R&gt;1&lt;/R&gt;&lt;C&gt;1&lt;/C&gt;&lt;D xsi:type="xsd:double"&gt;163.36&lt;/D&gt;&lt;/FQL&gt;&lt;FQL&gt;&lt;Q&gt;UTHR-US^FG_PRICE(12/30/2015)&lt;/Q&gt;&lt;R&gt;1&lt;/R&gt;&lt;C&gt;1&lt;/C&gt;&lt;D xsi:type="xsd:double"&gt;158.53&lt;/D&gt;&lt;/FQL&gt;&lt;FQL&gt;&lt;Q&gt;UTHR-US^FG_PRICE(12/31/2017)&lt;/Q&gt;&lt;R&gt;1&lt;/R&gt;&lt;C&gt;1&lt;/C&gt;&lt;D xsi:type="xsd:double"&gt;147.95&lt;/D&gt;&lt;/FQL&gt;&lt;FQL&gt;&lt;Q&gt;JNPR-US^FG_PRICE(12/30/2015)&lt;/Q&gt;&lt;R&gt;1&lt;/R&gt;&lt;C&gt;1&lt;/C&gt;&lt;D xsi:type="xsd:double"&gt;27.71&lt;/D&gt;&lt;/FQL&gt;&lt;FQL&gt;&lt;Q&gt;JNPR-US^FG_PRICE(12/31/2017)&lt;/Q&gt;&lt;R&gt;1&lt;/R&gt;&lt;C&gt;1&lt;/C&gt;&lt;D xsi:type="xsd:double"&gt;28.5&lt;/D&gt;&lt;/FQL&gt;&lt;FQL&gt;&lt;Q&gt;HOLX-US^FG_PRICE(12/30/2015)&lt;/Q&gt;&lt;R&gt;1&lt;/R&gt;&lt;C&gt;1&lt;/C&gt;&lt;D xsi:type="xsd:double"&gt;39.34&lt;/D&gt;&lt;/FQL&gt;&lt;FQL&gt;&lt;Q&gt;HOLX-US^FG_PRICE(12/31/2017)&lt;/Q&gt;&lt;R&gt;1&lt;/R&gt;&lt;C&gt;1&lt;/C&gt;&lt;D xsi:type="xsd:double"&gt;42.75&lt;/D&gt;&lt;/FQL&gt;&lt;FQL&gt;&lt;Q&gt;UNM-US^FG_PRICE(12/30/2015)&lt;/Q&gt;&lt;R&gt;1&lt;/R&gt;&lt;C&gt;1&lt;/C&gt;&lt;D xsi:type="xsd:double"&gt;33.52&lt;/D&gt;&lt;/FQL&gt;&lt;FQL&gt;&lt;Q&gt;UNM-US^FG_PRICE(12/31/2017)&lt;/Q&gt;&lt;R&gt;1&lt;/R&gt;&lt;C&gt;1&lt;/C&gt;&lt;D xsi:type="xsd:double"&gt;54.89&lt;/D&gt;&lt;/FQL&gt;&lt;FQL&gt;&lt;Q&gt;HD-US^FG_PRICE(12/30/2015)&lt;/Q&gt;&lt;R&gt;1&lt;/R&gt;&lt;C&gt;1&lt;/C&gt;&lt;D xsi:type="xsd:double"&gt;133.35&lt;/D&gt;&lt;/FQL&gt;&lt;FQL&gt;&lt;Q&gt;HD-US^FG_PRICE(12/31/2017)&lt;/Q&gt;&lt;R&gt;1&lt;/R&gt;&lt;C&gt;1&lt;/C&gt;&lt;D xsi:type="xsd:double"&gt;189.53&lt;/D&gt;&lt;/FQL&gt;&lt;FQL&gt;&lt;Q&gt;BMRN-US^FG_PRICE(12/30/2015)&lt;/Q&gt;&lt;R&gt;1&lt;/R&gt;&lt;C&gt;1&lt;/C&gt;&lt;D xsi:type="xsd:double"&gt;105.77&lt;/D&gt;&lt;/FQL&gt;&lt;FQL&gt;&lt;Q&gt;BMRN-US^FG_PRICE(12/31/2017)&lt;/Q&gt;&lt;R&gt;1&lt;/R&gt;&lt;C&gt;1&lt;/C&gt;&lt;D xsi:type="xsd:double"&gt;89.17&lt;/D&gt;&lt;/FQL&gt;&lt;FQL&gt;&lt;Q&gt;HRL-US^FG_PRICE(12/30/2015)&lt;/Q&gt;&lt;R&gt;1&lt;/R&gt;&lt;C&gt;1&lt;/C&gt;&lt;D xsi:type="xsd:double"&gt;39.83&lt;/D&gt;&lt;/FQL&gt;&lt;FQL&gt;&lt;Q&gt;HRL-US^FG_PRICE(12/31/2017)&lt;/Q&gt;&lt;R&gt;1&lt;/R&gt;&lt;C&gt;1&lt;/C&gt;&lt;D xsi:type="xsd:double"&gt;36.39&lt;/D&gt;&lt;/FQL&gt;&lt;FQL&gt;&lt;Q&gt;HPT-US^FG_PRICE(12/30/2015)&lt;/Q&gt;&lt;R&gt;1&lt;/R&gt;&lt;C&gt;1&lt;/C&gt;&lt;D xsi:type="xsd:double"&gt;26.71&lt;/D&gt;&lt;/FQL&gt;&lt;FQL&gt;&lt;Q&gt;HPT-US^FG_PRICE(12/31/2017)&lt;/Q&gt;&lt;R&gt;1&lt;/R&gt;&lt;C&gt;1&lt;/C&gt;&lt;D xsi:type="xsd:double"&gt;29.85&lt;/D&gt;&lt;/FQL&gt;&lt;FQL&gt;&lt;Q&gt;TCM-CA^FG_PRICE(12/30/2015)&lt;/Q&gt;&lt;R&gt;1&lt;/R&gt;&lt;C&gt;1&lt;/C&gt;&lt;D xsi:type="xsd:double"&gt;0.28&lt;/D&gt;&lt;/FQL&gt;&lt;FQL&gt;&lt;Q&gt;TCM-CA^FG_PRICE(12/31/2017)&lt;/Q&gt;&lt;R&gt;0&lt;/R&gt;&lt;C&gt;0&lt;/C&gt;&lt;/FQL&gt;&lt;FQL&gt;&lt;Q&gt;CNP-US^FG_PRICE(12/30/2015)&lt;/Q&gt;&lt;R&gt;1&lt;/R&gt;&lt;C&gt;1&lt;/C&gt;&lt;D xsi:type="xsd:double"&gt;18.3&lt;/D&gt;&lt;/FQL&gt;&lt;FQL&gt;&lt;Q&gt;CNP-US^FG_PRICE(12/31/2017)&lt;/Q&gt;&lt;R&gt;1&lt;/R&gt;&lt;C&gt;1&lt;/C&gt;&lt;D xsi:type="xsd:double"&gt;28.36&lt;/D&gt;&lt;/FQL&gt;&lt;FQL&gt;&lt;Q&gt;LII-US^FG_PRICE(12/30/2015)&lt;/Q&gt;&lt;R&gt;1&lt;/R&gt;&lt;C&gt;1&lt;/C&gt;&lt;D xsi:type="xsd:double"&gt;126.56&lt;/D&gt;&lt;/FQL&gt;&lt;FQL&gt;&lt;Q&gt;LII-US^FG_PRICE(12/31/2017)&lt;/Q&gt;&lt;R&gt;1&lt;/R&gt;&lt;C&gt;1&lt;/C&gt;&lt;D xsi:type="xsd:double"&gt;208.26&lt;/D&gt;&lt;/FQL&gt;&lt;FQL&gt;&lt;Q&gt;FCS-US^FG_PRICE(12/30/2015)&lt;/Q&gt;&lt;R&gt;1&lt;/R&gt;&lt;C&gt;1&lt;/C&gt;&lt;D xsi:type="xsd:double"&gt;20.75&lt;/D&gt;&lt;/FQL&gt;&lt;FQL&gt;&lt;Q&gt;FCS-US^FG_PRICE(12/31/2017)&lt;/Q&gt;&lt;R&gt;0&lt;/R&gt;&lt;C&gt;0&lt;/C&gt;&lt;/FQL&gt;&lt;FQL&gt;&lt;Q&gt;HUM-US^FG_PRICE(12/30/2015)&lt;/Q&gt;&lt;R&gt;1&lt;/R&gt;&lt;C&gt;1&lt;/C&gt;&lt;D xsi:type="xsd:double"&gt;179&lt;/D&gt;&lt;/FQL&gt;&lt;FQL&gt;&lt;Q&gt;HUM-US^FG_PRICE(12/31/2017)&lt;/Q&gt;&lt;R&gt;1&lt;/R&gt;&lt;C&gt;1&lt;/C&gt;&lt;D xsi:type="xsd:double"&gt;248.07&lt;/D&gt;&lt;/FQL&gt;&lt;FQL&gt;&lt;Q&gt;JBHT-US^FG_PRICE(12/30/2015)&lt;/Q&gt;&lt;R&gt;1&lt;/R&gt;&lt;C&gt;1&lt;/C&gt;&lt;D xsi:type="xsd:double"&gt;73.03&lt;/D&gt;&lt;/FQL&gt;&lt;FQL&gt;&lt;Q&gt;JBHT-US^FG_PRICE(12/31/2017)&lt;/Q&gt;&lt;R&gt;1&lt;/R&gt;&lt;C&gt;1&lt;/C&gt;&lt;D xsi:type="xsd:double"&gt;114.98&lt;/D&gt;&lt;/FQL&gt;&lt;FQL&gt;&lt;Q&gt;HBAN-US^FG_PRICE(12/30/2015)&lt;/Q&gt;&lt;R&gt;1&lt;/R&gt;&lt;C&gt;1&lt;/C&gt;&lt;D xsi:type="xsd:double"&gt;11.17&lt;/D&gt;&lt;/FQL&gt;&lt;FQL&gt;&lt;Q&gt;HBAN-US^FG_PRICE(12/31/2017)&lt;/Q&gt;&lt;R&gt;1&lt;/R&gt;&lt;C&gt;1&lt;/C&gt;&lt;D xsi:type="xsd:double"&gt;14.56&lt;/D&gt;&lt;/FQL&gt;&lt;FQL&gt;&lt;Q&gt;RHT-US^FG_PRICE(12/30/2015)&lt;/Q&gt;&lt;R&gt;1&lt;/R&gt;&lt;C&gt;1&lt;/C&gt;&lt;D xsi:type="xsd:double"&gt;83.65&lt;/D&gt;&lt;/FQL&gt;&lt;FQL&gt;&lt;Q&gt;RHT-US^FG_PRICE(12/31/2017)&lt;/Q&gt;&lt;R&gt;1&lt;/R&gt;&lt;C&gt;1&lt;/C&gt;&lt;D xsi:type="xsd:double"&gt;120.1&lt;/D&gt;&lt;/FQL&gt;&lt;FQL&gt;&lt;Q&gt;ESINQ-US^FG_PRICE(12/30/2015)&lt;/Q&gt;&lt;R&gt;1&lt;/R&gt;&lt;C&gt;1&lt;/C&gt;&lt;D xsi:type="xsd:double"&gt;3.84&lt;/D&gt;&lt;/FQL&gt;&lt;FQL&gt;&lt;Q&gt;ESINQ-US^FG_PRICE(12/31/2017)&lt;/Q&gt;&lt;R&gt;1&lt;/R&gt;&lt;C&gt;1&lt;/C&gt;&lt;D xsi:type="xsd:double"&gt;0.0002&lt;/D&gt;&lt;/FQL&gt;&lt;FQL&gt;&lt;Q&gt;EGP-US^FG_PRICE(12/30/2015)&lt;/Q&gt;&lt;R&gt;1&lt;/R&gt;&lt;C&gt;1&lt;/C&gt;&lt;D xsi:type="xsd:double"&gt;56.61&lt;/D&gt;&lt;/FQL&gt;&lt;FQL&gt;&lt;Q&gt;EGP-US^FG_PRICE(12/31/2017)&lt;/Q&gt;&lt;R&gt;1&lt;/R&gt;&lt;C&gt;1&lt;/C&gt;&lt;D xsi:type="xsd:double"&gt;88.38&lt;/D&gt;&lt;/FQL&gt;&lt;FQL&gt;&lt;Q&gt;BIIB-US^FG_PRICE(12/30/2015)&lt;/Q&gt;&lt;R&gt;1&lt;/R&gt;&lt;C&gt;1&lt;/C&gt;&lt;D xsi:type="xsd:double"&gt;284.01236&lt;/D&gt;&lt;/FQL&gt;&lt;FQL&gt;&lt;Q&gt;BIIB-US^FG_PRICE(12/31/2017)&lt;/Q&gt;&lt;R&gt;1&lt;/R&gt;&lt;C&gt;1&lt;/C&gt;&lt;D xsi:type="xsd:double"&gt;318.57&lt;/D&gt;&lt;/FQL&gt;&lt;FQL&gt;&lt;Q&gt;IEX-US^FG_PRICE(12/30/2015)&lt;/Q&gt;&lt;R&gt;1&lt;/R&gt;&lt;C&gt;1&lt;/C&gt;&lt;D xsi:type="xsd:double"&gt;77.12&lt;/D&gt;&lt;/FQL&gt;&lt;FQL&gt;&lt;Q&gt;IEX-US^FG_PRICE(12/31/2017)&lt;/Q&gt;&lt;R&gt;1&lt;/R&gt;&lt;C&gt;1&lt;/C&gt;&lt;D xsi:type="xsd:double"&gt;131.97&lt;/D&gt;&lt;/FQL&gt;&lt;FQL&gt;&lt;Q&gt;ITW-US^FG_PRICE(12/30/2015)&lt;/Q&gt;&lt;R&gt;1&lt;/R&gt;&lt;C&gt;1&lt;/C&gt;&lt;D xsi:type="xsd:double"&gt;93.19&lt;/D&gt;&lt;/FQL&gt;&lt;FQL&gt;&lt;Q&gt;ITW-US^FG_PRICE(12/31/2017)&lt;/Q&gt;&lt;R&gt;1&lt;/R&gt;&lt;C&gt;1&lt;/C&gt;&lt;D xsi:type="xsd:double"&gt;166.85&lt;/D&gt;&lt;/FQL&gt;&lt;FQL&gt;&lt;Q&gt;INTU-US^FG_PRICE(12/30/2015)&lt;/Q&gt;&lt;R&gt;1&lt;/R&gt;&lt;C&gt;1&lt;/C&gt;&lt;D xsi:type="xsd:double"&gt;98.28&lt;/D&gt;&lt;/FQL&gt;&lt;FQL&gt;&lt;Q&gt;INTU-US^FG_PRICE(12/31/2017)&lt;/Q&gt;&lt;R&gt;1&lt;/R&gt;&lt;C&gt;1&lt;/C&gt;&lt;D xsi:type="xsd:double"&gt;157.78&lt;/D&gt;&lt;/FQL&gt;&lt;FQL&gt;&lt;Q&gt;IDXX-US^FG_PRICE(12/30/2015)&lt;/Q&gt;&lt;R&gt;1&lt;/R&gt;&lt;C&gt;1&lt;/C&gt;&lt;D xsi:type="xsd:double"&gt;73.97&lt;/D&gt;&lt;/FQL&gt;&lt;FQL&gt;&lt;Q&gt;IDXX-US^FG_PRICE(12/31/2017)&lt;/Q&gt;&lt;R&gt;1&lt;/R&gt;&lt;C&gt;1&lt;/C&gt;&lt;D xsi:type="xsd:double"&gt;156.38&lt;/D&gt;&lt;/FQL&gt;&lt;FQL&gt;&lt;Q&gt;IDTI-US^FG_PRICE(12/30/2015)&lt;/Q&gt;&lt;R&gt;1&lt;/R&gt;&lt;C&gt;1&lt;/C&gt;&lt;D xsi:type="xsd:double"&gt;26.94&lt;/D&gt;&lt;/FQL&gt;&lt;FQL&gt;&lt;Q&gt;IDTI-US^FG_PRICE(12/31/2017)&lt;/Q&gt;&lt;R&gt;1&lt;/R&gt;&lt;C&gt;1&lt;/C&gt;&lt;D xsi:type="xsd:double"&gt;29.73&lt;/D&gt;&lt;/FQL&gt;&lt;FQL&gt;&lt;Q&gt;INTC-US^FG_PRICE(12/30/2015)&lt;/Q&gt;&lt;R&gt;1&lt;/R&gt;&lt;C&gt;1&lt;/C&gt;&lt;D xsi:type="xsd:double"&gt;34.99&lt;/D&gt;&lt;/FQL&gt;&lt;FQL&gt;&lt;Q&gt;INTC-US^FG_PRICE(12/31/2017)&lt;/Q&gt;&lt;R&gt;1&lt;/R&gt;&lt;C&gt;1&lt;/C&gt;&lt;D xsi:type="xsd:double"&gt;46.16&lt;/D&gt;&lt;/FQL&gt;&lt;FQL&gt;&lt;Q&gt;IFF-US^FG_PRICE(12/30/2015)&lt;/Q&gt;&lt;R&gt;1&lt;/R&gt;&lt;C&gt;1&lt;/C&gt;&lt;D xsi:type="xsd:double"&gt;120.62&lt;/D&gt;&lt;/FQL&gt;&lt;FQL&gt;&lt;Q&gt;IFF-US^FG_PRICE(12/31/2017)&lt;/Q&gt;&lt;R&gt;1&lt;/R&gt;&lt;C&gt;1&lt;/C&gt;&lt;D xsi:type="xsd:double"&gt;152.61&lt;/D&gt;&lt;/FQL&gt;&lt;FQL&gt;&lt;Q&gt;IP-US^FG_PRICE(12/30/2015)&lt;/Q&gt;&lt;R&gt;1&lt;/R&gt;&lt;C&gt;1&lt;/C&gt;&lt;D xsi:type="xsd:double"&gt;38.2&lt;/D&gt;&lt;/FQL&gt;&lt;FQL&gt;&lt;Q&gt;IP-US^FG_PRICE(12/31/2017)&lt;/Q&gt;&lt;R&gt;1&lt;/R&gt;&lt;C&gt;1&lt;/C&gt;&lt;D xsi:type="xsd:double"&gt;57.94&lt;/D&gt;&lt;/FQL&gt;&lt;FQL&gt;&lt;Q&gt;IDCC-US^FG_PRICE(12/30/2015)&lt;/Q&gt;&lt;R&gt;1&lt;/R&gt;&lt;C&gt;1&lt;/C&gt;&lt;D xsi:type="xsd:double"&gt;50.39&lt;/D&gt;&lt;/FQL&gt;&lt;FQL&gt;&lt;Q&gt;IDCC-US^FG_PRICE(12/31/2017)&lt;/Q&gt;&lt;R&gt;1&lt;/R&gt;&lt;C&gt;1&lt;/C&gt;&lt;D xsi:type="xsd:double"&gt;76.15&lt;/D&gt;&lt;/FQL&gt;&lt;FQL&gt;&lt;Q&gt;IPG-US^FG_PRICE(12/30/2015)&lt;/Q&gt;&lt;R&gt;1&lt;/R&gt;&lt;C&gt;1&lt;/C&gt;&lt;D xsi:type="xsd:double"&gt;23.55&lt;/D&gt;&lt;/FQL&gt;&lt;FQL&gt;&lt;Q&gt;IPG-US^FG_PRICE(12/31/2017)&lt;/Q&gt;&lt;R&gt;1&lt;/R&gt;&lt;C&gt;1&lt;/C&gt;&lt;D xsi:type="xsd:double"&gt;20.16&lt;/D&gt;&lt;/FQL&gt;&lt;FQL&gt;&lt;Q&gt;JEC-US^FG_PRICE(12/30/2015)&lt;/Q&gt;&lt;R&gt;1&lt;/R&gt;&lt;C&gt;1&lt;/C&gt;&lt;D xsi:type="xsd:double"&gt;42.42&lt;/D&gt;&lt;/FQL&gt;&lt;FQL&gt;&lt;Q&gt;JEC-US^FG_PRICE(12/31/2017)&lt;/Q&gt;&lt;R&gt;1&lt;/R&gt;&lt;C&gt;1&lt;/C&gt;&lt;D xsi:type="xsd:double"&gt;65.96&lt;/D&gt;&lt;/FQL&gt;&lt;FQL&gt;&lt;Q&gt;JBL-US^FG_PRICE(12/30/2015)&lt;/Q&gt;&lt;R&gt;1&lt;/R&gt;&lt;C&gt;1&lt;/C&gt;&lt;D xsi:type="xsd:double"&gt;23.55&lt;/D&gt;&lt;/FQL&gt;&lt;FQL&gt;&lt;Q&gt;JBL-US^FG_PRICE(12/31/2017)&lt;/Q&gt;&lt;R&gt;1&lt;/R&gt;&lt;C&gt;1&lt;/C&gt;&lt;D xsi:type="xsd:double"&gt;26.25&lt;/D&gt;&lt;/FQL&gt;&lt;FQL&gt;&lt;Q&gt;ITRI-US^FG_PRICE(12/30/2015)&lt;/Q&gt;&lt;R&gt;1&lt;/R&gt;&lt;C&gt;1&lt;/C&gt;&lt;D xsi:type="xsd:double"&gt;36.43&lt;/D&gt;&lt;/FQL&gt;&lt;FQL&gt;&lt;Q&gt;ITRI-US^FG_PRICE(12/31/2017)&lt;/Q&gt;&lt;R&gt;1&lt;/R&gt;&lt;C&gt;1&lt;/C&gt;&lt;D xsi:type="xsd:double"&gt;68.2&lt;/D&gt;&lt;/FQL&gt;&lt;FQL&gt;&lt;Q&gt;INCY-US^FG_PRICE(12/30/2015)&lt;/Q&gt;&lt;R&gt;1&lt;/R&gt;&lt;C&gt;1&lt;/C&gt;&lt;D xsi:type="xsd:double"&gt;109.11&lt;/D&gt;&lt;/FQL&gt;&lt;FQL&gt;&lt;Q&gt;INCY-US^FG_PRICE(12/31/2017)&lt;/Q&gt;&lt;R&gt;1&lt;/R&gt;&lt;C&gt;1&lt;/C&gt;&lt;D xsi:type="xsd:double"&gt;94.71&lt;/D&gt;&lt;/FQL&gt;&lt;FQL&gt;&lt;Q&gt;ITG-US^FG_PRICE(12/30/2015)&lt;/Q&gt;&lt;R&gt;1&lt;/R&gt;&lt;C&gt;1&lt;/C&gt;&lt;D xsi:type="xsd:double"&gt;16.97&lt;/D&gt;&lt;/FQL&gt;&lt;FQL&gt;&lt;Q&gt;ITG-US^FG_PRICE(12/31/2017)&lt;/Q&gt;&lt;R&gt;1&lt;/R&gt;&lt;C&gt;1&lt;/C&gt;&lt;D xsi:type="xsd:double"&gt;19.25&lt;/D&gt;&lt;/FQL&gt;&lt;FQL&gt;&lt;Q&gt;RYN-US^FG_PRICE(12/30/2015)&lt;/Q&gt;&lt;R&gt;1&lt;/R&gt;&lt;C&gt;1&lt;/C&gt;&lt;D xsi:type="xsd:double"&gt;22.55&lt;/D&gt;&lt;/FQL&gt;&lt;FQL&gt;&lt;Q&gt;RYN-US^FG_PRICE(12/31/2017)&lt;/Q&gt;&lt;R&gt;1&lt;/R&gt;&lt;C&gt;1&lt;/C&gt;&lt;D xsi:type="xsd:double"&gt;31.63&lt;/D&gt;&lt;/FQL&gt;&lt;FQL&gt;&lt;Q&gt;EME-US^FG_PRICE(12/30/2015)&lt;/Q&gt;&lt;R&gt;1&lt;/R&gt;&lt;C&gt;1&lt;/C&gt;&lt;D xsi:type="xsd:double"&gt;48.37&lt;/D&gt;&lt;/FQL&gt;&lt;FQL&gt;&lt;Q&gt;EME-US^FG_PRICE(12/31/2017)&lt;/Q&gt;&lt;R&gt;1&lt;/R&gt;&lt;C&gt;1&lt;/C&gt;&lt;D xsi:type="xsd:double"&gt;81.75&lt;/D&gt;&lt;/FQL&gt;&lt;FQL&gt;&lt;Q&gt;JNJ-US^FG_PRICE(12/30/2015)&lt;/Q&gt;&lt;R&gt;1&lt;/R&gt;&lt;C&gt;1&lt;/C&gt;&lt;D xsi:type="xsd:double"&gt;103.78&lt;/D&gt;&lt;/FQL&gt;&lt;FQL&gt;&lt;Q&gt;JNJ-US^FG_PRICE(12/31/2017)&lt;/Q&gt;&lt;R&gt;1&lt;/R&gt;&lt;C&gt;1&lt;/C&gt;&lt;D xsi:type="xsd:double"&gt;139.72&lt;/D&gt;&lt;/FQL&gt;&lt;FQL&gt;&lt;Q&gt;HIG-US^FG_PRICE(12/30/2015)&lt;/Q&gt;&lt;R&gt;1&lt;/R&gt;&lt;C&gt;1&lt;/C&gt;&lt;D xsi:type="xsd:double"&gt;43.84&lt;/D&gt;&lt;/FQL&gt;&lt;FQL&gt;&lt;Q&gt;HIG-US^FG_PRICE(12/31/2017)&lt;/Q&gt;&lt;R&gt;1&lt;/R&gt;&lt;C&gt;1&lt;/C&gt;&lt;D xsi:type="xsd:double"&gt;56.28&lt;/D&gt;&lt;/FQL&gt;&lt;FQL&gt;&lt;Q&gt;JCI.XX1-US^FG_PRICE(12/30/2015)&lt;/Q&gt;&lt;R&gt;1&lt;/R&gt;&lt;C&gt;1&lt;/C&gt;&lt;D xsi:type="xsd:double"&gt;40.23&lt;/D&gt;&lt;/FQL&gt;&lt;FQL&gt;&lt;Q&gt;JCI.XX1-US^FG_PRICE(12/31/2017)&lt;/Q&gt;&lt;R&gt;0&lt;/R&gt;&lt;C&gt;0&lt;/C&gt;&lt;/FQL&gt;&lt;FQL&gt;&lt;Q&gt;ISCA-US^FG_PRICE(12/30/2015)&lt;/Q&gt;&lt;R&gt;1&lt;/R&gt;&lt;C&gt;1&lt;/C&gt;&lt;D xsi:type="xsd:double"&gt;34.49&lt;/D&gt;&lt;/FQL&gt;&lt;FQL&gt;&lt;Q&gt;ISCA-US^FG_PRICE(12/31/2017)&lt;/Q&gt;&lt;R&gt;1&lt;/R&gt;&lt;C&gt;1&lt;/C&gt;&lt;D xsi:type="xsd:double"&gt;39.85&lt;/D&gt;&lt;/FQL&gt;&lt;FQL&gt;&lt;Q&gt;KLAC-US^FG_PRICE(12/30/2015)&lt;/Q&gt;&lt;R&gt;1&lt;/R&gt;&lt;C&gt;1&lt;/C&gt;&lt;D xsi:type="xsd:double"&gt;69.69&lt;/D&gt;&lt;/FQL&gt;&lt;FQL&gt;&lt;Q&gt;KLAC-US^FG_PRICE(12/31/2017)&lt;/Q&gt;&lt;R&gt;1&lt;/R&gt;&lt;C&gt;1&lt;/C&gt;&lt;D xsi:type="xsd:double"&gt;105.07&lt;/D&gt;&lt;/FQL&gt;&lt;FQL&gt;&lt;Q&gt;DVN-US^FG_PRICE(12/30/2015)&lt;/Q&gt;&lt;R&gt;1&lt;/R&gt;&lt;C&gt;1&lt;/C&gt;&lt;D xsi:type="xsd:double"&gt;31&lt;/D&gt;&lt;/FQL&gt;&lt;FQL&gt;&lt;Q&gt;DVN-US^FG_PRICE(12/31/2017)&lt;/Q&gt;&lt;R&gt;1&lt;/R&gt;&lt;C&gt;1&lt;/C&gt;&lt;D xsi:type="xsd:double"&gt;41.4&lt;/D&gt;&lt;/FQL&gt;&lt;FQL&gt;&lt;Q&gt;GXP-US^FG_PRICE(12/30/2015)&lt;/Q&gt;&lt;R&gt;1&lt;/R&gt;&lt;C&gt;1&lt;/C&gt;&lt;D xsi:type="xsd:double"&gt;27.78&lt;/D&gt;&lt;/FQL&gt;&lt;FQL&gt;&lt;Q&gt;GXP-US^FG_PRICE(12/31/2017)&lt;/Q&gt;&lt;R&gt;1&lt;/R&gt;&lt;C&gt;1&lt;/C&gt;&lt;D xsi:type="xsd:double"&gt;32.24&lt;/D&gt;&lt;/FQL&gt;&lt;FQL&gt;&lt;Q&gt;WR-US^FG_PRICE(12/30/2015)&lt;/Q&gt;&lt;R&gt;1&lt;/R&gt;&lt;C&gt;1&lt;/C&gt;&lt;D xsi:type="xsd:</t>
        </r>
      </text>
    </comment>
    <comment ref="A3" authorId="0" shapeId="0">
      <text>
        <r>
          <rPr>
            <b/>
            <sz val="9"/>
            <color indexed="81"/>
            <rFont val="Tahoma"/>
            <charset val="1"/>
          </rPr>
          <t>double"&gt;43.16&lt;/D&gt;&lt;/FQL&gt;&lt;FQL&gt;&lt;Q&gt;WR-US^FG_PRICE(12/31/2017)&lt;/Q&gt;&lt;R&gt;1&lt;/R&gt;&lt;C&gt;1&lt;/C&gt;&lt;D xsi:type="xsd:double"&gt;52.8&lt;/D&gt;&lt;/FQL&gt;&lt;FQL&gt;&lt;Q&gt;KBH-US^FG_PRICE(12/30/2015)&lt;/Q&gt;&lt;R&gt;1&lt;/R&gt;&lt;C&gt;1&lt;/C&gt;&lt;D xsi:type="xsd:double"&gt;12.49&lt;/D&gt;&lt;/FQL&gt;&lt;FQL&gt;&lt;Q&gt;KBH-US^FG_PRICE(12/31/2017)&lt;/Q&gt;&lt;R&gt;1&lt;/R&gt;&lt;C&gt;1&lt;/C&gt;&lt;D xsi:type="xsd:double"&gt;31.95&lt;/D&gt;&lt;/FQL&gt;&lt;FQL&gt;&lt;Q&gt;K-US^FG_PRICE(12/30/2015)&lt;/Q&gt;&lt;R&gt;1&lt;/R&gt;&lt;C&gt;1&lt;/C&gt;&lt;D xsi:type="xsd:double"&gt;73.19&lt;/D&gt;&lt;/FQL&gt;&lt;FQL&gt;&lt;Q&gt;K-US^FG_PRICE(12/31/2017)&lt;/Q&gt;&lt;R&gt;1&lt;/R&gt;&lt;C&gt;1&lt;/C&gt;&lt;D xsi:type="xsd:double"&gt;67.98&lt;/D&gt;&lt;/FQL&gt;&lt;FQL&gt;&lt;Q&gt;EWBC-US^FG_PRICE(12/30/2015)&lt;/Q&gt;&lt;R&gt;1&lt;/R&gt;&lt;C&gt;1&lt;/C&gt;&lt;D xsi:type="xsd:double"&gt;41.93&lt;/D&gt;&lt;/FQL&gt;&lt;FQL&gt;&lt;Q&gt;EWBC-US^FG_PRICE(12/31/2017)&lt;/Q&gt;&lt;R&gt;1&lt;/R&gt;&lt;C&gt;1&lt;/C&gt;&lt;D xsi:type="xsd:double"&gt;60.83&lt;/D&gt;&lt;/FQL&gt;&lt;FQL&gt;&lt;Q&gt;KMT-US^FG_PRICE(12/30/2015)&lt;/Q&gt;&lt;R&gt;1&lt;/R&gt;&lt;C&gt;1&lt;/C&gt;&lt;D xsi:type="xsd:double"&gt;19.25&lt;/D&gt;&lt;/FQL&gt;&lt;FQL&gt;&lt;Q&gt;KMT-US^FG_PRICE(12/31/2017)&lt;/Q&gt;&lt;R&gt;1&lt;/R&gt;&lt;C&gt;1&lt;/C&gt;&lt;D xsi:type="xsd:double"&gt;48.41&lt;/D&gt;&lt;/FQL&gt;&lt;FQL&gt;&lt;Q&gt;IM-US^FG_PRICE(12/30/2015)&lt;/Q&gt;&lt;R&gt;1&lt;/R&gt;&lt;C&gt;1&lt;/C&gt;&lt;D xsi:type="xsd:double"&gt;31.09&lt;/D&gt;&lt;/FQL&gt;&lt;FQL&gt;&lt;Q&gt;IM-US^FG_PRICE(12/31/2017)&lt;/Q&gt;&lt;R&gt;0&lt;/R&gt;&lt;C&gt;0&lt;/C&gt;&lt;/FQL&gt;&lt;FQL&gt;&lt;Q&gt;KEY-US^FG_PRICE(12/30/2015)&lt;/Q&gt;&lt;R&gt;1&lt;/R&gt;&lt;C&gt;1&lt;/C&gt;&lt;D xsi:type="xsd:double"&gt;13.25&lt;/D&gt;&lt;/FQL&gt;&lt;FQL&gt;&lt;Q&gt;KEY-US^FG_PRICE(12/31/2017)&lt;/Q&gt;&lt;R&gt;1&lt;/R&gt;&lt;C&gt;1&lt;/C&gt;&lt;D xsi:type="xsd:double"&gt;20.17&lt;/D&gt;&lt;/FQL&gt;&lt;FQL&gt;&lt;Q&gt;KIM-US^FG_PRICE(12/30/2015)&lt;/Q&gt;&lt;R&gt;1&lt;/R&gt;&lt;C&gt;1&lt;/C&gt;&lt;D xsi:type="xsd:double"&gt;26.69&lt;/D&gt;&lt;/FQL&gt;&lt;FQL&gt;&lt;Q&gt;KIM-US^FG_PRICE(12/31/2017)&lt;/Q&gt;&lt;R&gt;1&lt;/R&gt;&lt;C&gt;1&lt;/C&gt;&lt;D xsi:type="xsd:double"&gt;18.15&lt;/D&gt;&lt;/FQL&gt;&lt;FQL&gt;&lt;Q&gt;KMB-US^FG_PRICE(12/30/2015)&lt;/Q&gt;&lt;R&gt;1&lt;/R&gt;&lt;C&gt;1&lt;/C&gt;&lt;D xsi:type="xsd:double"&gt;129.43&lt;/D&gt;&lt;/FQL&gt;&lt;FQL&gt;&lt;Q&gt;KMB-US^FG_PRICE(12/31/2017)&lt;/Q&gt;&lt;R&gt;1&lt;/R&gt;&lt;C&gt;1&lt;/C&gt;&lt;D xsi:type="xsd:double"&gt;120.66&lt;/D&gt;&lt;/FQL&gt;&lt;FQL&gt;&lt;Q&gt;KEX-US^FG_PRICE(12/30/2015)&lt;/Q&gt;&lt;R&gt;1&lt;/R&gt;&lt;C&gt;1&lt;/C&gt;&lt;D xsi:type="xsd:double"&gt;52.91&lt;/D&gt;&lt;/FQL&gt;&lt;FQL&gt;&lt;Q&gt;KEX-US^FG_PRICE(12/31/2017)&lt;/Q&gt;&lt;R&gt;1&lt;/R&gt;&lt;C&gt;1&lt;/C&gt;&lt;D xsi:type="xsd:double"&gt;66.8&lt;/D&gt;&lt;/FQL&gt;&lt;FQL&gt;&lt;Q&gt;BLK-US^FG_PRICE(12/30/2015)&lt;/Q&gt;&lt;R&gt;1&lt;/R&gt;&lt;C&gt;1&lt;/C&gt;&lt;D xsi:type="xsd:double"&gt;342.05&lt;/D&gt;&lt;/FQL&gt;&lt;FQL&gt;&lt;Q&gt;BLK-US^FG_PRICE(12/31/2017)&lt;/Q&gt;&lt;R&gt;1&lt;/R&gt;&lt;C&gt;1&lt;/C&gt;&lt;D xsi:type="xsd:double"&gt;513.71&lt;/D&gt;&lt;/FQL&gt;&lt;FQL&gt;&lt;Q&gt;KSS-US^FG_PRICE(12/30/2015)&lt;/Q&gt;&lt;R&gt;1&lt;/R&gt;&lt;C&gt;1&lt;/C&gt;&lt;D xsi:type="xsd:double"&gt;48.39&lt;/D&gt;&lt;/FQL&gt;&lt;FQL&gt;&lt;Q&gt;KSS-US^FG_PRICE(12/31/2017)&lt;/Q&gt;&lt;R&gt;1&lt;/R&gt;&lt;C&gt;1&lt;/C&gt;&lt;D xsi:type="xsd:double"&gt;54.23&lt;/D&gt;&lt;/FQL&gt;&lt;FQL&gt;&lt;Q&gt;KR-US^FG_PRICE(12/30/2015)&lt;/Q&gt;&lt;R&gt;1&lt;/R&gt;&lt;C&gt;1&lt;/C&gt;&lt;D xsi:type="xsd:double"&gt;42.31&lt;/D&gt;&lt;/FQL&gt;&lt;FQL&gt;&lt;Q&gt;KR-US^FG_PRICE(12/31/2017)&lt;/Q&gt;&lt;R&gt;1&lt;/R&gt;&lt;C&gt;1&lt;/C&gt;&lt;D xsi:type="xsd:double"&gt;27.45&lt;/D&gt;&lt;/FQL&gt;&lt;FQL&gt;&lt;Q&gt;SNH-US^FG_PRICE(12/30/2015)&lt;/Q&gt;&lt;R&gt;1&lt;/R&gt;&lt;C&gt;1&lt;/C&gt;&lt;D xsi:type="xsd:double"&gt;15&lt;/D&gt;&lt;/FQL&gt;&lt;FQL&gt;&lt;Q&gt;SNH-US^FG_PRICE(12/31/2017)&lt;/Q&gt;&lt;R&gt;1&lt;/R&gt;&lt;C&gt;1&lt;/C&gt;&lt;D xsi:type="xsd:double"&gt;19.15&lt;/D&gt;&lt;/FQL&gt;&lt;FQL&gt;&lt;Q&gt;LRCX-US^FG_PRICE(12/30/2015)&lt;/Q&gt;&lt;R&gt;1&lt;/R&gt;&lt;C&gt;1&lt;/C&gt;&lt;D xsi:type="xsd:double"&gt;80.17&lt;/D&gt;&lt;/FQL&gt;&lt;FQL&gt;&lt;Q&gt;LRCX-US^FG_PRICE(12/31/2017)&lt;/Q&gt;&lt;R&gt;1&lt;/R&gt;&lt;C&gt;1&lt;/C&gt;&lt;D xsi:type="xsd:double"&gt;184.07&lt;/D&gt;&lt;/FQL&gt;&lt;FQL&gt;&lt;Q&gt;LSTR-US^FG_PRICE(12/30/2015)&lt;/Q&gt;&lt;R&gt;1&lt;/R&gt;&lt;C&gt;1&lt;/C&gt;&lt;D xsi:type="xsd:double"&gt;58.81&lt;/D&gt;&lt;/FQL&gt;&lt;FQL&gt;&lt;Q&gt;LSTR-US^FG_PRICE(12/31/2017)&lt;/Q&gt;&lt;R&gt;1&lt;/R&gt;&lt;C&gt;1&lt;/C&gt;&lt;D xsi:type="xsd:double"&gt;104.1&lt;/D&gt;&lt;/FQL&gt;&lt;FQL&gt;&lt;Q&gt;PKG-US^FG_PRICE(12/30/2015)&lt;/Q&gt;&lt;R&gt;1&lt;/R&gt;&lt;C&gt;1&lt;/C&gt;&lt;D xsi:type="xsd:double"&gt;64&lt;/D&gt;&lt;/FQL&gt;&lt;FQL&gt;&lt;Q&gt;PKG-US^FG_PRICE(12/31/2017)&lt;/Q&gt;&lt;R&gt;1&lt;/R&gt;&lt;C&gt;1&lt;/C&gt;&lt;D xsi:type="xsd:double"&gt;120.55&lt;/D&gt;&lt;/FQL&gt;&lt;FQL&gt;&lt;Q&gt;AKAM-US^FG_PRICE(12/30/2015)&lt;/Q&gt;&lt;R&gt;1&lt;/R&gt;&lt;C&gt;1&lt;/C&gt;&lt;D xsi:type="xsd:double"&gt;52.9&lt;/D&gt;&lt;/FQL&gt;&lt;FQL&gt;&lt;Q&gt;AKAM-US^FG_PRICE(12/31/2017)&lt;/Q&gt;&lt;R&gt;1&lt;/R&gt;&lt;C&gt;1&lt;/C&gt;&lt;D xsi:type="xsd:double"&gt;65.04&lt;/D&gt;&lt;/FQL&gt;&lt;FQL&gt;&lt;Q&gt;LM-US^FG_PRICE(12/30/2015)&lt;/Q&gt;&lt;R&gt;1&lt;/R&gt;&lt;C&gt;1&lt;/C&gt;&lt;D xsi:type="xsd:double"&gt;39.35&lt;/D&gt;&lt;/FQL&gt;&lt;FQL&gt;&lt;Q&gt;LM-US^FG_PRICE(12/31/2017)&lt;/Q&gt;&lt;R&gt;1&lt;/R&gt;&lt;C&gt;1&lt;/C&gt;&lt;D xsi:type="xsd:double"&gt;41.98&lt;/D&gt;&lt;/FQL&gt;&lt;FQL&gt;&lt;Q&gt;LEG-US^FG_PRICE(12/30/2015)&lt;/Q&gt;&lt;R&gt;1&lt;/R&gt;&lt;C&gt;1&lt;/C&gt;&lt;D xsi:type="xsd:double"&gt;42.54&lt;/D&gt;&lt;/FQL&gt;&lt;FQL&gt;&lt;Q&gt;LEG-US^FG_PRICE(12/31/2017)&lt;/Q&gt;&lt;R&gt;1&lt;/R&gt;&lt;C&gt;1&lt;/C&gt;&lt;D xsi:type="xsd:double"&gt;47.73&lt;/D&gt;&lt;/FQL&gt;&lt;FQL&gt;&lt;Q&gt;LXK-US^FG_PRICE(12/30/2015)&lt;/Q&gt;&lt;R&gt;1&lt;/R&gt;&lt;C&gt;1&lt;/C&gt;&lt;D xsi:type="xsd:double"&gt;33.5&lt;/D&gt;&lt;/FQL&gt;&lt;FQL&gt;&lt;Q&gt;LXK-US^FG_PRICE(12/31/2017)&lt;/Q&gt;&lt;R&gt;0&lt;/R&gt;&lt;C&gt;0&lt;/C&gt;&lt;/FQL&gt;&lt;FQL&gt;&lt;Q&gt;LEN-US^FG_PRICE(12/30/2015)&lt;/Q&gt;&lt;R&gt;1&lt;/R&gt;&lt;C&gt;1&lt;/C&gt;&lt;D xsi:type="xsd:double"&gt;48.518623&lt;/D&gt;&lt;/FQL&gt;&lt;FQL&gt;&lt;Q&gt;LEN-US^FG_PRICE(12/31/2017)&lt;/Q&gt;&lt;R&gt;1&lt;/R&gt;&lt;C&gt;1&lt;/C&gt;&lt;D xsi:type="xsd:double"&gt;63.24&lt;/D&gt;&lt;/FQL&gt;&lt;FQL&gt;&lt;Q&gt;TEN-US^FG_PRICE(12/30/2015)&lt;/Q&gt;&lt;R&gt;1&lt;/R&gt;&lt;C&gt;1&lt;/C&gt;&lt;D xsi:type="xsd:double"&gt;46.59&lt;/D&gt;&lt;/FQL&gt;&lt;FQL&gt;&lt;Q&gt;TEN-US^FG_PRICE(12/31/2017)&lt;/Q&gt;&lt;R&gt;1&lt;/R&gt;&lt;C&gt;1&lt;/C&gt;&lt;D xsi:type="xsd:double"&gt;58.54&lt;/D&gt;&lt;/FQL&gt;&lt;FQL&gt;&lt;Q&gt;LUK-US^FG_PRICE(12/30/2015)&lt;/Q&gt;&lt;R&gt;1&lt;/R&gt;&lt;C&gt;1&lt;/C&gt;&lt;D xsi:type="xsd:double"&gt;17.1&lt;/D&gt;&lt;/FQL&gt;&lt;FQL&gt;&lt;Q&gt;LUK-US^FG_PRICE(12/31/2017)&lt;/Q&gt;&lt;R&gt;1&lt;/R&gt;&lt;C&gt;1&lt;/C&gt;&lt;D xsi:type="xsd:double"&gt;26.49&lt;/D&gt;&lt;/FQL&gt;&lt;FQL&gt;&lt;Q&gt;LPT-US^FG_PRICE(12/30/2015)&lt;/Q&gt;&lt;R&gt;1&lt;/R&gt;&lt;C&gt;1&lt;/C&gt;&lt;D xsi:type="xsd:double"&gt;31.45&lt;/D&gt;&lt;/FQL&gt;&lt;FQL&gt;&lt;Q&gt;LPT-US^FG_PRICE(12/31/2017)&lt;/Q&gt;&lt;R&gt;1&lt;/R&gt;&lt;C&gt;1&lt;/C&gt;&lt;D xsi:type="xsd:double"&gt;43.01&lt;/D&gt;&lt;/FQL&gt;&lt;FQL&gt;&lt;Q&gt;LLY-US^FG_PRICE(12/30/2015)&lt;/Q&gt;&lt;R&gt;1&lt;/R&gt;&lt;C&gt;1&lt;/C&gt;&lt;D xsi:type="xsd:double"&gt;86.2&lt;/D&gt;&lt;/FQL&gt;&lt;FQL&gt;&lt;Q&gt;LLY-US^FG_PRICE(12/31/2017)&lt;/Q&gt;&lt;R&gt;1&lt;/R&gt;&lt;C&gt;1&lt;/C&gt;&lt;D xsi:type="xsd:double"&gt;84.46&lt;/D&gt;&lt;/FQL&gt;&lt;FQL&gt;&lt;Q&gt;LNC-US^FG_PRICE(12/30/2015)&lt;/Q&gt;&lt;R&gt;1&lt;/R&gt;&lt;C&gt;1&lt;/C&gt;&lt;D xsi:type="xsd:double"&gt;50.83&lt;/D&gt;&lt;/FQL&gt;&lt;FQL&gt;&lt;Q&gt;LNC-US^FG_PRICE(12/31/2017)&lt;/Q&gt;&lt;R&gt;1&lt;/R&gt;&lt;C&gt;1&lt;/C&gt;&lt;D xsi:type="xsd:double"&gt;76.87&lt;/D&gt;&lt;/FQL&gt;&lt;FQL&gt;&lt;Q&gt;LLTC-US^FG_PRICE(12/30/2015)&lt;/Q&gt;&lt;R&gt;1&lt;/R&gt;&lt;C&gt;1&lt;/C&gt;&lt;D xsi:type="xsd:double"&gt;43.35&lt;/D&gt;&lt;/FQL&gt;&lt;FQL&gt;&lt;Q&gt;LLTC-US^FG_PRICE(12/31/2017)&lt;/Q&gt;&lt;R&gt;0&lt;/R&gt;&lt;C&gt;0&lt;/C&gt;&lt;/FQL&gt;&lt;FQL&gt;&lt;Q&gt;LECO-US^FG_PRICE(12/30/2015)&lt;/Q&gt;&lt;R&gt;1&lt;/R&gt;&lt;C&gt;1&lt;/C&gt;&lt;D xsi:type="xsd:double"&gt;52.4&lt;/D&gt;&lt;/FQL&gt;&lt;FQL&gt;&lt;Q&gt;LECO-US^FG_PRICE(12/31/2017)&lt;/Q&gt;&lt;R&gt;1&lt;/R&gt;&lt;C&gt;1&lt;/C&gt;&lt;D xsi:type="xsd:double"&gt;91.58&lt;/D&gt;&lt;/FQL&gt;&lt;FQL&gt;&lt;Q&gt;UPS-US^FG_PRICE(12/30/2015)&lt;/Q&gt;&lt;R&gt;1&lt;/R&gt;&lt;C&gt;1&lt;/C&gt;&lt;D xsi:type="xsd:double"&gt;97.09&lt;/D&gt;&lt;/FQL&gt;&lt;FQL&gt;&lt;Q&gt;UPS-US^FG_PRICE(12/31/2017)&lt;/Q&gt;&lt;R&gt;1&lt;/R&gt;&lt;C&gt;1&lt;/C&gt;&lt;D xsi:type="xsd:double"&gt;119.15&lt;/D&gt;&lt;/FQL&gt;&lt;FQL&gt;&lt;Q&gt;BDN-US^FG_PRICE(12/30/2015)&lt;/Q&gt;&lt;R&gt;1&lt;/R&gt;&lt;C&gt;1&lt;/C&gt;&lt;D xsi:type="xsd:double"&gt;13.74&lt;/D&gt;&lt;/FQL&gt;&lt;FQL&gt;&lt;Q&gt;BDN-US^FG_PRICE(12/31/2017)&lt;/Q&gt;&lt;R&gt;1&lt;/R&gt;&lt;C&gt;1&lt;/C&gt;&lt;D xsi:type="xsd:double"&gt;18.19&lt;/D&gt;&lt;/FQL&gt;&lt;FQL&gt;&lt;Q&gt;A-US^FG_PRICE(12/30/2015)&lt;/Q&gt;&lt;R&gt;1&lt;/R&gt;&lt;C&gt;1&lt;/C&gt;&lt;D xsi:type="xsd:double"&gt;42.17&lt;/D&gt;&lt;/FQL&gt;&lt;FQL&gt;&lt;Q&gt;A-US^FG_PRICE(12/31/2017)&lt;/Q&gt;&lt;R&gt;1&lt;/R&gt;&lt;C&gt;1&lt;/C&gt;&lt;D xsi:type="xsd:double"&gt;66.97&lt;/D&gt;&lt;/FQL&gt;&lt;FQL&gt;&lt;Q&gt;LMT-US^FG_PRICE(12/30/2015)&lt;/Q&gt;&lt;R&gt;1&lt;/R&gt;&lt;C&gt;1&lt;/C&gt;&lt;D xsi:type="xsd:double"&gt;219.8&lt;/D&gt;&lt;/FQL&gt;&lt;FQL&gt;&lt;Q&gt;LMT-US^FG_PRICE(12/31/2017)&lt;/Q&gt;&lt;R&gt;1&lt;/R&gt;&lt;C&gt;1&lt;/C&gt;&lt;D xsi:type="xsd:double"&gt;321.05&lt;/D&gt;&lt;/FQL&gt;&lt;FQL&gt;&lt;Q&gt;L-US^FG_PRICE(12/30/2015)&lt;/Q&gt;&lt;R&gt;1&lt;/R&gt;&lt;C&gt;1&lt;/C&gt;&lt;D xsi:type="xsd:double"&gt;38.51&lt;/D&gt;&lt;/FQL&gt;&lt;FQL&gt;&lt;Q&gt;L-US^FG_PRICE(12/31/2017)&lt;/Q&gt;&lt;R&gt;1&lt;/R&gt;&lt;C&gt;1&lt;/C&gt;&lt;D xsi:type="xsd:double"&gt;50.03&lt;/D&gt;&lt;/FQL&gt;&lt;FQL&gt;&lt;Q&gt;CCL-US^FG_PRICE(12/30/2015)&lt;/Q&gt;&lt;R&gt;1&lt;/R&gt;&lt;C&gt;1&lt;/C&gt;&lt;D xsi:type="xsd:double"&gt;55.04&lt;/D&gt;&lt;/FQL&gt;&lt;FQL&gt;&lt;Q&gt;CCL-US^FG_PRICE(12/31/2017)&lt;/Q&gt;&lt;R&gt;1&lt;/R&gt;&lt;C&gt;1&lt;/C&gt;&lt;D xsi:type="xsd:double"&gt;66.37&lt;/D&gt;&lt;/FQL&gt;&lt;FQL&gt;&lt;Q&gt;RRC-US^FG_PRICE(12/30/2015)&lt;/Q&gt;&lt;R&gt;1&lt;/R&gt;&lt;C&gt;1&lt;/C&gt;&lt;D xsi:type="xsd:double"&gt;22.94&lt;/D&gt;&lt;/FQL&gt;&lt;FQL&gt;&lt;Q&gt;RRC-US^FG_PRICE(12/31/2017)&lt;/Q&gt;&lt;R&gt;1&lt;/R&gt;&lt;C&gt;1&lt;/C&gt;&lt;D xsi:type="xsd:double"&gt;17.06&lt;/D&gt;&lt;/FQL&gt;&lt;FQL&gt;&lt;Q&gt;ATI-US^FG_PRICE(12/30/2015)&lt;/Q&gt;&lt;R&gt;1&lt;/R&gt;&lt;C&gt;1&lt;/C&gt;&lt;D xsi:type="xsd:double"&gt;11.35&lt;/D&gt;&lt;/FQL&gt;&lt;FQL&gt;&lt;Q&gt;ATI-US^FG_PRICE(12/31/2017)&lt;/Q&gt;&lt;R&gt;1&lt;/R&gt;&lt;C&gt;1&lt;/C&gt;&lt;D xsi:type="xsd:double"&gt;24.14&lt;/D&gt;&lt;/FQL&gt;&lt;FQL&gt;&lt;Q&gt;LOW-US^FG_PRICE(12/30/2015)&lt;/Q&gt;&lt;R&gt;1&lt;/R&gt;&lt;C&gt;1&lt;/C&gt;&lt;D xsi:type="xsd:double"&gt;76.86&lt;/D&gt;&lt;/FQL&gt;&lt;FQL&gt;&lt;Q&gt;LOW-US^FG_PRICE(12/31/2017)&lt;/Q&gt;&lt;R&gt;1&lt;/R&gt;&lt;C&gt;1&lt;/C&gt;&lt;D xsi:type="xsd:double"&gt;92.94&lt;/D&gt;&lt;/FQL&gt;&lt;FQL&gt;&lt;Q&gt;D-US^FG_PRICE(12/30/2015)&lt;/Q&gt;&lt;R&gt;1&lt;/R&gt;&lt;C&gt;1&lt;/C&gt;&lt;D xsi:type="xsd:double"&gt;68.68&lt;/D&gt;&lt;/FQL&gt;&lt;FQL&gt;&lt;Q&gt;D-US^FG_PRICE(12/31/2017)&lt;/Q&gt;&lt;R&gt;1&lt;/R&gt;&lt;C&gt;1&lt;/C&gt;&lt;D xsi:type="xsd:double"&gt;81.06&lt;/D&gt;&lt;/FQL&gt;&lt;FQL&gt;&lt;Q&gt;MAC-US^FG_PRICE(12/30/2015)&lt;/Q&gt;&lt;R&gt;1&lt;/R&gt;&lt;C&gt;1&lt;/C&gt;&lt;D xsi:type="xsd:double"&gt;81.65&lt;/D&gt;&lt;/FQL&gt;&lt;FQL&gt;&lt;Q&gt;MAC-US^FG_PRICE(12/31/2017)&lt;/Q&gt;&lt;R&gt;1&lt;/R&gt;&lt;C&gt;1&lt;/C&gt;&lt;D xsi:type="xsd:double"&gt;65.68&lt;/D&gt;&lt;/FQL&gt;&lt;FQL&gt;&lt;Q&gt;SCG-US^FG_PRICE(12/30/2015)&lt;/Q&gt;&lt;R&gt;1&lt;/R&gt;&lt;C&gt;1&lt;/C&gt;&lt;D xsi:type="xsd:double"&gt;61.3&lt;/D&gt;&lt;/FQL&gt;&lt;FQL&gt;&lt;Q&gt;SCG-US^FG_PRICE(12/31/2017)&lt;/Q&gt;&lt;R&gt;1&lt;/R&gt;&lt;C&gt;1&lt;/C&gt;&lt;D xsi:type="xsd:double"&gt;39.78&lt;/D&gt;&lt;/FQL&gt;&lt;FQL&gt;&lt;Q&gt;MBI-US^FG_PRICE(12/30/2015)&lt;/Q&gt;&lt;R&gt;1&lt;/R&gt;&lt;C&gt;1&lt;/C&gt;&lt;D xsi:type="xsd:double"&gt;6.47&lt;/D&gt;&lt;/FQL&gt;&lt;FQL&gt;&lt;Q&gt;MBI-US^FG_PRICE(12/31/2017)&lt;/Q&gt;&lt;R&gt;1&lt;/R&gt;&lt;C&gt;1&lt;/C&gt;&lt;D xsi:type="xsd:double"&gt;7.32&lt;/D&gt;&lt;/FQL&gt;&lt;FQL&gt;&lt;Q&gt;MDU-US^FG_PRICE(12/30/2015)&lt;/Q&gt;&lt;R&gt;1&lt;/R&gt;&lt;C&gt;1&lt;/C&gt;&lt;D xsi:type="xsd:double"&gt;18.54&lt;/D&gt;&lt;/FQL&gt;&lt;FQL&gt;&lt;Q&gt;MDU-US^FG_PRICE(12/31/2017)&lt;/Q&gt;&lt;R&gt;1&lt;/R&gt;&lt;C&gt;1&lt;/C&gt;&lt;D xsi:type="xsd:double"&gt;26.88&lt;/D&gt;&lt;/FQL&gt;&lt;FQL&gt;&lt;Q&gt;MGM-US^FG_PRICE(12/30/2015)&lt;/Q&gt;&lt;R&gt;1&lt;/R&gt;&lt;C&gt;1&lt;/C&gt;&lt;D xsi:type="xsd:double"&gt;22.52&lt;/D&gt;&lt;/FQL&gt;&lt;FQL&gt;&lt;Q&gt;MGM-US^FG_PRICE(12/31/2017)&lt;/Q&gt;&lt;R&gt;1&lt;/R&gt;&lt;C&gt;1&lt;/C&gt;&lt;D xsi:type="xsd:double"&gt;33.39&lt;/D&gt;&lt;/FQL&gt;&lt;FQL&gt;&lt;Q&gt;MKC-US^FG_PRICE(12/30/2015)&lt;/Q&gt;&lt;R&gt;1&lt;/R&gt;&lt;C&gt;1&lt;/C&gt;&lt;D xsi:type="xsd:double"&gt;86.6&lt;/D&gt;&lt;/FQL&gt;&lt;FQL&gt;&lt;Q&gt;MKC-US^FG_PRICE(12/31/2017)&lt;/Q&gt;&lt;R&gt;1&lt;/R&gt;&lt;C&gt;1&lt;/C&gt;&lt;D xsi:type="xsd:double"&gt;101.91&lt;/D&gt;&lt;/FQL&gt;&lt;FQL&gt;&lt;Q&gt;MDR-US^FG_PRICE(12/30/2015)&lt;/Q&gt;&lt;R&gt;1&lt;/R&gt;&lt;C&gt;1&lt;/C&gt;&lt;D xsi:type="xsd:double"&gt;3.32&lt;/D&gt;&lt;/FQL&gt;&lt;FQL&gt;&lt;Q&gt;MDR-US^FG_PRICE(12/31/2017)&lt;/Q&gt;&lt;R&gt;1&lt;/R&gt;&lt;C&gt;1&lt;/C&gt;&lt;D xsi:type="xsd:double"&gt;6.58&lt;/D&gt;&lt;/FQL&gt;&lt;FQL&gt;&lt;Q&gt;MCD-US^FG_PRICE(12/30/2015)&lt;/Q&gt;&lt;R&gt;1&lt;/R&gt;&lt;C&gt;1&lt;/C&gt;&lt;D xsi:type="xsd:double"&gt;119.43&lt;/D&gt;&lt;/FQL&gt;&lt;FQL&gt;&lt;Q&gt;MCD-US^FG_PRICE(12/31/2017)&lt;/Q&gt;&lt;R&gt;1&lt;/R&gt;&lt;C&gt;1&lt;/C&gt;&lt;D xsi:type="xsd:double"&gt;172.12&lt;/D&gt;&lt;/FQL&gt;&lt;FQL&gt;&lt;Q&gt;SPGI-US^FG_PRICE(12/30/2015)&lt;/Q&gt;&lt;R&gt;1&lt;/R&gt;&lt;C&gt;1&lt;/C&gt;&lt;D xsi:type="xsd:double"&gt;99.86&lt;/D&gt;&lt;/FQL&gt;&lt;FQL&gt;&lt;Q&gt;SPGI-US^FG_PRICE(12/31/2017)&lt;/Q&gt;&lt;R&gt;1&lt;/R&gt;&lt;C&gt;1&lt;/C&gt;&lt;D xsi:type="xsd:double"&gt;169.4&lt;/D&gt;&lt;/FQL&gt;&lt;FQL&gt;&lt;Q&gt;ISIL-US^FG_PRICE(12/30/2015)&lt;/Q&gt;&lt;R&gt;1&lt;/R&gt;&lt;C&gt;1&lt;/C&gt;&lt;D xsi:type="xsd:double"&gt;13.12&lt;/D&gt;&lt;/FQL&gt;&lt;FQL&gt;&lt;Q&gt;ISIL-US^FG_PRICE(12/31/2017)&lt;/Q&gt;&lt;R&gt;0&lt;/R&gt;&lt;C&gt;0&lt;/C&gt;&lt;/FQL&gt;&lt;FQL&gt;&lt;Q&gt;MDC-US^FG_PRICE(12/30/2015)&lt;/Q&gt;&lt;R&gt;1&lt;/R&gt;&lt;C&gt;1&lt;/C&gt;&lt;D xsi:type="xsd:double"&gt;22.680775&lt;/D&gt;&lt;/FQL&gt;&lt;FQL&gt;&lt;Q&gt;MDC-US^FG_PRICE(12/31/2017)&lt;/Q&gt;&lt;R&gt;1&lt;/R&gt;&lt;C&gt;1&lt;/C&gt;&lt;D xsi:type="xsd:double"&gt;31.88&lt;/D&gt;&lt;/FQL&gt;&lt;FQL&gt;&lt;Q&gt;MTW-US^FG_PRICE(12/30/2015)&lt;/Q&gt;&lt;R&gt;1&lt;/R&gt;&lt;C&gt;1&lt;/C&gt;&lt;D xsi:type="xsd:double"&gt;12.891384&lt;/D&gt;&lt;/FQL&gt;&lt;FQL&gt;&lt;Q&gt;MTW-US^FG_PRICE(12/31/2017)&lt;/Q&gt;&lt;R&gt;1&lt;/R&gt;&lt;C&gt;1&lt;/C&gt;&lt;D xsi:type="xsd:double"&gt;39.34&lt;/D&gt;&lt;/FQL&gt;&lt;FQL&gt;&lt;Q&gt;MAN-US^FG_PRICE(12/30/2015)&lt;/Q&gt;&lt;R&gt;1&lt;/R&gt;&lt;C&gt;1&lt;/C&gt;&lt;D xsi:type="xsd:double"&gt;85.54&lt;/D&gt;&lt;/FQL&gt;&lt;FQL&gt;&lt;Q&gt;MAN-US^FG_PRICE(12/31/2017)&lt;/Q&gt;&lt;R&gt;1&lt;/R&gt;&lt;C&gt;1&lt;/C&gt;&lt;D xsi:type="xsd:double"&gt;126.11&lt;/D&gt;&lt;/FQL&gt;&lt;FQL&gt;&lt;Q&gt;MKL-US^FG_PRICE(12/30/2015)&lt;/Q&gt;&lt;R&gt;1&lt;/R&gt;&lt;C&gt;1&lt;/C&gt;&lt;D xsi:type="xsd:double"&gt;890.21&lt;/D&gt;&lt;/FQL&gt;&lt;FQL&gt;&lt;Q&gt;MKL-US^FG_PRICE(12/31/2017)&lt;/Q&gt;&lt;R&gt;1&lt;/R&gt;&lt;C&gt;1&lt;/C&gt;&lt;D xsi:type="xsd:double"&gt;1139.13&lt;/D&gt;&lt;/FQL&gt;&lt;FQL&gt;&lt;Q&gt;EW-US^FG_PRICE(12/30/2015)&lt;/Q&gt;&lt;R&gt;1&lt;/R&gt;&lt;C&gt;1&lt;/C&gt;&lt;D xsi:type="xsd:double"&gt;79.21&lt;/D&gt;&lt;/FQL&gt;&lt;FQL&gt;&lt;Q&gt;EW-US^FG_PRICE(12/31/2017)&lt;/Q&gt;&lt;R&gt;1&lt;/R&gt;&lt;C&gt;1&lt;/C&gt;&lt;D xsi:type="xsd:double"&gt;112.71&lt;/D&gt;&lt;/FQL&gt;&lt;FQL&gt;&lt;Q&gt;HST-US^FG_PRICE(12/30/2015)&lt;/Q&gt;&lt;R&gt;1&lt;/R&gt;&lt;C&gt;1&lt;/C&gt;&lt;D xsi:type="xsd:double"&gt;15.76&lt;/D&gt;&lt;/FQL&gt;&lt;FQL&gt;&lt;Q&gt;HST-US^FG_PRICE(12/31/2017)&lt;/Q&gt;&lt;R&gt;1&lt;/R&gt;&lt;C&gt;1&lt;/C&gt;&lt;D xsi:type="xsd:double"&gt;19.85&lt;/D&gt;&lt;/FQL&gt;&lt;FQL&gt;&lt;Q&gt;MSM-US^FG_PRICE(12/30/2015)&lt;/Q&gt;&lt;R&gt;1&lt;/R&gt;&lt;C&gt;1&lt;/C&gt;&lt;D xsi:type="xsd:double"&gt;57.35&lt;/D&gt;&lt;/FQL&gt;&lt;FQL&gt;&lt;Q&gt;MSM-US^FG_PRICE(12/31/2017)&lt;/Q&gt;&lt;R&gt;1&lt;/R&gt;&lt;C&gt;1&lt;/C&gt;&lt;D xsi:type="xsd:double"&gt;96.66&lt;/D&gt;&lt;/FQL&gt;&lt;FQL&gt;&lt;Q&gt;MMC-US^FG_PRICE(12/30/2015)&lt;/Q&gt;&lt;R&gt;1&lt;/R&gt;&lt;C&gt;1&lt;/C&gt;&lt;D xsi:type="xsd:double"&gt;56.1&lt;/D&gt;&lt;/FQL&gt;&lt;FQL&gt;&lt;Q&gt;MMC-US^FG_PRICE(12/31/2017)&lt;/Q&gt;&lt;R&gt;1&lt;/R&gt;&lt;C&gt;1&lt;/C&gt;&lt;D xsi:type="xsd:double"&gt;81.39&lt;/D&gt;&lt;/FQL&gt;&lt;FQL&gt;&lt;Q&gt;SLAB-US^FG_PRICE(12/30/2015)&lt;/Q&gt;&lt;R&gt;1&lt;/R&gt;&lt;C&gt;1&lt;/C&gt;&lt;D xsi:type="xsd:double"&gt;49.97&lt;/D&gt;&lt;/FQL&gt;&lt;FQL&gt;&lt;Q&gt;SLAB-US^FG_PRICE(12/31/2017)&lt;/Q&gt;&lt;R&gt;1&lt;/R&gt;&lt;C&gt;1&lt;/C&gt;&lt;D xsi:type="xsd:double"&gt;88.3&lt;/D&gt;&lt;/FQL&gt;&lt;FQL&gt;&lt;Q&gt;MAS-US^FG_PRICE(12/30/2015)&lt;/Q&gt;&lt;R&gt;1&lt;/R&gt;&lt;C&gt;1&lt;/C&gt;&lt;D xsi:type="xsd:double"&gt;28.41&lt;/D&gt;&lt;/FQL&gt;&lt;FQL&gt;&lt;Q&gt;MAS-US^FG_PRICE(12/31/2017)&lt;/Q&gt;&lt;R&gt;1&lt;/R&gt;&lt;C&gt;1&lt;/C&gt;&lt;D xsi:type="xsd:double"&gt;43.94&lt;/D&gt;&lt;/FQL&gt;&lt;FQL&gt;&lt;Q&gt;MLM-US^FG_PRICE(12/30/2015)&lt;/Q&gt;&lt;R&gt;1&lt;/R&gt;&lt;C&gt;1&lt;/C&gt;&lt;D xsi:type="xsd:double"&gt;137.29&lt;/D&gt;&lt;/FQL&gt;&lt;FQL&gt;&lt;Q&gt;MLM-US^FG_PRICE(12/31/2017)&lt;/Q&gt;&lt;R&gt;1&lt;/R&gt;&lt;C&gt;1&lt;/C&gt;&lt;D xsi:type="xsd:double"&gt;221.04&lt;/D&gt;&lt;/FQL&gt;&lt;FQL&gt;&lt;Q&gt;MAT-US^FG_PRICE(12/30/2015)&lt;/Q&gt;&lt;R&gt;1&lt;/R&gt;&lt;C&gt;1&lt;/C&gt;&lt;D xsi:type="xsd:double"&gt;27.44&lt;/D&gt;&lt;/FQL&gt;&lt;FQL&gt;&lt;Q&gt;MAT-US^FG_PRICE(12/31/2017)&lt;/Q&gt;&lt;R&gt;1&lt;/R&gt;&lt;C&gt;1&lt;/C&gt;&lt;D xsi:type="xsd:double"&gt;15.38&lt;/D&gt;&lt;/FQL&gt;&lt;FQL&gt;&lt;Q&gt;VVC-US^FG_PRICE(12/30/2015)&lt;/Q&gt;&lt;R&gt;1&lt;/R&gt;&lt;C&gt;1&lt;/C&gt;&lt;D xsi:type="xsd:double"&gt;43.46&lt;/D&gt;&lt;/FQL&gt;&lt;FQL&gt;&lt;Q&gt;VVC-US^FG_PRICE(12/31/2017)&lt;/Q&gt;&lt;R&gt;1&lt;/R&gt;&lt;C&gt;1&lt;/C&gt;&lt;D xsi:type="xsd:double"&gt;65.02&lt;/D&gt;&lt;/FQL&gt;&lt;FQL&gt;&lt;Q&gt;MET-US^FG_PRICE(12/30/2015)&lt;/Q&gt;&lt;R&gt;1&lt;/R&gt;&lt;C&gt;1&lt;/C&gt;&lt;D xsi:type="xsd:double"&gt;43.425537&lt;/D&gt;&lt;/FQL&gt;&lt;FQL&gt;&lt;Q&gt;MET-US^FG_PRICE(12/31/2017)&lt;/Q&gt;&lt;R&gt;1&lt;/R&gt;&lt;C&gt;1&lt;/C&gt;&lt;D xsi:type="xsd:double"&gt;50.56&lt;/D&gt;&lt;/FQL&gt;&lt;FQL&gt;&lt;Q&gt;MXIM-US^FG_PRICE(12/30/2015)&lt;/Q&gt;&lt;R&gt;1&lt;/R&gt;&lt;C&gt;1&lt;/C&gt;&lt;D xsi:type="xsd:double"&gt;38.41&lt;/D&gt;&lt;/FQL&gt;&lt;FQL&gt;&lt;Q&gt;MXIM-US^FG_PRICE(12/31/2017)&lt;/Q&gt;&lt;R&gt;1&lt;/R&gt;&lt;C&gt;1&lt;/C&gt;&lt;D xsi:type="xsd:double"&gt;52.28&lt;/D&gt;&lt;/FQL&gt;&lt;FQL&gt;&lt;Q&gt;ATVI-US^FG_PRICE(12/30/2015)&lt;/Q&gt;&lt;R&gt;1&lt;/R&gt;&lt;C&gt;1&lt;/C&gt;&lt;D xsi:type="xsd:double"&gt;39.43&lt;/D&gt;&lt;/FQL&gt;&lt;FQL&gt;&lt;Q&gt;ATVI-US^FG_PRICE(12/31/2017)&lt;/Q&gt;&lt;R&gt;1&lt;/R&gt;&lt;C&gt;1&lt;/C&gt;&lt;D xsi:type="xsd:double"&gt;63.32&lt;/D&gt;&lt;/FQL&gt;&lt;FQL&gt;&lt;Q&gt;CVS-US^FG_PRICE(12/30/2015)&lt;/Q&gt;&lt;R&gt;1&lt;/R&gt;&lt;C&gt;1&lt;/C&gt;&lt;D xsi:type="xsd:double"&gt;98.74&lt;/D&gt;&lt;/FQL&gt;&lt;FQL&gt;&lt;Q&gt;CVS-US^FG_PRICE(12/31/2017)&lt;/Q&gt;&lt;R&gt;1&lt;/R&gt;&lt;C&gt;1&lt;/C&gt;&lt;D xsi:type="xsd:double"&gt;72.5&lt;/D&gt;&lt;/FQL&gt;&lt;FQL&gt;&lt;Q&gt;MCY-US^FG_PRICE(12/30/2015)&lt;/Q&gt;&lt;R&gt;1&lt;/R&gt;&lt;C&gt;1&lt;/C&gt;&lt;D xsi:type="xsd:double"&gt;47.31&lt;/D&gt;&lt;/FQL&gt;&lt;FQL&gt;&lt;Q&gt;MCY-US^FG_PRICE(12/31/2017)&lt;/Q&gt;&lt;R&gt;1&lt;/R&gt;&lt;C&gt;1&lt;/C&gt;&lt;D xsi:type="xsd:double"&gt;53.44&lt;/D&gt;&lt;/FQL&gt;&lt;FQL&gt;&lt;Q&gt;MDP-US^FG_PRICE(12/30/2015)&lt;/Q&gt;&lt;R&gt;1&lt;/R&gt;&lt;C&gt;1&lt;/C&gt;&lt;D xsi:type="xsd:double"&gt;43.35&lt;/D&gt;&lt;/FQL&gt;&lt;FQL&gt;&lt;Q&gt;MDP-US^FG_PRICE(12/31/2017)&lt;/Q&gt;&lt;R&gt;1&lt;/R&gt;&lt;C&gt;1&lt;/C&gt;&lt;D xsi:type="xsd:double"&gt;66.05&lt;/D&gt;&lt;/FQL&gt;&lt;FQL&gt;&lt;Q&gt;ON-US^FG_PRICE(12/30/2015)&lt;/Q&gt;&lt;R&gt;1&lt;/R&gt;&lt;C&gt;1&lt;/C&gt;&lt;D xsi:type="xsd:double"&gt;9.95&lt;/D&gt;&lt;/FQL&gt;&lt;FQL&gt;&lt;Q&gt;ON-US^FG_PRICE(12/31/2017)&lt;/Q&gt;&lt;R&gt;1&lt;/R&gt;&lt;C&gt;1&lt;/C&gt;&lt;D xsi:type="xsd:double"&gt;20.94&lt;/D&gt;&lt;/FQL&gt;&lt;FQL&gt;&lt;Q&gt;LH-US^FG_PRICE(12/30/2015)&lt;/Q&gt;&lt;R&gt;1&lt;/R&gt;&lt;C&gt;1&lt;/C&gt;&lt;D xsi:type="xsd:double"&gt;124.19&lt;/D&gt;&lt;/FQL&gt;&lt;FQL&gt;&lt;Q&gt;LH-US^FG_PRICE(12/31/2017)&lt;/Q&gt;&lt;R&gt;1&lt;/R&gt;&lt;C&gt;1&lt;/C&gt;&lt;D xsi:type="xsd:double"&gt;159.51&lt;/D&gt;&lt;/FQL&gt;&lt;FQL&gt;&lt;Q&gt;MSFT-US^FG_PRICE(12/30/2015)&lt;/Q&gt;&lt;R&gt;1&lt;/R&gt;&lt;C&gt;1&lt;/C&gt;&lt;D xsi:type="xsd:double"&gt;56.31&lt;/D&gt;&lt;/FQL&gt;&lt;FQL&gt;&lt;Q&gt;MSFT-US^FG_PRICE(12/31/2017)&lt;/Q&gt;&lt;R&gt;1&lt;/R&gt;&lt;C&gt;1&lt;/C&gt;&lt;D xsi:type="xsd:double"&gt;85.54&lt;/D&gt;&lt;/FQL&gt;&lt;FQL&gt;&lt;Q&gt;MU-US^FG_PRICE(12/30/2015)&lt;/Q&gt;&lt;R&gt;1&lt;/R&gt;&lt;C&gt;1&lt;/C&gt;&lt;D xsi:type="xsd:double"&gt;14.16&lt;/D&gt;&lt;/FQL&gt;&lt;FQL&gt;&lt;Q&gt;MU-US^FG_PRICE(12/31/2017)&lt;/Q&gt;&lt;R&gt;1&lt;/R&gt;&lt;C&gt;1&lt;/C&gt;&lt;D xsi:type="xsd:double"&gt;41.12&lt;/D&gt;&lt;/FQL&gt;&lt;FQL&gt;&lt;Q&gt;RAX-US^FG_PRICE(12/30/2015)&lt;/Q&gt;&lt;R&gt;1&lt;/R&gt;&lt;C&gt;1&lt;/C&gt;&lt;D xsi:type="xsd:double"&gt;25.24&lt;/D&gt;&lt;/FQL&gt;&lt;FQL&gt;&lt;Q&gt;RAX-US^FG_PRICE(12/31/2017)&lt;/Q&gt;&lt;R&gt;0&lt;/R&gt;&lt;C&gt;0&lt;/C&gt;&lt;/FQL&gt;&lt;FQL&gt;&lt;Q&gt;MCHP-US^FG_PRICE(12/30/2015)&lt;/Q&gt;&lt;R&gt;1&lt;/R&gt;&lt;C&gt;1&lt;/C&gt;&lt;D xsi:type="xsd:double"&gt;47.74&lt;/D&gt;&lt;/FQL&gt;&lt;FQL&gt;&lt;Q&gt;MCHP-US^FG_PRICE(12/31/2017)&lt;/Q&gt;&lt;R&gt;1&lt;/R&gt;&lt;C&gt;1&lt;/C&gt;&lt;D xsi:type="xsd:double"&gt;87.88&lt;/D&gt;&lt;/FQL&gt;&lt;FQL&gt;&lt;Q&gt;MLHR-US^FG_PRICE(12/30/2015)&lt;/Q&gt;&lt;R&gt;1&lt;/R&gt;&lt;C&gt;1&lt;/C&gt;&lt;D xsi:type="xsd:double"&gt;29.4&lt;/D&gt;&lt;/FQL&gt;&lt;FQL&gt;&lt;Q&gt;MLHR-US^FG_PRICE(12/31/2017)&lt;/Q&gt;&lt;R&gt;1&lt;/R&gt;&lt;C&gt;1&lt;/C&gt;&lt;D xsi:type="xsd:double"&gt;40.05&lt;/D&gt;&lt;/FQL&gt;&lt;FQL&gt;&lt;Q&gt;MMM-US^FG_PRICE(12/30/2015)&lt;/Q&gt;&lt;R&gt;1&lt;/R&gt;&lt;C&gt;1&lt;/C&gt;&lt;D xsi:type="xsd:double"&gt;151.91&lt;/D&gt;&lt;/FQL&gt;&lt;FQL&gt;&lt;Q&gt;MMM-US^FG_PRICE(12/31/2017)&lt;/Q&gt;&lt;R&gt;1&lt;/R&gt;&lt;C&gt;1&lt;/C&gt;&lt;D xsi:type="xsd:double"&gt;235.37&lt;/D&gt;&lt;/FQL&gt;&lt;FQL&gt;&lt;Q&gt;MHK-US^FG_PRICE(12/30/2015)&lt;/Q&gt;&lt;R&gt;1&lt;/R&gt;&lt;C&gt;1&lt;/C&gt;&lt;D xsi:type="xsd:double"&gt;189.89&lt;/D&gt;&lt;/FQL&gt;&lt;FQL&gt;&lt;Q&gt;MHK-US^FG_PRICE(12/31/2017)&lt;/Q&gt;&lt;R&gt;1&lt;/R&gt;&lt;C&gt;1&lt;/C&gt;&lt;D xsi:type="xsd:double"&gt;275.9&lt;/D&gt;&lt;/FQL&gt;&lt;FQL&gt;&lt;Q&gt;CYH-US^FG_PRICE(12/30/2015)&lt;/Q&gt;&lt;R&gt;1&lt;/R&gt;&lt;C&gt;1&lt;/C&gt;&lt;D xsi:type="xsd:double"&gt;21.763113&lt;/D&gt;&lt;/FQL&gt;&lt;FQL&gt;&lt;Q&gt;CYH-US^FG_PRICE(12/31/2017)&lt;/Q&gt;&lt;R&gt;1&lt;/R&gt;&lt;C&gt;1&lt;/C&gt;&lt;D xsi:type="xsd:double"&gt;4.26&lt;/D&gt;&lt;/FQL&gt;&lt;FQL&gt;&lt;Q&gt;CRL-US^FG_PRICE(12/30/2015)&lt;/Q&gt;&lt;R&gt;1&lt;/R&gt;&lt;C&gt;1&lt;/C&gt;&lt;D xsi:type="xsd:double"&gt;80.54&lt;/D&gt;&lt;/FQL&gt;&lt;FQL&gt;&lt;Q&gt;CRL-US^FG_PRICE(12/31/2017)&lt;/Q&gt;&lt;R&gt;1&lt;/R&gt;&lt;C&gt;1&lt;/C&gt;&lt;D xsi:type="xsd:double"&gt;109.45&lt;/D&gt;&lt;/FQL&gt;&lt;FQL&gt;&lt;Q&gt;JNS-US^FG_PRICE(12/30/2015)&lt;/Q&gt;&lt;R&gt;1&lt;/R&gt;&lt;C&gt;1&lt;/C&gt;&lt;D xsi:type="xsd:double"&gt;14.16&lt;/D&gt;&lt;/FQL&gt;&lt;FQL&gt;&lt;Q&gt;JNS-US^FG_PRICE(12/31/2017)&lt;/Q&gt;&lt;R&gt;0&lt;/R&gt;&lt;C&gt;0&lt;/C&gt;&lt;/FQL&gt;&lt;FQL&gt;&lt;Q&gt;KSU-US^FG_PRICE(12/30/2015)&lt;/Q&gt;&lt;R&gt;1&lt;/R&gt;&lt;C&gt;1&lt;/C&gt;&lt;D xsi:type="xsd:double"&gt;74.27&lt;/D&gt;&lt;/FQL&gt;&lt;FQL&gt;&lt;Q&gt;KSU-US^FG_PRICE(12/31/2017)&lt;/Q&gt;&lt;R&gt;1&lt;/R&gt;&lt;C&gt;1&lt;/C&gt;&lt;D xsi:type="xsd:double"&gt;105.22&lt;/D&gt;&lt;/FQL&gt;&lt;FQL&gt;&lt;Q&gt;MUR-US^FG_PRICE(12/30/2015)&lt;/Q&gt;&lt;R&gt;1&lt;/R&gt;&lt;C&gt;1&lt;/C&gt;&lt;D xsi:type="xsd:double"&gt;21.95&lt;/D&gt;&lt;/FQL&gt;&lt;FQL&gt;&lt;Q&gt;MUR-US^FG_PRICE(12/31/2017)&lt;/Q&gt;&lt;R&gt;1&lt;/R&gt;&lt;C&gt;1&lt;/C&gt;&lt;D xsi:type="xsd:double"&gt;31.05&lt;/D&gt;&lt;/FQL&gt;&lt;FQL&gt;&lt;Q&gt;ILMN-US^FG_PRICE(12/30/2015)&lt;/Q&gt;&lt;R&gt;1&lt;/R&gt;&lt;C&gt;1&lt;/C&gt;&lt;D xsi:type="xsd:double"&gt;191.07&lt;/D&gt;&lt;/FQL&gt;&lt;FQL&gt;&lt;Q&gt;ILMN-US^FG_PRICE(12/31/2017)&lt;/Q&gt;&lt;R&gt;1&lt;/R&gt;&lt;C&gt;1&lt;/C&gt;&lt;D xsi:type="xsd:double"&gt;218.49&lt;/D&gt;&lt;/FQL&gt;&lt;FQL&gt;&lt;Q&gt;MYGN-US^FG_PRICE(12/30/2015)&lt;/Q&gt;&lt;R&gt;1&lt;/R&gt;&lt;C&gt;1&lt;/C&gt;&lt;D xsi:type="xsd:double"&gt;43.9&lt;/D&gt;&lt;/FQL&gt;&lt;FQL&gt;&lt;Q&gt;MYGN-US^FG_PRICE(12/31/2017)&lt;/Q&gt;&lt;R&gt;1&lt;/R&gt;&lt;C&gt;1&lt;/C&gt;&lt;D xsi:type="xsd:double"&gt;34.345&lt;/D&gt;&lt;/FQL&gt;&lt;FQL&gt;&lt;Q&gt;XEL-US^FG_PRICE(12/30/2015)&lt;/Q&gt;&lt;R&gt;1&lt;/R&gt;&lt;C&gt;1&lt;/C&gt;&lt;D xsi:type="xsd:double"&gt;36.4&lt;/D&gt;&lt;/FQL&gt;&lt;FQL&gt;&lt;Q&gt;XEL-US^FG_PRICE(12/31/2017)&lt;/Q&gt;&lt;R&gt;1&lt;/R&gt;&lt;C&gt;1&lt;/C&gt;&lt;D xsi:type="xsd:double"&gt;48.11&lt;/D&gt;&lt;/FQL&gt;&lt;FQL&gt;&lt;Q&gt;F-US^FG_PRICE(12/30/2015)&lt;/Q&gt;&lt;R&gt;1&lt;/R&gt;&lt;C&gt;1&lt;/C&gt;&lt;D xsi:type="xsd:double"&gt;14.17&lt;/D&gt;&lt;/FQL&gt;&lt;FQL&gt;&lt;Q&gt;F-US^FG_PRICE(12/31/2017)&lt;/Q&gt;&lt;R&gt;1&lt;/R&gt;&lt;C&gt;1&lt;/C&gt;&lt;D xsi:type="xsd:double"&gt;12.49&lt;/D&gt;&lt;/FQL&gt;&lt;FQL&gt;&lt;Q&gt;BRKR-US^FG_PRICE(12/30/2015)&lt;/Q&gt;&lt;R&gt;1&lt;/R&gt;&lt;C&gt;1&lt;/C&gt;&lt;D xsi:type="xsd:double"&gt;24.96&lt;/D&gt;&lt;/FQL&gt;&lt;FQL&gt;&lt;Q&gt;BRKR-US^FG_PRICE(12/31/2017)&lt;/Q&gt;&lt;R&gt;1&lt;/R&gt;&lt;C&gt;1&lt;/C&gt;&lt;D xsi:type="xsd:double"&gt;34.32&lt;/D&gt;&lt;/FQL&gt;&lt;FQL&gt;&lt;Q&gt;NUS-US^FG_PRICE(12/30/2015)&lt;/Q&gt;&lt;R&gt;1&lt;/R&gt;&lt;C&gt;1&lt;/C&gt;&lt;D xsi:type="xsd:double"&gt;38.5&lt;/D&gt;&lt;/FQL&gt;&lt;FQL&gt;&lt;Q&gt;NUS-US^FG_PRICE(12/31/2017)&lt;/Q&gt;&lt;R&gt;1&lt;/R&gt;&lt;C&gt;1&lt;/C&gt;&lt;D xsi:type="xsd:double"&gt;68.23&lt;/D&gt;&lt;/FQL&gt;&lt;FQL&gt;&lt;Q&gt;NAV-US^FG_PRICE(12/30/2015)&lt;/Q&gt;&lt;R&gt;1&lt;/R&gt;&lt;C&gt;1&lt;/C&gt;&lt;D xsi:type="xsd:double"&gt;8.86&lt;/D&gt;&lt;/FQL&gt;&lt;FQL&gt;&lt;Q&gt;NAV-US^FG_PRICE(12/31/2017)&lt;/Q&gt;&lt;R&gt;1&lt;/R&gt;&lt;C&gt;1&lt;/C&gt;&lt;D xsi:type="xsd:double"&gt;42.88&lt;/D&gt;&lt;/FQL&gt;&lt;FQL&gt;&lt;Q&gt;NOV-US^FG_PRICE(12/30/2015)&lt;/Q&gt;&lt;R&gt;1&lt;/R&gt;&lt;C&gt;1&lt;/C&gt;&lt;D xsi:type="xsd:double"&gt;33.74&lt;/D&gt;&lt;/FQL&gt;&lt;FQL&gt;&lt;Q&gt;NOV-US^FG_PRICE(12/31/2017)&lt;/Q&gt;&lt;R&gt;1&lt;/R&gt;&lt;C&gt;1&lt;/C&gt;&lt;D xsi:type="xsd:double"&gt;36.02&lt;/D&gt;&lt;/FQL&gt;&lt;FQL&gt;&lt;Q&gt;NFG-US^FG_PRICE(12/30/2015)&lt;/Q&gt;&lt;R&gt;1&lt;/R&gt;&lt;C&gt;1&lt;/C&gt;&lt;D xsi:type="xsd:double"&gt;42.26&lt;/D&gt;&lt;/FQL&gt;&lt;FQL&gt;&lt;Q&gt;NFG-US^FG_PRICE(12/31/2017)&lt;/Q&gt;&lt;R&gt;1&lt;/R&gt;&lt;C&gt;1&lt;/C&gt;&lt;D xsi:type="xsd:double"&gt;54.91&lt;/D&gt;&lt;/FQL&gt;&lt;FQL&gt;&lt;Q&gt;NTAP-US^FG_PRICE(12/30/2015)&lt;/Q&gt;&lt;R&gt;1&lt;/R&gt;&lt;C&gt;1&lt;/C&gt;&lt;D xsi:type="xsd:double"&gt;26.87&lt;/D&gt;&lt;/FQL&gt;&lt;FQL&gt;&lt;Q&gt;NTAP-US^FG_PRICE(12/31/2017)&lt;/Q&gt;&lt;R&gt;1&lt;/R&gt;&lt;C&gt;1&lt;/C&gt;&lt;D xsi:type="xsd:double"&gt;55.32&lt;/D&gt;&lt;/FQL&gt;&lt;FQL&gt;&lt;Q&gt;NYT-US^FG_PRICE(12/30/2015)&lt;/Q&gt;&lt;R&gt;1&lt;/R&gt;&lt;C&gt;1&lt;/C&gt;&lt;D xsi:type="xsd:double"&gt;13.6&lt;/D&gt;&lt;/FQL&gt;&lt;FQL&gt;&lt;Q&gt;NYT-US^FG_PRICE(12/31/2017)&lt;/Q&gt;&lt;R&gt;1&lt;/R&gt;&lt;C&gt;1&lt;/C&gt;&lt;D xsi:type="xsd:double"&gt;18.5&lt;/D&gt;&lt;/FQL&gt;&lt;FQL&gt;&lt;Q&gt;NCR-US^FG_PRICE(12/30/2015)&lt;/Q&gt;&lt;R&gt;1&lt;/R&gt;&lt;C&gt;1&lt;/C&gt;&lt;D xsi:type="xsd:double"&gt;24.81&lt;/D&gt;&lt;/FQL&gt;&lt;FQL&gt;&lt;Q&gt;NCR-US^FG_PRICE(12/31/2017)&lt;/Q&gt;&lt;R&gt;1&lt;/R&gt;&lt;C&gt;1&lt;/C&gt;&lt;D xsi:type="xsd:double"&gt;33.99&lt;/D&gt;&lt;/FQL&gt;&lt;FQL&gt;&lt;Q&gt;SHLD-US^FG_PRICE(12/30/2015)&lt;/Q&gt;&lt;R&gt;1&lt;/R&gt;&lt;C&gt;1&lt;/C&gt;&lt;D xsi:type="xsd:double"&gt;20.29&lt;/D&gt;&lt;/FQL&gt;&lt;FQL&gt;&lt;Q&gt;SHLD-US^FG_PRICE(12/31/2017)&lt;/Q&gt;&lt;R&gt;1&lt;/R&gt;&lt;C&gt;1&lt;/C&gt;&lt;D xsi:type="xsd:double"&gt;3.58&lt;/D&gt;&lt;/FQL&gt;&lt;FQL&gt;&lt;Q&gt;NFX-US^FG_PRICE(12/30/2015)&lt;/Q&gt;&lt;R&gt;1&lt;/R&gt;&lt;C&gt;1&lt;/C&gt;&lt;D xsi:type="xsd:double"&gt;31.85&lt;/D&gt;&lt;/FQL&gt;&lt;FQL&gt;&lt;Q&gt;NFX-US^FG_PRICE(12/31/2017)&lt;/Q&gt;&lt;R&gt;1&lt;/R&gt;&lt;C&gt;1&lt;/C&gt;&lt;D xsi:type="xsd:double"&gt;31.53&lt;/D&gt;&lt;/FQL&gt;&lt;FQL&gt;&lt;Q&gt;NWL-US^FG_PRICE(12/30/2015)&lt;/Q&gt;&lt;R&gt;1&lt;/R&gt;&lt;C&gt;1&lt;/C&gt;&lt;D xsi:type="xsd:double"&gt;43.75&lt;/D&gt;&lt;/FQL&gt;&lt;FQL&gt;&lt;Q&gt;NWL-US^FG_PRICE(12/31/2017)&lt;/Q&gt;&lt;R&gt;1&lt;/R&gt;&lt;C&gt;1&lt;/C&gt;&lt;D xsi:type="xsd:double"&gt;30.9&lt;/D&gt;&lt;/FQL&gt;&lt;FQL&gt;&lt;Q&gt;DNB-US^FG_PRICE(12/30/2015)&lt;/Q&gt;&lt;R&gt;1&lt;/R&gt;&lt;C&gt;1&lt;/C&gt;&lt;D xsi:type="xsd:double"&gt;105.8&lt;/D&gt;&lt;/FQL&gt;&lt;FQL&gt;&lt;Q&gt;DNB-US^FG_PRICE(12/31/2017)&lt;/Q&gt;&lt;R&gt;1&lt;/R&gt;&lt;C&gt;1&lt;/C&gt;&lt;D xsi:type="xsd:double"&gt;118.41&lt;/D&gt;&lt;/FQL&gt;&lt;FQL&gt;&lt;Q&gt;NEM-US^FG_PRICE(12/30/2015)&lt;/Q&gt;&lt;R&gt;1&lt;/R&gt;&lt;C&gt;1&lt;/C&gt;&lt;D xsi:type="xsd:double"&gt;17.77&lt;/D&gt;&lt;/FQL&gt;&lt;FQL&gt;&lt;Q&gt;NEM-US^FG_PRICE(12/31/2017)&lt;/Q&gt;&lt;R&gt;1&lt;/R&gt;&lt;C&gt;1&lt;/C&gt;&lt;D xsi:type="xsd:double"&gt;37.52&lt;/D&gt;&lt;/FQL&gt;&lt;FQL&gt;&lt;Q&gt;NVR-US^FG_PRICE(12/30/2015)&lt;/Q&gt;&lt;R&gt;1&lt;/R&gt;&lt;C&gt;1&lt;/C&gt;&lt;D xsi:type="xsd:double"&gt;1649.54&lt;/D&gt;&lt;/FQL&gt;&lt;FQL&gt;&lt;Q&gt;NVR-US^FG_PRICE(12/31/2017)&lt;/Q&gt;&lt;R&gt;1&lt;/R&gt;&lt;C&gt;1&lt;/C&gt;&lt;D xsi:type="xsd:double"&gt;3508.22&lt;/D&gt;&lt;/FQL&gt;&lt;FQL&gt;&lt;Q&gt;NKE-US^FG_PRICE(12/30/2015)&lt;/Q&gt;&lt;R&gt;1&lt;/R&gt;&lt;C&gt;1&lt;/C&gt;&lt;D xsi:type="xsd:double"&gt;63.25&lt;/D&gt;&lt;/FQL&gt;&lt;FQL&gt;&lt;Q&gt;NKE-US^FG_PRICE(12/31/2017)&lt;/Q&gt;&lt;R&gt;1&lt;/R&gt;&lt;C&gt;1&lt;/C&gt;&lt;D xsi:type="xsd:double"&gt;62.55&lt;/D&gt;&lt;/FQL&gt;&lt;FQL&gt;&lt;Q&gt;NBL-US^FG_PRICE(12/30/2015)&lt;/Q&gt;&lt;R&gt;1&lt;/R&gt;&lt;C&gt;1&lt;/C&gt;&lt;D xsi:type="xsd:double"&gt;32.22&lt;/D&gt;&lt;/FQL&gt;&lt;FQL&gt;&lt;Q&gt;NBL-US^FG_PRICE(12/31/2017)&lt;/Q&gt;&lt;R&gt;1&lt;/R&gt;&lt;C&gt;1&lt;/C&gt;&lt;D xsi:type="xsd:double"&gt;29.14&lt;/D&gt;&lt;/FQL&gt;&lt;FQL&gt;&lt;Q&gt;JWN-US^FG_PRICE(12/30/2015)&lt;/Q&gt;&lt;R&gt;1&lt;/R&gt;&lt;C&gt;1&lt;/C&gt;&lt;D xsi:type="xsd:double"&gt;50.31&lt;/D&gt;&lt;/FQL&gt;&lt;FQL&gt;&lt;Q&gt;JWN-US^FG_PRICE(12/31/2017)&lt;/Q&gt;&lt;R&gt;1&lt;/R&gt;&lt;C&gt;1&lt;/C&gt;&lt;D xsi:type="xsd:double"&gt;47.38&lt;/D&gt;&lt;/FQL&gt;&lt;FQL&gt;&lt;Q&gt;NDSN-US^FG_PRICE(12/30/2015)&lt;/Q&gt;&lt;R&gt;1&lt;/R&gt;&lt;C&gt;1&lt;/C&gt;&lt;D xsi:type="xsd:double"&gt;64.57&lt;/D&gt;&lt;/FQL&gt;&lt;FQL&gt;&lt;Q&gt;NDSN-US^FG_PRICE(12/31/2017)&lt;/Q&gt;&lt;R&gt;1&lt;/R&gt;&lt;C&gt;1&lt;/C&gt;&lt;D xsi:type="xsd:double"&gt;146.4&lt;/D&gt;&lt;/FQL&gt;&lt;FQL&gt;&lt;Q&gt;NSC-US^FG_PRICE(12/30/2015)&lt;/Q&gt;&lt;R&gt;1&lt;/R&gt;&lt;C&gt;1&lt;/C&gt;&lt;D xsi:type="xsd:double"&gt;84.86&lt;/D&gt;&lt;/FQL&gt;&lt;FQL&gt;&lt;Q&gt;NSC-US^FG_PRICE(12/31/2017)&lt;/Q&gt;&lt;R&gt;1&lt;/R&gt;&lt;C&gt;1&lt;/C&gt;&lt;D xsi:type="xsd:double"&gt;144.9&lt;/D&gt;&lt;/FQL&gt;&lt;FQL&gt;&lt;Q&gt;NATI-US^FG_PRICE(12/30/2015)&lt;/Q&gt;&lt;R&gt;1&lt;/R&gt;&lt;C&gt;1&lt;/C&gt;&lt;D xsi:type="xsd:double"&gt;29.13&lt;/D&gt;&lt;/FQL&gt;&lt;FQL&gt;&lt;Q&gt;NATI-US^FG_PRICE(12/31/2017)&lt;/Q&gt;&lt;R&gt;1&lt;/R&gt;&lt;C&gt;1&lt;/C&gt;&lt;D xsi:type="xsd:double"&gt;41.63&lt;/D&gt;&lt;/FQL&gt;&lt;FQL&gt;&lt;Q&gt;NI-US^FG_PRICE(12/30/2015)&lt;/Q&gt;&lt;R&gt;1&lt;/R&gt;&lt;C&gt;1&lt;/C&gt;&lt;D xsi:type="xsd:double"&gt;19.82&lt;/D&gt;&lt;/FQL&gt;&lt;FQL&gt;&lt;Q&gt;NI-US^FG_PRICE(12/31/2017)&lt;/Q&gt;&lt;R&gt;1&lt;/R&gt;&lt;C&gt;1&lt;/C&gt;&lt;D xsi:type="xsd:double"&gt;25.67&lt;/D&gt;&lt;/FQL&gt;&lt;FQL&gt;&lt;Q&gt;TPR-US^FG_PRICE(12/30/2015)&lt;/Q&gt;&lt;R&gt;1&lt;/R&gt;&lt;C&gt;1&lt;/C&gt;&lt;D xsi:type="xsd:double"&gt;32.67&lt;/D&gt;&lt;/FQL&gt;&lt;FQL&gt;&lt;Q&gt;TPR-US^FG_PRICE(12/31/2017)&lt;/Q&gt;&lt;R&gt;1&lt;/R&gt;&lt;C&gt;1&lt;/C&gt;&lt;D xsi:type="xsd:double"&gt;44.23&lt;/D&gt;&lt;/FQL&gt;&lt;FQL&gt;&lt;Q&gt;NTRS-US^FG_PRICE(12/30/2015)&lt;/Q&gt;&lt;R&gt;1&lt;/R&gt;&lt;C&gt;1&lt;/C&gt;&lt;D xsi:type="xsd:double"&gt;72.83&lt;/D&gt;&lt;/FQL&gt;&lt;FQL&gt;&lt;Q&gt;NTRS-US^FG_PRICE(12/31/2017)&lt;/Q&gt;&lt;R&gt;1&lt;/R&gt;&lt;C&gt;1&lt;/C&gt;&lt;D xsi:type="xsd:double"&gt;99.89&lt;/D&gt;&lt;/FQL&gt;&lt;FQL&gt;&lt;Q&gt;NOC-US^FG_PRICE(12/30/2015)&lt;/Q&gt;&lt;R&gt;1&lt;/R&gt;&lt;C&gt;1&lt;/C&gt;&lt;D xsi:type="xsd:double"&gt;190.08&lt;/D&gt;&lt;/FQL&gt;&lt;FQL&gt;&lt;Q&gt;NOC-US^FG_PRICE(12/31/2017)&lt;/Q&gt;&lt;R&gt;1&lt;/R&gt;&lt;C&gt;1&lt;/C&gt;&lt;D xsi:type="xsd:double"&gt;306.91&lt;/D&gt;&lt;/FQL&gt;&lt;FQL&gt;&lt;Q&gt;WFC-US^FG_PRICE(12/30/2015)&lt;/Q&gt;&lt;R&gt;1&lt;/R&gt;&lt;C&gt;1&lt;/C&gt;&lt;D xsi:type="xsd:double"&gt;54.89&lt;/D&gt;&lt;/FQL&gt;&lt;FQL&gt;&lt;Q&gt;WFC-US^FG_PRICE(12/31/2017)&lt;/Q&gt;&lt;R&gt;1&lt;/R&gt;&lt;C&gt;1&lt;/C&gt;&lt;D xsi:type="xsd:double"&gt;60.67&lt;/D&gt;&lt;/FQL&gt;&lt;FQL&gt;&lt;Q&gt;NUE-US^FG_PRICE(12/30/2015)&lt;/Q&gt;&lt;R&gt;1&lt;/R&gt;&lt;C&gt;1&lt;/C&gt;&lt;D xsi:type="xsd:double"&gt;40.34&lt;/D&gt;&lt;/FQL&gt;&lt;FQL&gt;&lt;Q&gt;NUE-US^FG_PRICE(12/31/2017)&lt;/Q&gt;&lt;R&gt;1&lt;/R&gt;&lt;C&gt;1&lt;/C&gt;&lt;D xsi:type="xsd:double"&gt;63.58&lt;/D&gt;&lt;/FQL&gt;&lt;FQL&gt;&lt;Q&gt;MON-US^FG_PRICE(12/30/2015)&lt;/Q&gt;&lt;R&gt;1&lt;/R&gt;&lt;C&gt;1&lt;/C&gt;&lt;D xsi:type="xsd:double"&gt;98.89&lt;/D&gt;&lt;/FQL&gt;&lt;FQL&gt;&lt;Q&gt;MON-US^FG_PRICE(12/31/2017)&lt;/Q&gt;&lt;R&gt;1&lt;/R&gt;&lt;C&gt;1&lt;/C&gt;&lt;D xsi:type="xsd:double"&gt;116.78&lt;/D&gt;&lt;/FQL&gt;&lt;FQL&gt;&lt;Q&gt;LNG-US^FG_PRICE(12/30/2015)&lt;/Q&gt;&lt;R&gt;1&lt;/R&gt;&lt;C&gt;1&lt;/C&gt;&lt;D xsi:type="xsd:double"&gt;36.43&lt;/D&gt;&lt;/FQL&gt;&lt;FQL&gt;&lt;Q&gt;LNG-US^FG_PRICE(12/31/2017)&lt;/Q&gt;&lt;R&gt;1&lt;/R&gt;&lt;C&gt;1&lt;/C&gt;&lt;D xsi:type="xsd:double"&gt;53.84&lt;/D&gt;&lt;/FQL&gt;&lt;FQL&gt;&lt;Q&gt;COF-US^FG_PRICE(12/30/2015)&lt;/Q&gt;&lt;R&gt;1&lt;/R&gt;&lt;C&gt;1&lt;/C&gt;&lt;D xsi:type="xsd:double"&gt;73.21&lt;/D&gt;&lt;/FQL&gt;&lt;FQL&gt;&lt;Q&gt;COF-US^FG_PRICE(12/31/2017)&lt;/Q&gt;&lt;R&gt;1&lt;/R&gt;&lt;C&gt;1&lt;/C&gt;&lt;D xsi:type="xsd:double"&gt;99.58&lt;/D&gt;&lt;/FQL&gt;&lt;FQL&gt;&lt;Q&gt;OXY-US^FG_PRICE(12/30/2015)&lt;/Q&gt;&lt;R&gt;1&lt;/R&gt;&lt;C&gt;1&lt;/C&gt;&lt;D xsi:type="xsd:double"&gt;66.9929&lt;/D&gt;&lt;/FQL&gt;&lt;FQL&gt;&lt;Q&gt;OXY-US^FG_PRICE(12/31/2017)&lt;/Q&gt;&lt;R&gt;1&lt;/R&gt;&lt;C&gt;1&lt;/C&gt;&lt;D xsi:type="xsd:double"&gt;73.66&lt;/D&gt;&lt;/FQL&gt;&lt;FQL&gt;&lt;Q&gt;OII-US^FG_PRICE(12/30/2015)&lt;/Q&gt;&lt;R&gt;1&lt;/R&gt;&lt;C&gt;1&lt;/C&gt;&lt;D xsi:type="xsd:double"&gt;37.45&lt;/D&gt;&lt;/FQL&gt;&lt;FQL&gt;&lt;Q&gt;OII-US^FG_PRICE(12/31/2017)&lt;/Q&gt;&lt;R&gt;1&lt;/R&gt;&lt;C&gt;1&lt;/C&gt;&lt;D xsi:type="xsd:double"&gt;21.14&lt;/D&gt;&lt;/FQL&gt;&lt;FQL&gt;&lt;Q&gt;ODP-US^FG_PRICE(12/30/2015)&lt;/Q&gt;&lt;R&gt;1&lt;/R&gt;&lt;C&gt;1&lt;/C&gt;&lt;D xsi:type="xsd:double"&gt;5.55&lt;/D&gt;&lt;/FQL&gt;&lt;FQL&gt;&lt;Q&gt;ODP-US^FG_PRICE(12/31/2017)&lt;/Q&gt;&lt;R&gt;1&lt;/R&gt;&lt;C&gt;1&lt;/C&gt;&lt;D xsi:type="xsd:double"&gt;3.54&lt;/D&gt;&lt;/FQL&gt;&lt;FQL&gt;&lt;Q&gt;OGE-US^FG_PRICE(12/30/2015)&lt;/Q&gt;&lt;R&gt;1&lt;/R&gt;&lt;C&gt;1&lt;/C&gt;&lt;D xsi:type="xsd:double"&gt;26.66&lt;/D&gt;&lt;/FQL&gt;&lt;FQL&gt;&lt;Q&gt;OGE-US^FG_PRICE(12/31/2017)&lt;/Q&gt;&lt;R&gt;1&lt;/R&gt;&lt;C&gt;1&lt;/C&gt;&lt;D xsi:type="xsd:double"&gt;32.91&lt;/D&gt;&lt;/FQL&gt;&lt;FQL&gt;&lt;Q&gt;ORI-US^FG_PRICE(12/30/2015)&lt;/Q&gt;&lt;R&gt;1&lt;/R&gt;&lt;C&gt;1&lt;/C&gt;&lt;D xsi:type="xsd:double"&gt;18.96&lt;/D&gt;&lt;/FQL&gt;&lt;FQL&gt;&lt;Q&gt;ORI-US^FG_PRICE(12/31/2017)&lt;/Q&gt;&lt;R&gt;1&lt;/R&gt;&lt;C&gt;1&lt;/C&gt;&lt;D xsi:type="xsd:double"&gt;21.38&lt;/D&gt;&lt;/FQL&gt;&lt;FQL&gt;&lt;Q&gt;ORCL-US^FG_PRICE(12/30/2015)&lt;/Q&gt;&lt;R&gt;1&lt;/R&gt;&lt;C&gt;1&lt;/C&gt;&lt;D xsi:type="xsd:double"&gt;36.92&lt;/D&gt;&lt;/FQL&gt;&lt;FQL&gt;&lt;Q&gt;ORCL-US^FG_PRICE(12/31/2017)&lt;/Q&gt;&lt;R&gt;1&lt;/R&gt;&lt;C&gt;1&lt;/C&gt;&lt;D xsi:type="xsd:double"&gt;47.28&lt;/D&gt;&lt;/FQL&gt;&lt;FQL&gt;&lt;Q&gt;OI-US^FG_PRICE(12/30/2015)&lt;/Q&gt;&lt;R&gt;1&lt;/R&gt;&lt;C&gt;1&lt;/C&gt;&lt;D xsi:type="xsd:double"&gt;17.52&lt;/D&gt;&lt;/FQL&gt;&lt;FQL&gt;&lt;Q&gt;OI-US^FG_PRICE(12/31/2017)&lt;/Q&gt;&lt;R&gt;1&lt;/R&gt;&lt;C&gt;1&lt;/C&gt;&lt;D xsi:type="xsd:double"&gt;22.17&lt;/D&gt;&lt;/FQL&gt;&lt;FQL&gt;&lt;Q&gt;OSK-US^FG_PRICE(12/30/2015)&lt;/Q&gt;&lt;R&gt;1&lt;/R&gt;&lt;C&gt;1&lt;/C&gt;&lt;D xsi:type="xsd:double"&gt;39.26&lt;/D&gt;&lt;/FQL&gt;&lt;FQL&gt;&lt;Q&gt;OSK-US^FG_PRICE(12/31/2017)&lt;/Q&gt;&lt;R&gt;1&lt;/R&gt;&lt;C&gt;1&lt;/C&gt;&lt;D xsi:type="xsd:double"&gt;90.89&lt;/D&gt;&lt;/FQL&gt;&lt;FQL&gt;&lt;Q&gt;PCAR-US^FG_PRICE(12/30/2015)&lt;/Q&gt;&lt;R&gt;1&lt;/R&gt;&lt;C&gt;1&lt;/C&gt;&lt;D xsi:type="xsd:double"&gt;48.02&lt;/D&gt;&lt;/FQL&gt;&lt;FQL&gt;&lt;Q&gt;PCAR-US^FG_PRICE(12/31/2017)&lt;/Q&gt;&lt;R&gt;1&lt;/R&gt;&lt;C&gt;1&lt;/C&gt;&lt;D xsi:type="xsd:double"&gt;71.08&lt;/D&gt;&lt;/FQL&gt;&lt;FQL&gt;&lt;Q&gt;EXC-US^FG_PRICE(12/30/2015)&lt;/Q&gt;&lt;R&gt;1&lt;/R&gt;&lt;C&gt;1&lt;/C&gt;&lt;D xsi:type="xsd:double"&gt;27.69&lt;/D&gt;&lt;/FQL&gt;&lt;FQL&gt;&lt;Q&gt;EXC-US^FG_PRICE(12/31/2017)&lt;/Q&gt;&lt;R&gt;1&lt;/R&gt;&lt;C&gt;1&lt;/C&gt;&lt;D xsi:type="xsd:double"&gt;39.41&lt;/D&gt;&lt;/FQL&gt;&lt;FQL&gt;&lt;Q&gt;PH-US^FG_PRICE(12/30/2015)&lt;/Q&gt;&lt;R&gt;1&lt;/R&gt;&lt;C&gt;1&lt;/C&gt;&lt;D xsi:type="xsd:double"&gt;98.34&lt;/D&gt;&lt;/FQL&gt;&lt;FQL&gt;&lt;Q&gt;PH-US^FG_PRICE(12/31/2017)&lt;/Q&gt;&lt;R&gt;1&lt;/R&gt;&lt;C&gt;1&lt;/C&gt;&lt;D xsi:type="xsd:double"&gt;199.58&lt;/D&gt;&lt;/FQL&gt;&lt;FQL&gt;&lt;Q&gt;PTEN-US^FG_PRICE(12/30/2015)&lt;/Q&gt;&lt;R&gt;1&lt;/R&gt;&lt;C&gt;1&lt;/C&gt;&lt;D xsi:type="xsd:double"&gt;15.2&lt;/D&gt;&lt;/FQL&gt;&lt;FQL&gt;&lt;Q&gt;PTEN-US^FG_PRICE(12/31/2017)&lt;/Q&gt;&lt;R&gt;1&lt;/R&gt;&lt;C&gt;1&lt;/C&gt;&lt;D xsi:type="xsd:double"&gt;23.01&lt;/D&gt;&lt;/FQL&gt;&lt;FQL&gt;&lt;Q&gt;PDCO-US^FG_PRICE(12/30/2015)&lt;/Q&gt;&lt;R&gt;1&lt;/R&gt;&lt;C&gt;1&lt;/C&gt;&lt;D xsi:type="xsd:double"&gt;45.45&lt;/D&gt;&lt;/FQL&gt;&lt;FQL&gt;&lt;Q&gt;PDCO-US^FG_PRICE(12/31/2017)&lt;/Q&gt;&lt;R&gt;1&lt;/R&gt;&lt;C&gt;1&lt;/C&gt;&lt;D xsi:type="xsd:double"&gt;36.13&lt;/D&gt;&lt;/FQL&gt;&lt;FQL&gt;&lt;Q&gt;PAYX-US^FG_PRICE(12/30/2015)&lt;/Q&gt;&lt;R&gt;1&lt;/R&gt;&lt;C&gt;1&lt;/C&gt;&lt;D xsi:type="xsd:double"&gt;53.78&lt;/D&gt;&lt;/FQL&gt;&lt;FQL&gt;&lt;Q&gt;PAYX-US^FG_PRICE(12/31/2017)&lt;/Q&gt;&lt;R&gt;1&lt;/R&gt;&lt;C&gt;1&lt;/C&gt;&lt;D xsi:type="xsd:double"&gt;68.08&lt;/D&gt;&lt;/FQL&gt;&lt;FQL&gt;&lt;Q&gt;MD-US^FG_PRICE(12/30/2015)&lt;/Q&gt;&lt;R&gt;1&lt;/R&gt;&lt;C&gt;1&lt;/C&gt;&lt;D xsi:type="xsd:double"&gt;72.1&lt;/D&gt;&lt;/FQL&gt;&lt;FQL&gt;&lt;Q&gt;MD-US^FG_PRICE(12/31/2017)&lt;/Q&gt;&lt;R&gt;1&lt;/R&gt;&lt;C&gt;1&lt;/C&gt;&lt;D xsi:type="xsd:double"&gt;53.44&lt;/D&gt;&lt;/FQL&gt;&lt;FQL&gt;&lt;Q&gt;JCP-US^FG_PRICE(12/30/2015)&lt;/Q&gt;&lt;R&gt;1&lt;/R&gt;&lt;C&gt;1&lt;/C&gt;&lt;D xsi:type="xsd:double"&gt;6.77&lt;/D&gt;&lt;/FQL&gt;&lt;FQL&gt;&lt;Q&gt;JCP-US^FG_PRICE(12/31/2017)&lt;/Q&gt;&lt;R&gt;1&lt;/R&gt;&lt;C&gt;1&lt;/C&gt;&lt;D xsi:type="xsd:double"&gt;3.16&lt;/D&gt;&lt;/FQL&gt;&lt;FQL&gt;&lt;Q&gt;PPL-US^FG_PRICE(12/30/2015)&lt;/Q&gt;&lt;R&gt;1&lt;/R&gt;&lt;C&gt;1&lt;/C&gt;&lt;D xsi:type="xsd:double"&gt;34.34&lt;/D&gt;&lt;/FQL&gt;&lt;FQL&gt;&lt;Q&gt;PPL-US^FG_PRICE(12/31/2017)&lt;/Q&gt;&lt;R&gt;1&lt;/R&gt;&lt;C&gt;1&lt;/C&gt;&lt;D xsi:type="xsd:double"&gt;30.95&lt;/D&gt;&lt;/FQL&gt;&lt;FQL&gt;&lt;Q&gt;PEP-US^FG_PRICE(12/30/2015)&lt;/Q&gt;&lt;R&gt;1&lt;/R&gt;&lt;C&gt;1&lt;/C&gt;&lt;D xsi:type="xsd:double"&gt;101.15&lt;/D&gt;&lt;/FQL&gt;&lt;FQL&gt;&lt;Q&gt;PEP-US^FG_PRICE(12/31/2017)&lt;/Q&gt;&lt;R&gt;1&lt;/R&gt;&lt;C&gt;1&lt;/C&gt;&lt;D xsi:type="xsd:double"&gt;119.92&lt;/D&gt;&lt;/FQL&gt;&lt;FQL&gt;&lt;Q&gt;PENN-US^FG_PRICE(12/30/2015)&lt;/Q&gt;&lt;R&gt;1&lt;/R&gt;&lt;C&gt;1&lt;/C&gt;&lt;D xsi:type="xsd:double"&gt;16.23&lt;/D&gt;&lt;/FQL&gt;&lt;FQL&gt;&lt;Q&gt;PENN-US^FG_PRICE(12/31/2017)&lt;/Q&gt;&lt;R&gt;1&lt;/R&gt;&lt;C&gt;1&lt;/C&gt;&lt;D xsi:type="xsd:double"&gt;31.33&lt;/D&gt;&lt;/FQL&gt;&lt;FQL&gt;&lt;Q&gt;PFE-US^FG_PRICE(12/30/2015)&lt;/Q&gt;&lt;R&gt;1&lt;/R&gt;&lt;C&gt;1&lt;/C&gt;&lt;D xsi:type="xsd:double"&gt;32.75&lt;/D&gt;&lt;/FQL&gt;&lt;FQL&gt;&lt;Q&gt;PFE-US^FG_PRICE(12/31/2017)&lt;/Q&gt;&lt;R&gt;1&lt;/R&gt;&lt;C&gt;1&lt;/C&gt;&lt;D xsi:type="xsd:double"&gt;36.22&lt;/D&gt;&lt;/FQL&gt;&lt;FQL&gt;&lt;Q&gt;WTR-US^FG_PRICE(12/30/2015)&lt;/Q&gt;&lt;R&gt;1&lt;/R&gt;&lt;C&gt;1&lt;/C&gt;&lt;D xsi:type="xsd:double"&gt;30.27&lt;/D&gt;&lt;/FQL&gt;&lt;FQL&gt;&lt;Q&gt;WTR-US^FG_PRICE(12/31/2017)&lt;/Q&gt;&lt;R&gt;1&lt;/R&gt;&lt;C&gt;1&lt;/C&gt;&lt;D xsi:type="xsd:double"&gt;39.23&lt;/D&gt;&lt;/FQL&gt;&lt;FQL&gt;&lt;Q&gt;COP-US^FG_PRICE(12/30/2015)&lt;/Q&gt;&lt;R&gt;1&lt;/R&gt;&lt;C&gt;1&lt;/C&gt;&lt;D xsi:type="xsd:double"&gt;46.6&lt;/D&gt;&lt;/FQL&gt;&lt;FQL&gt;&lt;Q&gt;COP-US^FG_PRICE(12/31/2017)&lt;/Q&gt;&lt;R&gt;1&lt;/R&gt;&lt;C&gt;1&lt;/C&gt;&lt;D xsi:type="xsd:double"&gt;54.89&lt;/D&gt;&lt;/FQL&gt;&lt;FQL&gt;&lt;Q&gt;PCG-US^FG_PRICE(12/30/2015)&lt;/Q&gt;&lt;R&gt;1&lt;/R&gt;&lt;C&gt;1&lt;/C&gt;&lt;D xsi:type="xsd:double"&gt;53.92&lt;/D&gt;&lt;/FQL&gt;&lt;FQL&gt;&lt;Q&gt;PCG-US^FG_PRICE(12/31/2017)&lt;/Q&gt;&lt;R&gt;1&lt;/R&gt;&lt;C&gt;1&lt;/C&gt;&lt;D xsi:type="xsd:double"&gt;44.83&lt;/D&gt;&lt;/FQL&gt;&lt;FQL&gt;&lt;Q&gt;PBI-US^FG_PRICE(12/30/2015)&lt;/Q&gt;&lt;R&gt;1&lt;/R&gt;&lt;C&gt;1&lt;/C&gt;&lt;D xsi:type="xsd:double"&gt;20.82&lt;/D&gt;&lt;/FQL&gt;&lt;FQL&gt;&lt;Q&gt;PBI-US^FG_PRICE(12/31/2017)&lt;/Q&gt;&lt;R&gt;1&lt;/R&gt;&lt;C&gt;1&lt;/C&gt;&lt;D xsi:type="xsd:double"&gt;11.18&lt;/D&gt;&lt;/FQL&gt;&lt;FQL&gt;&lt;Q&gt;PXD-US^FG_PRICE(12/30/2015)&lt;/Q&gt;&lt;R&gt;1&lt;/R&gt;&lt;C&gt;1&lt;/C&gt;&lt;D xsi:type="xsd:double"&gt;124.47&lt;/D&gt;&lt;/FQL&gt;&lt;FQL&gt;&lt;Q&gt;PXD-US^FG_PRICE(12/31/2017)&lt;/Q&gt;&lt;R&gt;1&lt;/R&gt;&lt;C&gt;1&lt;/C&gt;&lt;D xsi:type="xsd:double"&gt;172.85&lt;/D&gt;&lt;/FQL&gt;&lt;FQL&gt;&lt;Q&gt;BCO-US^FG_PRICE(12/30/2015)&lt;/Q&gt;&lt;R&gt;1&lt;/R&gt;&lt;C&gt;1&lt;/C&gt;&lt;D xsi:type="xsd:double"&gt;29.74&lt;/D&gt;&lt;/FQL&gt;&lt;FQL&gt;&lt;Q&gt;BCO-US^FG_PRICE(12/31/2017)&lt;/Q&gt;&lt;R&gt;1&lt;/R&gt;&lt;C&gt;1&lt;/C&gt;&lt;D xsi:type="xsd:double"&gt;78.7&lt;/D&gt;&lt;/FQL&gt;&lt;FQL&gt;&lt;Q&gt;PCL-US^FG_PRICE(12/30/2015)&lt;/Q&gt;&lt;R&gt;1&lt;/R&gt;&lt;C&gt;1&lt;/C&gt;&lt;D xsi:type="xsd:double"&gt;48.23&lt;/D&gt;&lt;/FQL&gt;&lt;FQL&gt;&lt;Q&gt;PCL-US^FG_PRICE(12/31/2017)&lt;/Q&gt;&lt;R&gt;0&lt;/R&gt;&lt;C&gt;0&lt;/C&gt;&lt;/FQL&gt;&lt;FQL&gt;&lt;Q&gt;MO-US^FG_PRICE(12/30/2015)&lt;/Q&gt;&lt;R&gt;1&lt;/R&gt;&lt;C&gt;1&lt;/C&gt;&lt;D xsi:type="xsd:double"&gt;58.8&lt;/D&gt;&lt;/FQL&gt;&lt;FQL&gt;&lt;Q&gt;MO-US^FG_PRICE(12/31/2017)&lt;/Q&gt;&lt;R&gt;1&lt;/R&gt;&lt;C&gt;1&lt;/C&gt;&lt;D xsi:type="xsd:double"&gt;71.41&lt;/D&gt;&lt;/FQL&gt;&lt;FQL&gt;&lt;Q&gt;PNC-US^FG_PRICE(12/30/2015)&lt;/Q&gt;&lt;R&gt;1&lt;/R&gt;&lt;C&gt;1&lt;/C&gt;&lt;D xsi:type="xsd:double"&gt;96.1&lt;/D&gt;&lt;/FQL&gt;&lt;FQL&gt;&lt;Q&gt;PNC-US^FG_PRICE(12/31/2017)&lt;/Q&gt;&lt;R&gt;1&lt;/R&gt;&lt;C&gt;1&lt;/C&gt;&lt;D xsi:type="xsd:double"&gt;144.29&lt;/D&gt;&lt;/FQL&gt;&lt;FQL&gt;&lt;Q&gt;BRO-US^FG_PRICE(12/30/2015)&lt;/Q&gt;&lt;R&gt;1&lt;/R&gt;&lt;C&gt;1&lt;/C&gt;&lt;D xsi:type="xsd:double"&gt;16.17&lt;/D&gt;&lt;/FQL&gt;&lt;FQL&gt;&lt;Q&gt;BRO-US^FG_PRICE(12/31/2017)&lt;/Q&gt;&lt;R&gt;1&lt;/R&gt;&lt;C&gt;1&lt;/C&gt;&lt;D xsi:type="xsd:double"&gt;25.73&lt;/D&gt;&lt;/FQL&gt;&lt;FQL&gt;&lt;Q&gt;PII-US^FG_PRICE(12/30/2015)&lt;/Q&gt;&lt;R&gt;1&lt;/R&gt;&lt;C&gt;1&lt;/C&gt;&lt;D xsi:type="xsd:double"&gt;86.31&lt;/D&gt;&lt;/FQL&gt;&lt;FQL&gt;&lt;Q&gt;PII-US^FG_PRICE(12/31/2017)&lt;/Q&gt;&lt;R&gt;1&lt;/R&gt;&lt;C&gt;1&lt;/C&gt;&lt;D xsi:type="xsd:double"&gt;123.99&lt;/D&gt;&lt;/FQL&gt;&lt;FQL&gt;&lt;Q&gt;PLCM-US^FG_PRICE(12/30/2015)&lt;/Q&gt;&lt;R&gt;1&lt;/R&gt;&lt;C&gt;1&lt;/C&gt;&lt;D xsi:type="xsd:double"&gt;12.83&lt;/D&gt;&lt;/FQL&gt;&lt;FQL&gt;&lt;Q&gt;PLCM-US^FG_PRICE(12/31/2017)&lt;/Q&gt;&lt;R&gt;0&lt;/R&gt;&lt;C&gt;0&lt;/C&gt;&lt;/FQL&gt;&lt;FQL&gt;&lt;Q&gt;AET-US^FG_PRICE(12/30/2015)&lt;/Q&gt;&lt;R&gt;1&lt;/R&gt;&lt;C&gt;1&lt;/C&gt;&lt;D xsi:type="xsd:double"&gt;108.93&lt;/D&gt;&lt;/FQL&gt;&lt;FQL&gt;&lt;Q&gt;AET-US^FG_PRICE(12/31/2017)&lt;/Q&gt;&lt;R&gt;1&lt;/R&gt;&lt;C&gt;1&lt;/C&gt;&lt;D xsi:type="xsd:double"&gt;180.39&lt;/D&gt;&lt;/FQL&gt;&lt;FQL&gt;&lt;Q&gt;FLR-US^FG_PRICE(12/30/2015)&lt;/Q&gt;&lt;R&gt;1&lt;/R&gt;&lt;C&gt;1&lt;/C&gt;&lt;D xsi:type="xsd:double"&gt;47.77&lt;/D&gt;&lt;/FQL&gt;&lt;FQL&gt;&lt;Q&gt;FLR-US^FG_PRICE(12/31/2017)&lt;/Q&gt;&lt;R&gt;1&lt;/R&gt;&lt;C&gt;1&lt;/C&gt;&lt;D xsi:type="xsd:double"&gt;51.65&lt;/D&gt;&lt;/FQL&gt;&lt;FQL&gt;&lt;Q&gt;PPG-US^FG_PRICE(12/30/2015)&lt;/Q&gt;&lt;R&gt;1&lt;/R&gt;&lt;C&gt;1&lt;/C&gt;&lt;D xsi:type="xsd:double"&gt;99.77&lt;/D&gt;&lt;/FQL&gt;&lt;FQL&gt;&lt;Q&gt;PPG-US^FG_PRICE(12/31/2017)&lt;/Q&gt;&lt;R&gt;1&lt;/R&gt;&lt;C&gt;1&lt;/C&gt;&lt;D xsi:type="xsd:double"&gt;116.82&lt;/D&gt;&lt;/FQL&gt;&lt;FQL&gt;&lt;Q&gt;IPGP-US^FG_PRICE(12/30/2015)&lt;/Q&gt;&lt;R&gt;1&lt;/R&gt;&lt;C&gt;1&lt;/C&gt;&lt;D xsi:type="xsd:double"&gt;90.36&lt;/D&gt;&lt;/FQL&gt;&lt;FQL&gt;&lt;Q&gt;IPGP-US^FG_PRICE(12/31/2017)&lt;/Q&gt;&lt;R&gt;1&lt;/R&gt;&lt;C&gt;1&lt;/C&gt;&lt;D xsi:type="xsd:double"&gt;214.13&lt;/D&gt;&lt;/FQL&gt;&lt;FQL&gt;&lt;Q&gt;PX-US^FG_PRICE(12/30/2015)&lt;/Q&gt;&lt;R&gt;1&lt;/R&gt;&lt;C&gt;1&lt;/C&gt;&lt;D xsi:type="xsd:double"&gt;103.18&lt;/D&gt;&lt;/FQL&gt;&lt;FQL&gt;&lt;Q&gt;PX-US^FG_PRICE(12/31/2017)&lt;/Q&gt;&lt;R&gt;1&lt;/R&gt;&lt;C&gt;1&lt;/C&gt;&lt;D xsi:type="xsd:double"&gt;154.68&lt;/D&gt;&lt;/FQL&gt;&lt;FQL&gt;&lt;Q&gt;PCP-US^FG_PRICE(12/30/2015)&lt;/Q&gt;&lt;R&gt;1&lt;/R&gt;&lt;C&gt;1&lt;/C&gt;&lt;D xsi:type="xsd:double"&gt;231.96&lt;/D&gt;&lt;/FQL&gt;&lt;FQL&gt;&lt;Q&gt;PCP-US^FG_PRICE(12/31/2017)&lt;/Q&gt;&lt;R&gt;0&lt;/R&gt;&lt;C&gt;0&lt;/C&gt;&lt;/FQL&gt;&lt;FQL&gt;&lt;Q&gt;COST-US^FG_PRICE(12/30/2015)&lt;/Q&gt;&lt;R&gt;1&lt;/R&gt;&lt;C&gt;1&lt;/C&gt;&lt;D xsi:type="xsd:double"&gt;162.71&lt;/D&gt;&lt;/FQL&gt;&lt;FQL&gt;&lt;Q&gt;COST-US^FG_PRICE(12/31/2017)&lt;/Q&gt;&lt;R&gt;1&lt;/R&gt;&lt;C&gt;1&lt;/C&gt;&lt;D xsi:type="xsd:double"&gt;186.12&lt;/D&gt;&lt;/FQL&gt;&lt;FQL&gt;&lt;Q&gt;TROW-US^FG_PRICE(12/30/2015)&lt;/Q&gt;&lt;R&gt;1&lt;/R&gt;&lt;C&gt;1&lt;/C&gt;&lt;D xsi:type="xsd:double"&gt;72.09&lt;/D&gt;&lt;/FQL&gt;&lt;FQL&gt;&lt;Q&gt;TROW-US^FG_PRICE(12/31/2017)&lt;/Q&gt;&lt;R&gt;1&lt;/R&gt;&lt;C&gt;1&lt;/C&gt;&lt;D xsi:type="xsd:double"&gt;104.93&lt;/D&gt;&lt;/FQL&gt;&lt;FQL&gt;&lt;Q&gt;DGX-US^FG_PRICE(12/30/2015)&lt;/Q&gt;&lt;R&gt;1&lt;/R&gt;&lt;C&gt;1&lt;/C&gt;&lt;D xsi:type="xsd:double"&gt;71.74&lt;/D&gt;&lt;/FQL&gt;&lt;FQL&gt;&lt;Q&gt;DGX-US^FG_PRICE(12/31/2017)&lt;/Q&gt;&lt;R&gt;1&lt;/R&gt;&lt;C&gt;1&lt;/C&gt;&lt;D xsi:type="xsd:double"&gt;98.49&lt;/D&gt;&lt;/FQL&gt;&lt;FQL&gt;&lt;Q&gt;PG-US^FG_PRICE(12/30/2015)&lt;/Q&gt;&lt;R&gt;1&lt;/R&gt;&lt;C&gt;1&lt;/C&gt;&lt;D xsi:type="xsd:double"&gt;80.07&lt;/D&gt;&lt;/FQL&gt;&lt;FQL&gt;&lt;Q&gt;PG-US^FG_PRICE(12/31/2017)&lt;/Q&gt;&lt;R&gt;1&lt;/R&gt;&lt;C&gt;1&lt;/C&gt;&lt;D xsi:type="xsd:double"&gt;91.88&lt;/D&gt;&lt;/FQL&gt;&lt;FQL&gt;&lt;Q&gt;PGR-US^FG_PRICE(12/30/2015)&lt;/Q&gt;&lt;R&gt;1&lt;/R&gt;&lt;C&gt;1&lt;/C&gt;&lt;D xsi:type="xsd:double"&gt;32.32&lt;/D&gt;&lt;/FQL&gt;&lt;FQL&gt;&lt;Q&gt;PGR-US^FG_PRICE(12/31/2017)&lt;/Q&gt;&lt;R&gt;1&lt;/R&gt;&lt;C&gt;1&lt;/C&gt;&lt;D xsi:type="xsd:double"&gt;56.32&lt;/D&gt;&lt;/FQL&gt;&lt;FQL&gt;&lt;Q&gt;PEG-US^FG_PRICE(12/30/2015)&lt;/Q&gt;&lt;R&gt;1&lt;/R&gt;&lt;C&gt;1&lt;/C&gt;&lt;D xsi:type="xsd:double"&gt;38.99&lt;/D&gt;&lt;/FQL&gt;&lt;FQL&gt;&lt;Q&gt;PEG-US^FG_PRICE(12/31/2017)&lt;/Q&gt;&lt;R&gt;1&lt;/R&gt;&lt;C&gt;1&lt;/C&gt;&lt;D xsi:type="xsd:double"&gt;51.5&lt;/D&gt;&lt;/FQL&gt;&lt;FQL&gt;&lt;Q&gt;PHM-US^FG_PRICE(12/30/2015)&lt;/Q&gt;&lt;R&gt;1&lt;/R&gt;&lt;C&gt;1&lt;/C&gt;&lt;D xsi:type="xsd:double"&gt;17.98&lt;/D&gt;&lt;/FQL&gt;&lt;FQL&gt;&lt;Q&gt;PHM-US^FG_PRICE(12/31/2017)&lt;/Q&gt;&lt;R&gt;1&lt;/R&gt;&lt;C&gt;1&lt;/C&gt;&lt;D xsi:type="xsd:double"&gt;33.25&lt;/D&gt;&lt;/FQL&gt;&lt;FQL&gt;&lt;Q&gt;MDRX-US^FG_PRICE(12/30/2015)&lt;/Q&gt;&lt;R&gt;1&lt;/R&gt;&lt;C&gt;1&lt;/C&gt;&lt;D xsi:type="xsd:double"&gt;15.42&lt;/D&gt;&lt;/FQL&gt;&lt;FQL&gt;&lt;Q&gt;MDRX-US^FG_PRICE(12/31/2017)&lt;/Q&gt;&lt;R&gt;1&lt;/R&gt;&lt;C&gt;1&lt;/C&gt;&lt;D xsi:type="xsd:double"&gt;14.55&lt;/D&gt;&lt;/FQL&gt;&lt;FQL&gt;&lt;Q&gt;NYCB-US^FG_PRICE(12/30/2015)&lt;/Q&gt;&lt;R&gt;1&lt;/R&gt;&lt;C&gt;1&lt;/C&gt;&lt;D xsi:type="xsd:double"&gt;16.47&lt;/D&gt;&lt;/FQL&gt;&lt;FQL&gt;&lt;Q&gt;NYCB-US^FG_PRICE(12/31/2017)&lt;/Q&gt;&lt;R&gt;1&lt;/R&gt;&lt;C&gt;1&lt;/C&gt;&lt;D xsi:type="xsd:double"&gt;13.02&lt;/D&gt;&lt;/FQL&gt;&lt;FQL&gt;&lt;Q&gt;GPN-US^FG_PRICE(12/30/2015)&lt;/Q&gt;&lt;R&gt;1&lt;/R&gt;&lt;C&gt;1&lt;/C&gt;&lt;D xsi:type="xsd:double"&gt;65.26&lt;/D&gt;&lt;/FQL&gt;&lt;FQL&gt;&lt;Q&gt;GPN-US^FG_PRICE(12/31/2017)&lt;/Q&gt;&lt;R&gt;1&lt;/R&gt;&lt;C&gt;1&lt;/C&gt;&lt;D xsi:type="xsd:double"&gt;100.24&lt;/D&gt;&lt;/FQL&gt;&lt;FQL&gt;&lt;Q&gt;UPLMQ-US^FG_PRICE(12/30/2015)&lt;/Q&gt;&lt;R&gt;1&lt;/R&gt;&lt;C&gt;1&lt;/C&gt;&lt;D xsi:type="xsd:double"&gt;2.44&lt;/D&gt;&lt;/FQL&gt;&lt;FQL&gt;&lt;Q&gt;UPLMQ-US^FG_PRICE(12/31/2017)&lt;/Q&gt;&lt;R&gt;0&lt;/R&gt;&lt;C&gt;0&lt;/C&gt;&lt;/FQL&gt;&lt;FQL&gt;&lt;Q&gt;QCOM-US^FG_PRICE(12/30/2015)&lt;/Q&gt;&lt;R&gt;1&lt;/R&gt;&lt;C&gt;1&lt;/C&gt;&lt;D xsi:type="xsd:double"&gt;50.41&lt;/D&gt;&lt;/FQL&gt;&lt;FQL&gt;&lt;Q&gt;QCOM-US^FG_PRICE(12/31/2017)&lt;/Q&gt;&lt;R&gt;1&lt;/R&gt;&lt;C&gt;1&lt;/C&gt;&lt;D xsi:type="xsd:double"&gt;64.02&lt;/D&gt;&lt;/FQL&gt;&lt;FQL&gt;&lt;Q&gt;QSII-US^FG_PRICE(12/30/2015)&lt;/Q&gt;&lt;R&gt;1&lt;/R&gt;&lt;C&gt;1&lt;/C&gt;&lt;D xsi:type="xsd:double"&gt;16.67&lt;/D&gt;&lt;/FQL&gt;&lt;FQL&gt;&lt;Q&gt;QSII-US^FG_PRICE(12/31/2017)&lt;/Q&gt;&lt;R&gt;1&lt;/R&gt;&lt;C&gt;1&lt;/C&gt;&lt;D xsi:type="xsd:double"&gt;13.58&lt;/D&gt;&lt;/FQL&gt;&lt;FQL&gt;&lt;Q&gt;QLGC-US^FG_PRICE(12/30/2015)&lt;/Q&gt;&lt;R&gt;1&lt;/R&gt;&lt;C&gt;1&lt;/C&gt;&lt;D xsi:type="xsd:double"&gt;12.41&lt;/D&gt;&lt;/FQL&gt;&lt;FQL&gt;&lt;Q&gt;QLGC-US^FG_PRICE(12/31/2017)&lt;/Q&gt;&lt;R&gt;0&lt;/R&gt;&lt;C&gt;0&lt;/C&gt;&lt;/FQL&gt;&lt;FQL&gt;&lt;Q&gt;STR-US^FG_PRICE(12/30/2015)&lt;/Q&gt;&lt;R&gt;1&lt;/R&gt;&lt;C&gt;1&lt;/C&gt;&lt;D xsi:type="xsd:double"&gt;19.86&lt;/D&gt;&lt;/FQL&gt;&lt;FQL&gt;&lt;Q&gt;STR-US^FG_PRICE(12/31/2017)&lt;/Q&gt;&lt;R&gt;0&lt;/R&gt;&lt;C&gt;0&lt;/C&gt;&lt;/FQL&gt;&lt;FQL&gt;&lt;Q&gt;RJF-US^FG_PRICE(12/30/2015)&lt;/Q&gt;&lt;R&gt;1&lt;/R&gt;&lt;C&gt;1&lt;/C&gt;&lt;D xsi:type="xsd:double"&gt;58.44&lt;/D&gt;&lt;/FQL&gt;&lt;FQL&gt;&lt;Q&gt;RJF-US^FG_PRICE(12/31/2017)&lt;/Q&gt;&lt;R&gt;1&lt;/R&gt;&lt;C&gt;1&lt;/C&gt;&lt;D xsi:type="xsd:double"&gt;89.3&lt;/D&gt;&lt;/FQL&gt;&lt;FQL&gt;&lt;Q&gt;RES-US^FG_PRICE(12/30/2015)&lt;/Q&gt;&lt;R&gt;1&lt;/R&gt;&lt;C&gt;1&lt;/C&gt;&lt;D xsi:type="xsd:double"&gt;11.94&lt;/D&gt;&lt;/FQL&gt;&lt;FQL&gt;&lt;Q&gt;RES-US^FG_PRICE(12/31/2017)&lt;/Q&gt;&lt;R&gt;1&lt;/R&gt;&lt;C&gt;1&lt;/C&gt;&lt;D xsi:type="xsd:double"&gt;25.53&lt;/D&gt;&lt;/FQL&gt;&lt;FQL&gt;&lt;Q&gt;RMBS-US^FG_PRICE(12/30/2015)&lt;/Q&gt;&lt;R&gt;1&lt;/R&gt;&lt;C&gt;1&lt;/C&gt;&lt;D xsi:type="xsd:double"&gt;11.87&lt;/D&gt;&lt;/FQL&gt;&lt;FQL&gt;&lt;Q&gt;RMBS-US^FG_PRICE(12/31/2017)&lt;/Q&gt;&lt;R&gt;1&lt;/R&gt;&lt;C&gt;1&lt;/C&gt;&lt;D xsi:type="xsd:double"&gt;14.22&lt;/D&gt;&lt;/FQL&gt;&lt;FQL&gt;&lt;Q&gt;O-US^FG_PRICE(12/30/2015)&lt;/Q&gt;&lt;R&gt;1&lt;/R&gt;&lt;C&gt;1&lt;/C&gt;&lt;D xsi:type="xsd:double"&gt;51.92&lt;/D&gt;&lt;/FQL&gt;&lt;FQL&gt;&lt;Q&gt;O-US^FG_PRICE(12/31/2017)&lt;/Q&gt;&lt;R&gt;1&lt;/R&gt;&lt;C&gt;1&lt;/C&gt;&lt;D xsi:type="xsd:double"&gt;57.02&lt;/D&gt;&lt;/FQL&gt;&lt;FQL&gt;&lt;Q&gt;OIS-US^FG_PRICE(12/30/2015)&lt;/Q&gt;&lt;R&gt;1&lt;/R&gt;&lt;C&gt;1&lt;/C&gt;&lt;D xsi:type="xsd:double"&gt;27.2&lt;/D&gt;&lt;/FQL&gt;&lt;FQL&gt;&lt;Q&gt;OIS-US^FG_PRICE(12/31/2017)&lt;/Q&gt;&lt;R&gt;1&lt;/R&gt;&lt;C&gt;1&lt;/C&gt;&lt;D xsi:type="xsd:double"&gt;28.3&lt;/D&gt;&lt;/FQL&gt;&lt;FQL&gt;&lt;Q&gt;REG-US^FG_PRICE(12/30/2015)&lt;/Q&gt;&lt;R&gt;1&lt;/R&gt;&lt;C&gt;1&lt;/C&gt;&lt;D xsi:type="xsd:double"&gt;68.89&lt;/D&gt;&lt;/FQL&gt;&lt;FQL&gt;&lt;Q&gt;REG-US^FG_PRICE(12/31/2017)&lt;/Q&gt;&lt;R&gt;1&lt;/R&gt;&lt;C&gt;1&lt;/C&gt;&lt;D xsi:type="xsd:double"&gt;69.18&lt;/D&gt;&lt;/FQL&gt;&lt;FQL&gt;&lt;Q&gt;UDR-US^FG_PRICE(12/30/2015)&lt;/Q&gt;&lt;R&gt;1&lt;/R&gt;&lt;C&gt;1&lt;/C&gt;&lt;D xsi:type="xsd:double"&gt;37.76&lt;/D&gt;&lt;/FQL&gt;&lt;FQL&gt;&lt;Q&gt;UDR-US^FG_PRICE(12/31/2017)&lt;</t>
        </r>
      </text>
    </comment>
    <comment ref="A4" authorId="0" shapeId="0">
      <text>
        <r>
          <rPr>
            <b/>
            <sz val="9"/>
            <color indexed="81"/>
            <rFont val="Tahoma"/>
            <charset val="1"/>
          </rPr>
          <t>/Q&gt;&lt;R&gt;1&lt;/R&gt;&lt;C&gt;1&lt;/C&gt;&lt;D xsi:type="xsd:double"&gt;38.52&lt;/D&gt;&lt;/FQL&gt;&lt;FQL&gt;&lt;Q&gt;RS-US^FG_PRICE(12/30/2015)&lt;/Q&gt;&lt;R&gt;1&lt;/R&gt;&lt;C&gt;1&lt;/C&gt;&lt;D xsi:type="xsd:double"&gt;58.44&lt;/D&gt;&lt;/FQL&gt;&lt;FQL&gt;&lt;Q&gt;RS-US^FG_PRICE(12/31/2017)&lt;/Q&gt;&lt;R&gt;1&lt;/R&gt;&lt;C&gt;1&lt;/C&gt;&lt;D xsi:type="xsd:double"&gt;85.79&lt;/D&gt;&lt;/FQL&gt;&lt;FQL&gt;&lt;Q&gt;RBC-US^FG_PRICE(12/30/2015)&lt;/Q&gt;&lt;R&gt;1&lt;/R&gt;&lt;C&gt;1&lt;/C&gt;&lt;D xsi:type="xsd:double"&gt;58.64&lt;/D&gt;&lt;/FQL&gt;&lt;FQL&gt;&lt;Q&gt;RBC-US^FG_PRICE(12/31/2017)&lt;/Q&gt;&lt;R&gt;1&lt;/R&gt;&lt;C&gt;1&lt;/C&gt;&lt;D xsi:type="xsd:double"&gt;76.6&lt;/D&gt;&lt;/FQL&gt;&lt;FQL&gt;&lt;Q&gt;REGN-US^FG_PRICE(12/30/2015)&lt;/Q&gt;&lt;R&gt;1&lt;/R&gt;&lt;C&gt;1&lt;/C&gt;&lt;D xsi:type="xsd:double"&gt;548.19&lt;/D&gt;&lt;/FQL&gt;&lt;FQL&gt;&lt;Q&gt;REGN-US^FG_PRICE(12/31/2017)&lt;/Q&gt;&lt;R&gt;1&lt;/R&gt;&lt;C&gt;1&lt;/C&gt;&lt;D xsi:type="xsd:double"&gt;375.96&lt;/D&gt;&lt;/FQL&gt;&lt;FQL&gt;&lt;Q&gt;RGA-US^FG_PRICE(12/30/2015)&lt;/Q&gt;&lt;R&gt;1&lt;/R&gt;&lt;C&gt;1&lt;/C&gt;&lt;D xsi:type="xsd:double"&gt;86.91&lt;/D&gt;&lt;/FQL&gt;&lt;FQL&gt;&lt;Q&gt;RGA-US^FG_PRICE(12/31/2017)&lt;/Q&gt;&lt;R&gt;1&lt;/R&gt;&lt;C&gt;1&lt;/C&gt;&lt;D xsi:type="xsd:double"&gt;155.93&lt;/D&gt;&lt;/FQL&gt;&lt;FQL&gt;&lt;Q&gt;AN-US^FG_PRICE(12/30/2015)&lt;/Q&gt;&lt;R&gt;1&lt;/R&gt;&lt;C&gt;1&lt;/C&gt;&lt;D xsi:type="xsd:double"&gt;60.28&lt;/D&gt;&lt;/FQL&gt;&lt;FQL&gt;&lt;Q&gt;AN-US^FG_PRICE(12/31/2017)&lt;/Q&gt;&lt;R&gt;1&lt;/R&gt;&lt;C&gt;1&lt;/C&gt;&lt;D xsi:type="xsd:double"&gt;51.33&lt;/D&gt;&lt;/FQL&gt;&lt;FQL&gt;&lt;Q&gt;RMD-US^FG_PRICE(12/30/2015)&lt;/Q&gt;&lt;R&gt;1&lt;/R&gt;&lt;C&gt;1&lt;/C&gt;&lt;D xsi:type="xsd:double"&gt;54.37&lt;/D&gt;&lt;/FQL&gt;&lt;FQL&gt;&lt;Q&gt;RMD-US^FG_PRICE(12/31/2017)&lt;/Q&gt;&lt;R&gt;1&lt;/R&gt;&lt;C&gt;1&lt;/C&gt;&lt;D xsi:type="xsd:double"&gt;84.69&lt;/D&gt;&lt;/FQL&gt;&lt;FQL&gt;&lt;Q&gt;USB-US^FG_PRICE(12/30/2015)&lt;/Q&gt;&lt;R&gt;1&lt;/R&gt;&lt;C&gt;1&lt;/C&gt;&lt;D xsi:type="xsd:double"&gt;43.01&lt;/D&gt;&lt;/FQL&gt;&lt;FQL&gt;&lt;Q&gt;USB-US^FG_PRICE(12/31/2017)&lt;/Q&gt;&lt;R&gt;1&lt;/R&gt;&lt;C&gt;1&lt;/C&gt;&lt;D xsi:type="xsd:double"&gt;53.58&lt;/D&gt;&lt;/FQL&gt;&lt;FQL&gt;&lt;Q&gt;RAD-US^FG_PRICE(12/30/2015)&lt;/Q&gt;&lt;R&gt;1&lt;/R&gt;&lt;C&gt;1&lt;/C&gt;&lt;D xsi:type="xsd:double"&gt;7.84&lt;/D&gt;&lt;/FQL&gt;&lt;FQL&gt;&lt;Q&gt;RAD-US^FG_PRICE(12/31/2017)&lt;/Q&gt;&lt;R&gt;1&lt;/R&gt;&lt;C&gt;1&lt;/C&gt;&lt;D xsi:type="xsd:double"&gt;1.97&lt;/D&gt;&lt;/FQL&gt;&lt;FQL&gt;&lt;Q&gt;FLO-US^FG_PRICE(12/30/2015)&lt;/Q&gt;&lt;R&gt;1&lt;/R&gt;&lt;C&gt;1&lt;/C&gt;&lt;D xsi:type="xsd:double"&gt;21.81&lt;/D&gt;&lt;/FQL&gt;&lt;FQL&gt;&lt;Q&gt;FLO-US^FG_PRICE(12/31/2017)&lt;/Q&gt;&lt;R&gt;1&lt;/R&gt;&lt;C&gt;1&lt;/C&gt;&lt;D xsi:type="xsd:double"&gt;19.31&lt;/D&gt;&lt;/FQL&gt;&lt;FQL&gt;&lt;Q&gt;ROST-US^FG_PRICE(12/30/2015)&lt;/Q&gt;&lt;R&gt;1&lt;/R&gt;&lt;C&gt;1&lt;/C&gt;&lt;D xsi:type="xsd:double"&gt;54.55&lt;/D&gt;&lt;/FQL&gt;&lt;FQL&gt;&lt;Q&gt;ROST-US^FG_PRICE(12/31/2017)&lt;/Q&gt;&lt;R&gt;1&lt;/R&gt;&lt;C&gt;1&lt;/C&gt;&lt;D xsi:type="xsd:double"&gt;80.25&lt;/D&gt;&lt;/FQL&gt;&lt;FQL&gt;&lt;Q&gt;ROL-US^FG_PRICE(12/30/2015)&lt;/Q&gt;&lt;R&gt;1&lt;/R&gt;&lt;C&gt;1&lt;/C&gt;&lt;D xsi:type="xsd:double"&gt;26.7&lt;/D&gt;&lt;/FQL&gt;&lt;FQL&gt;&lt;Q&gt;ROL-US^FG_PRICE(12/31/2017)&lt;/Q&gt;&lt;R&gt;1&lt;/R&gt;&lt;C&gt;1&lt;/C&gt;&lt;D xsi:type="xsd:double"&gt;46.53&lt;/D&gt;&lt;/FQL&gt;&lt;FQL&gt;&lt;Q&gt;ROP-US^FG_PRICE(12/30/2015)&lt;/Q&gt;&lt;R&gt;1&lt;/R&gt;&lt;C&gt;1&lt;/C&gt;&lt;D xsi:type="xsd:double"&gt;190.58&lt;/D&gt;&lt;/FQL&gt;&lt;FQL&gt;&lt;Q&gt;ROP-US^FG_PRICE(12/31/2017)&lt;/Q&gt;&lt;R&gt;1&lt;/R&gt;&lt;C&gt;1&lt;/C&gt;&lt;D xsi:type="xsd:double"&gt;259&lt;/D&gt;&lt;/FQL&gt;&lt;FQL&gt;&lt;Q&gt;ROK-US^FG_PRICE(12/30/2015)&lt;/Q&gt;&lt;R&gt;1&lt;/R&gt;&lt;C&gt;1&lt;/C&gt;&lt;D xsi:type="xsd:double"&gt;103.98&lt;/D&gt;&lt;/FQL&gt;&lt;FQL&gt;&lt;Q&gt;ROK-US^FG_PRICE(12/31/2017)&lt;/Q&gt;&lt;R&gt;1&lt;/R&gt;&lt;C&gt;1&lt;/C&gt;&lt;D xsi:type="xsd:double"&gt;196.35&lt;/D&gt;&lt;/FQL&gt;&lt;FQL&gt;&lt;Q&gt;RCL-US^FG_PRICE(12/30/2015)&lt;/Q&gt;&lt;R&gt;1&lt;/R&gt;&lt;C&gt;1&lt;/C&gt;&lt;D xsi:type="xsd:double"&gt;102.73&lt;/D&gt;&lt;/FQL&gt;&lt;FQL&gt;&lt;Q&gt;RCL-US^FG_PRICE(12/31/2017)&lt;/Q&gt;&lt;R&gt;1&lt;/R&gt;&lt;C&gt;1&lt;/C&gt;&lt;D xsi:type="xsd:double"&gt;119.28&lt;/D&gt;&lt;/FQL&gt;&lt;FQL&gt;&lt;Q&gt;RGLD-US^FG_PRICE(12/30/2015)&lt;/Q&gt;&lt;R&gt;1&lt;/R&gt;&lt;C&gt;1&lt;/C&gt;&lt;D xsi:type="xsd:double"&gt;35.93&lt;/D&gt;&lt;/FQL&gt;&lt;FQL&gt;&lt;Q&gt;RGLD-US^FG_PRICE(12/31/2017)&lt;/Q&gt;&lt;R&gt;1&lt;/R&gt;&lt;C&gt;1&lt;/C&gt;&lt;D xsi:type="xsd:double"&gt;82.12&lt;/D&gt;&lt;/FQL&gt;&lt;FQL&gt;&lt;Q&gt;OFC-US^FG_PRICE(12/30/2015)&lt;/Q&gt;&lt;R&gt;1&lt;/R&gt;&lt;C&gt;1&lt;/C&gt;&lt;D xsi:type="xsd:double"&gt;22.17&lt;/D&gt;&lt;/FQL&gt;&lt;FQL&gt;&lt;Q&gt;OFC-US^FG_PRICE(12/31/2017)&lt;/Q&gt;&lt;R&gt;1&lt;/R&gt;&lt;C&gt;1&lt;/C&gt;&lt;D xsi:type="xsd:double"&gt;29.2&lt;/D&gt;&lt;/FQL&gt;&lt;FQL&gt;&lt;Q&gt;RPM-US^FG_PRICE(12/30/2015)&lt;/Q&gt;&lt;R&gt;1&lt;/R&gt;&lt;C&gt;1&lt;/C&gt;&lt;D xsi:type="xsd:double"&gt;44.44&lt;/D&gt;&lt;/FQL&gt;&lt;FQL&gt;&lt;Q&gt;RPM-US^FG_PRICE(12/31/2017)&lt;/Q&gt;&lt;R&gt;1&lt;/R&gt;&lt;C&gt;1&lt;/C&gt;&lt;D xsi:type="xsd:double"&gt;52.42&lt;/D&gt;&lt;/FQL&gt;&lt;FQL&gt;&lt;Q&gt;RTN-US^FG_PRICE(12/30/2015)&lt;/Q&gt;&lt;R&gt;1&lt;/R&gt;&lt;C&gt;1&lt;/C&gt;&lt;D xsi:type="xsd:double"&gt;125.74&lt;/D&gt;&lt;/FQL&gt;&lt;FQL&gt;&lt;Q&gt;RTN-US^FG_PRICE(12/31/2017)&lt;/Q&gt;&lt;R&gt;1&lt;/R&gt;&lt;C&gt;1&lt;/C&gt;&lt;D xsi:type="xsd:double"&gt;187.85&lt;/D&gt;&lt;/FQL&gt;&lt;FQL&gt;&lt;Q&gt;CXW-US^FG_PRICE(12/30/2015)&lt;/Q&gt;&lt;R&gt;1&lt;/R&gt;&lt;C&gt;1&lt;/C&gt;&lt;D xsi:type="xsd:double"&gt;26.55&lt;/D&gt;&lt;/FQL&gt;&lt;FQL&gt;&lt;Q&gt;CXW-US^FG_PRICE(12/31/2017)&lt;/Q&gt;&lt;R&gt;1&lt;/R&gt;&lt;C&gt;1&lt;/C&gt;&lt;D xsi:type="xsd:double"&gt;22.5&lt;/D&gt;&lt;/FQL&gt;&lt;FQL&gt;&lt;Q&gt;R-US^FG_PRICE(12/30/2015)&lt;/Q&gt;&lt;R&gt;1&lt;/R&gt;&lt;C&gt;1&lt;/C&gt;&lt;D xsi:type="xsd:double"&gt;56.56&lt;/D&gt;&lt;/FQL&gt;&lt;FQL&gt;&lt;Q&gt;R-US^FG_PRICE(12/31/2017)&lt;/Q&gt;&lt;R&gt;1&lt;/R&gt;&lt;C&gt;1&lt;/C&gt;&lt;D xsi:type="xsd:double"&gt;84.17&lt;/D&gt;&lt;/FQL&gt;&lt;FQL&gt;&lt;Q&gt;ADS-US^FG_PRICE(12/30/2015)&lt;/Q&gt;&lt;R&gt;1&lt;/R&gt;&lt;C&gt;1&lt;/C&gt;&lt;D xsi:type="xsd:double"&gt;276.77&lt;/D&gt;&lt;/FQL&gt;&lt;FQL&gt;&lt;Q&gt;ADS-US^FG_PRICE(12/31/2017)&lt;/Q&gt;&lt;R&gt;1&lt;/R&gt;&lt;C&gt;1&lt;/C&gt;&lt;D xsi:type="xsd:double"&gt;253.48&lt;/D&gt;&lt;/FQL&gt;&lt;FQL&gt;&lt;Q&gt;FTI.XX1-US^FG_PRICE(12/30/2015)&lt;/Q&gt;&lt;R&gt;1&lt;/R&gt;&lt;C&gt;1&lt;/C&gt;&lt;D xsi:type="xsd:double"&gt;29.16&lt;/D&gt;&lt;/FQL&gt;&lt;FQL&gt;&lt;Q&gt;FTI.XX1-US^FG_PRICE(12/31/2017)&lt;/Q&gt;&lt;R&gt;0&lt;/R&gt;&lt;C&gt;0&lt;/C&gt;&lt;/FQL&gt;&lt;FQL&gt;&lt;Q&gt;SM-US^FG_PRICE(12/30/2015)&lt;/Q&gt;&lt;R&gt;1&lt;/R&gt;&lt;C&gt;1&lt;/C&gt;&lt;D xsi:type="xsd:double"&gt;18.22&lt;/D&gt;&lt;/FQL&gt;&lt;FQL&gt;&lt;Q&gt;SM-US^FG_PRICE(12/31/2017)&lt;/Q&gt;&lt;R&gt;1&lt;/R&gt;&lt;C&gt;1&lt;/C&gt;&lt;D xsi:type="xsd:double"&gt;22.08&lt;/D&gt;&lt;/FQL&gt;&lt;FQL&gt;&lt;Q&gt;SNDK-US^FG_PRICE(12/30/2015)&lt;/Q&gt;&lt;R&gt;1&lt;/R&gt;&lt;C&gt;1&lt;/C&gt;&lt;D xsi:type="xsd:double"&gt;76.07&lt;/D&gt;&lt;/FQL&gt;&lt;FQL&gt;&lt;Q&gt;SNDK-US^FG_PRICE(12/31/2017)&lt;/Q&gt;&lt;R&gt;0&lt;/R&gt;&lt;C&gt;0&lt;/C&gt;&lt;/FQL&gt;&lt;FQL&gt;&lt;Q&gt;COL-US^FG_PRICE(12/30/2015)&lt;/Q&gt;&lt;R&gt;1&lt;/R&gt;&lt;C&gt;1&lt;/C&gt;&lt;D xsi:type="xsd:double"&gt;93.27&lt;/D&gt;&lt;/FQL&gt;&lt;FQL&gt;&lt;Q&gt;COL-US^FG_PRICE(12/31/2017)&lt;/Q&gt;&lt;R&gt;1&lt;/R&gt;&lt;C&gt;1&lt;/C&gt;&lt;D xsi:type="xsd:double"&gt;135.62&lt;/D&gt;&lt;/FQL&gt;&lt;FQL&gt;&lt;Q&gt;STJ-US^FG_PRICE(12/30/2015)&lt;/Q&gt;&lt;R&gt;1&lt;/R&gt;&lt;C&gt;1&lt;/C&gt;&lt;D xsi:type="xsd:double"&gt;62.22&lt;/D&gt;&lt;/FQL&gt;&lt;FQL&gt;&lt;Q&gt;STJ-US^FG_PRICE(12/31/2017)&lt;/Q&gt;&lt;R&gt;0&lt;/R&gt;&lt;C&gt;0&lt;/C&gt;&lt;/FQL&gt;&lt;FQL&gt;&lt;Q&gt;JOE-US^FG_PRICE(12/30/2015)&lt;/Q&gt;&lt;R&gt;1&lt;/R&gt;&lt;C&gt;1&lt;/C&gt;&lt;D xsi:type="xsd:double"&gt;18.81&lt;/D&gt;&lt;/FQL&gt;&lt;FQL&gt;&lt;Q&gt;JOE-US^FG_PRICE(12/31/2017)&lt;/Q&gt;&lt;R&gt;1&lt;/R&gt;&lt;C&gt;1&lt;/C&gt;&lt;D xsi:type="xsd:double"&gt;18.05&lt;/D&gt;&lt;/FQL&gt;&lt;FQL&gt;&lt;Q&gt;TRV-US^FG_PRICE(12/30/2015)&lt;/Q&gt;&lt;R&gt;1&lt;/R&gt;&lt;C&gt;1&lt;/C&gt;&lt;D xsi:type="xsd:double"&gt;114.29&lt;/D&gt;&lt;/FQL&gt;&lt;FQL&gt;&lt;Q&gt;TRV-US^FG_PRICE(12/31/2017)&lt;/Q&gt;&lt;R&gt;1&lt;/R&gt;&lt;C&gt;1&lt;/C&gt;&lt;D xsi:type="xsd:double"&gt;135.64&lt;/D&gt;&lt;/FQL&gt;&lt;FQL&gt;&lt;Q&gt;FIS-US^FG_PRICE(12/30/2015)&lt;/Q&gt;&lt;R&gt;1&lt;/R&gt;&lt;C&gt;1&lt;/C&gt;&lt;D xsi:type="xsd:double"&gt;60.99&lt;/D&gt;&lt;/FQL&gt;&lt;FQL&gt;&lt;Q&gt;FIS-US^FG_PRICE(12/31/2017)&lt;/Q&gt;&lt;R&gt;1&lt;/R&gt;&lt;C&gt;1&lt;/C&gt;&lt;D xsi:type="xsd:double"&gt;94.09&lt;/D&gt;&lt;/FQL&gt;&lt;FQL&gt;&lt;Q&gt;MRK-US^FG_PRICE(12/30/2015)&lt;/Q&gt;&lt;R&gt;1&lt;/R&gt;&lt;C&gt;1&lt;/C&gt;&lt;D xsi:type="xsd:double"&gt;53.25&lt;/D&gt;&lt;/FQL&gt;&lt;FQL&gt;&lt;Q&gt;MRK-US^FG_PRICE(12/31/2017)&lt;/Q&gt;&lt;R&gt;1&lt;/R&gt;&lt;C&gt;1&lt;/C&gt;&lt;D xsi:type="xsd:double"&gt;56.27&lt;/D&gt;&lt;/FQL&gt;&lt;FQL&gt;&lt;Q&gt;BKNG-US^FG_PRICE(12/30/2015)&lt;/Q&gt;&lt;R&gt;1&lt;/R&gt;&lt;C&gt;1&lt;/C&gt;&lt;D xsi:type="xsd:double"&gt;1289.16&lt;/D&gt;&lt;/FQL&gt;&lt;FQL&gt;&lt;Q&gt;BKNG-US^FG_PRICE(12/31/2017)&lt;/Q&gt;&lt;R&gt;1&lt;/R&gt;&lt;C&gt;1&lt;/C&gt;&lt;D xsi:type="xsd:double"&gt;1737.74&lt;/D&gt;&lt;/FQL&gt;&lt;FQL&gt;&lt;Q&gt;SCHW-US^FG_PRICE(12/30/2015)&lt;/Q&gt;&lt;R&gt;1&lt;/R&gt;&lt;C&gt;1&lt;/C&gt;&lt;D xsi:type="xsd:double"&gt;33.25&lt;/D&gt;&lt;/FQL&gt;&lt;FQL&gt;&lt;Q&gt;SCHW-US^FG_PRICE(12/31/2017)&lt;/Q&gt;&lt;R&gt;1&lt;/R&gt;&lt;C&gt;1&lt;/C&gt;&lt;D xsi:type="xsd:double"&gt;51.37&lt;/D&gt;&lt;/FQL&gt;&lt;FQL&gt;&lt;Q&gt;SMG-US^FG_PRICE(12/30/2015)&lt;/Q&gt;&lt;R&gt;1&lt;/R&gt;&lt;C&gt;1&lt;/C&gt;&lt;D xsi:type="xsd:double"&gt;65.28&lt;/D&gt;&lt;/FQL&gt;&lt;FQL&gt;&lt;Q&gt;SMG-US^FG_PRICE(12/31/2017)&lt;/Q&gt;&lt;R&gt;1&lt;/R&gt;&lt;C&gt;1&lt;/C&gt;&lt;D xsi:type="xsd:double"&gt;106.99&lt;/D&gt;&lt;/FQL&gt;&lt;FQL&gt;&lt;Q&gt;JOY-US^FG_PRICE(12/30/2015)&lt;/Q&gt;&lt;R&gt;1&lt;/R&gt;&lt;C&gt;1&lt;/C&gt;&lt;D xsi:type="xsd:double"&gt;12.8&lt;/D&gt;&lt;/FQL&gt;&lt;FQL&gt;&lt;Q&gt;JOY-US^FG_PRICE(12/31/2017)&lt;/Q&gt;&lt;R&gt;0&lt;/R&gt;&lt;C&gt;0&lt;/C&gt;&lt;/FQL&gt;&lt;FQL&gt;&lt;Q&gt;ZBH-US^FG_PRICE(12/30/2015)&lt;/Q&gt;&lt;R&gt;1&lt;/R&gt;&lt;C&gt;1&lt;/C&gt;&lt;D xsi:type="xsd:double"&gt;102.47&lt;/D&gt;&lt;/FQL&gt;&lt;FQL&gt;&lt;Q&gt;ZBH-US^FG_PRICE(12/31/2017)&lt;/Q&gt;&lt;R&gt;1&lt;/R&gt;&lt;C&gt;1&lt;/C&gt;&lt;D xsi:type="xsd:double"&gt;120.67&lt;/D&gt;&lt;/FQL&gt;&lt;FQL&gt;&lt;Q&gt;SPXC-US^FG_PRICE(12/30/2015)&lt;/Q&gt;&lt;R&gt;1&lt;/R&gt;&lt;C&gt;1&lt;/C&gt;&lt;D xsi:type="xsd:double"&gt;9.44&lt;/D&gt;&lt;/FQL&gt;&lt;FQL&gt;&lt;Q&gt;SPXC-US^FG_PRICE(12/31/2017)&lt;/Q&gt;&lt;R&gt;1&lt;/R&gt;&lt;C&gt;1&lt;/C&gt;&lt;D xsi:type="xsd:double"&gt;31.39&lt;/D&gt;&lt;/FQL&gt;&lt;FQL&gt;&lt;Q&gt;BG-US^FG_PRICE(12/30/2015)&lt;/Q&gt;&lt;R&gt;1&lt;/R&gt;&lt;C&gt;1&lt;/C&gt;&lt;D xsi:type="xsd:double"&gt;68.75&lt;/D&gt;&lt;/FQL&gt;&lt;FQL&gt;&lt;Q&gt;BG-US^FG_PRICE(12/31/2017)&lt;/Q&gt;&lt;R&gt;1&lt;/R&gt;&lt;C&gt;1&lt;/C&gt;&lt;D xsi:type="xsd:double"&gt;67.08&lt;/D&gt;&lt;/FQL&gt;&lt;FQL&gt;&lt;Q&gt;SEIC-US^FG_PRICE(12/30/2015)&lt;/Q&gt;&lt;R&gt;1&lt;/R&gt;&lt;C&gt;1&lt;/C&gt;&lt;D xsi:type="xsd:double"&gt;52.82&lt;/D&gt;&lt;/FQL&gt;&lt;FQL&gt;&lt;Q&gt;SEIC-US^FG_PRICE(12/31/2017)&lt;/Q&gt;&lt;R&gt;1&lt;/R&gt;&lt;C&gt;1&lt;/C&gt;&lt;D xsi:type="xsd:double"&gt;71.86&lt;/D&gt;&lt;/FQL&gt;&lt;FQL&gt;&lt;Q&gt;ABC-US^FG_PRICE(12/30/2015)&lt;/Q&gt;&lt;R&gt;1&lt;/R&gt;&lt;C&gt;1&lt;/C&gt;&lt;D xsi:type="xsd:double"&gt;105.02&lt;/D&gt;&lt;/FQL&gt;&lt;FQL&gt;&lt;Q&gt;ABC-US^FG_PRICE(12/31/2017)&lt;/Q&gt;&lt;R&gt;1&lt;/R&gt;&lt;C&gt;1&lt;/C&gt;&lt;D xsi:type="xsd:double"&gt;91.82&lt;/D&gt;&lt;/FQL&gt;&lt;FQL&gt;&lt;Q&gt;SCI-US^FG_PRICE(12/30/2015)&lt;/Q&gt;&lt;R&gt;1&lt;/R&gt;&lt;C&gt;1&lt;/C&gt;&lt;D xsi:type="xsd:double"&gt;26.24&lt;/D&gt;&lt;/FQL&gt;&lt;FQL&gt;&lt;Q&gt;SCI-US^FG_PRICE(12/31/2017)&lt;/Q&gt;&lt;R&gt;1&lt;/R&gt;&lt;C&gt;1&lt;/C&gt;&lt;D xsi:type="xsd:double"&gt;37.32&lt;/D&gt;&lt;/FQL&gt;&lt;FQL&gt;&lt;Q&gt;CKH-US^FG_PRICE(12/30/2015)&lt;/Q&gt;&lt;R&gt;1&lt;/R&gt;&lt;C&gt;1&lt;/C&gt;&lt;D xsi:type="xsd:double"&gt;32.426346&lt;/D&gt;&lt;/FQL&gt;&lt;FQL&gt;&lt;Q&gt;CKH-US^FG_PRICE(12/31/2017)&lt;/Q&gt;&lt;R&gt;1&lt;/R&gt;&lt;C&gt;1&lt;/C&gt;&lt;D xsi:type="xsd:double"&gt;46.22&lt;/D&gt;&lt;/FQL&gt;&lt;FQL&gt;&lt;Q&gt;PFG-US^FG_PRICE(12/30/2015)&lt;/Q&gt;&lt;R&gt;1&lt;/R&gt;&lt;C&gt;1&lt;/C&gt;&lt;D xsi:type="xsd:double"&gt;45.47&lt;/D&gt;&lt;/FQL&gt;&lt;FQL&gt;&lt;Q&gt;PFG-US^FG_PRICE(12/31/2017)&lt;/Q&gt;&lt;R&gt;1&lt;/R&gt;&lt;C&gt;1&lt;/C&gt;&lt;D xsi:type="xsd:double"&gt;70.56&lt;/D&gt;&lt;/FQL&gt;&lt;FQL&gt;&lt;Q&gt;SHW-US^FG_PRICE(12/30/2015)&lt;/Q&gt;&lt;R&gt;1&lt;/R&gt;&lt;C&gt;1&lt;/C&gt;&lt;D xsi:type="xsd:double"&gt;262.45&lt;/D&gt;&lt;/FQL&gt;&lt;FQL&gt;&lt;Q&gt;SHW-US^FG_PRICE(12/31/2017)&lt;/Q&gt;&lt;R&gt;1&lt;/R&gt;&lt;C&gt;1&lt;/C&gt;&lt;D xsi:type="xsd:double"&gt;410.04&lt;/D&gt;&lt;/FQL&gt;&lt;FQL&gt;&lt;Q&gt;SPN-US^FG_PRICE(12/30/2015)&lt;/Q&gt;&lt;R&gt;1&lt;/R&gt;&lt;C&gt;1&lt;/C&gt;&lt;D xsi:type="xsd:double"&gt;13.39&lt;/D&gt;&lt;/FQL&gt;&lt;FQL&gt;&lt;Q&gt;SPN-US^FG_PRICE(12/31/2017)&lt;/Q&gt;&lt;R&gt;1&lt;/R&gt;&lt;C&gt;1&lt;/C&gt;&lt;D xsi:type="xsd:double"&gt;9.63&lt;/D&gt;&lt;/FQL&gt;&lt;FQL&gt;&lt;Q&gt;CNC-US^FG_PRICE(12/30/2015)&lt;/Q&gt;&lt;R&gt;1&lt;/R&gt;&lt;C&gt;1&lt;/C&gt;&lt;D xsi:type="xsd:double"&gt;66.29&lt;/D&gt;&lt;/FQL&gt;&lt;FQL&gt;&lt;Q&gt;CNC-US^FG_PRICE(12/31/2017)&lt;/Q&gt;&lt;R&gt;1&lt;/R&gt;&lt;C&gt;1&lt;/C&gt;&lt;D xsi:type="xsd:double"&gt;100.88&lt;/D&gt;&lt;/FQL&gt;&lt;FQL&gt;&lt;Q&gt;PMCS-US^FG_PRICE(12/30/2015)&lt;/Q&gt;&lt;R&gt;1&lt;/R&gt;&lt;C&gt;1&lt;/C&gt;&lt;D xsi:type="xsd:double"&gt;11.71&lt;/D&gt;&lt;/FQL&gt;&lt;FQL&gt;&lt;Q&gt;PMCS-US^FG_PRICE(12/31/2017)&lt;/Q&gt;&lt;R&gt;0&lt;/R&gt;&lt;C&gt;0&lt;/C&gt;&lt;/FQL&gt;&lt;FQL&gt;&lt;Q&gt;SLGN-US^FG_PRICE(12/30/2015)&lt;/Q&gt;&lt;R&gt;1&lt;/R&gt;&lt;C&gt;1&lt;/C&gt;&lt;D xsi:type="xsd:double"&gt;27.17&lt;/D&gt;&lt;/FQL&gt;&lt;FQL&gt;&lt;Q&gt;SLGN-US^FG_PRICE(12/31/2017)&lt;/Q&gt;&lt;R&gt;1&lt;/R&gt;&lt;C&gt;1&lt;/C&gt;&lt;D xsi:type="xsd:double"&gt;29.39&lt;/D&gt;&lt;/FQL&gt;&lt;FQL&gt;&lt;Q&gt;SPG-US^FG_PRICE(12/30/2015)&lt;/Q&gt;&lt;R&gt;1&lt;/R&gt;&lt;C&gt;1&lt;/C&gt;&lt;D xsi:type="xsd:double"&gt;195.16&lt;/D&gt;&lt;/FQL&gt;&lt;FQL&gt;&lt;Q&gt;SPG-US^FG_PRICE(12/31/2017)&lt;/Q&gt;&lt;R&gt;1&lt;/R&gt;&lt;C&gt;1&lt;/C&gt;&lt;D xsi:type="xsd:double"&gt;171.74&lt;/D&gt;&lt;/FQL&gt;&lt;FQL&gt;&lt;Q&gt;WTW-US^FG_PRICE(12/30/2015)&lt;/Q&gt;&lt;R&gt;1&lt;/R&gt;&lt;C&gt;1&lt;/C&gt;&lt;D xsi:type="xsd:double"&gt;23.05&lt;/D&gt;&lt;/FQL&gt;&lt;FQL&gt;&lt;Q&gt;WTW-US^FG_PRICE(12/31/2017)&lt;/Q&gt;&lt;R&gt;1&lt;/R&gt;&lt;C&gt;1&lt;/C&gt;&lt;D xsi:type="xsd:double"&gt;44.28&lt;/D&gt;&lt;/FQL&gt;&lt;FQL&gt;&lt;Q&gt;WOOF-US^FG_PRICE(12/30/2015)&lt;/Q&gt;&lt;R&gt;1&lt;/R&gt;&lt;C&gt;1&lt;/C&gt;&lt;D xsi:type="xsd:double"&gt;55.13&lt;/D&gt;&lt;/FQL&gt;&lt;FQL&gt;&lt;Q&gt;WOOF-US^FG_PRICE(12/31/2017)&lt;/Q&gt;&lt;R&gt;0&lt;/R&gt;&lt;C&gt;0&lt;/C&gt;&lt;/FQL&gt;&lt;FQL&gt;&lt;Q&gt;AYI-US^FG_PRICE(12/30/2015)&lt;/Q&gt;&lt;R&gt;1&lt;/R&gt;&lt;C&gt;1&lt;/C&gt;&lt;D xsi:type="xsd:double"&gt;235.93&lt;/D&gt;&lt;/FQL&gt;&lt;FQL&gt;&lt;Q&gt;AYI-US^FG_PRICE(12/31/2017)&lt;/Q&gt;&lt;R&gt;1&lt;/R&gt;&lt;C&gt;1&lt;/C&gt;&lt;D xsi:type="xsd:double"&gt;176&lt;/D&gt;&lt;/FQL&gt;&lt;FQL&gt;&lt;Q&gt;SNA-US^FG_PRICE(12/30/2015)&lt;/Q&gt;&lt;R&gt;1&lt;/R&gt;&lt;C&gt;1&lt;/C&gt;&lt;D xsi:type="xsd:double"&gt;172.42&lt;/D&gt;&lt;/FQL&gt;&lt;FQL&gt;&lt;Q&gt;SNA-US^FG_PRICE(12/31/2017)&lt;/Q&gt;&lt;R&gt;1&lt;/R&gt;&lt;C&gt;1&lt;/C&gt;&lt;D xsi:type="xsd:double"&gt;174.3&lt;/D&gt;&lt;/FQL&gt;&lt;FQL&gt;&lt;Q&gt;PRU-US^FG_PRICE(12/30/2015)&lt;/Q&gt;&lt;R&gt;1&lt;/R&gt;&lt;C&gt;1&lt;/C&gt;&lt;D xsi:type="xsd:double"&gt;82.17&lt;/D&gt;&lt;/FQL&gt;&lt;FQL&gt;&lt;Q&gt;PRU-US^FG_PRICE(12/31/2017)&lt;/Q&gt;&lt;R&gt;1&lt;/R&gt;&lt;C&gt;1&lt;/C&gt;&lt;D xsi:type="xsd:double"&gt;114.98&lt;/D&gt;&lt;/FQL&gt;&lt;FQL&gt;&lt;Q&gt;SCHN-US^FG_PRICE(12/30/2015)&lt;/Q&gt;&lt;R&gt;1&lt;/R&gt;&lt;C&gt;1&lt;/C&gt;&lt;D xsi:type="xsd:double"&gt;14.96&lt;/D&gt;&lt;/FQL&gt;&lt;FQL&gt;&lt;Q&gt;SCHN-US^FG_PRICE(12/31/2017)&lt;/Q&gt;&lt;R&gt;1&lt;/R&gt;&lt;C&gt;1&lt;/C&gt;&lt;D xsi:type="xsd:double"&gt;33.5&lt;/D&gt;&lt;/FQL&gt;&lt;FQL&gt;&lt;Q&gt;SON-US^FG_PRICE(12/30/2015)&lt;/Q&gt;&lt;R&gt;1&lt;/R&gt;&lt;C&gt;1&lt;/C&gt;&lt;D xsi:type="xsd:double"&gt;41.64&lt;/D&gt;&lt;/FQL&gt;&lt;FQL&gt;&lt;Q&gt;SON-US^FG_PRICE(12/31/2017)&lt;/Q&gt;&lt;R&gt;1&lt;/R&gt;&lt;C&gt;1&lt;/C&gt;&lt;D xsi:type="xsd:double"&gt;53.14&lt;/D&gt;&lt;/FQL&gt;&lt;FQL&gt;&lt;Q&gt;AAP-US^FG_PRICE(12/30/2015)&lt;/Q&gt;&lt;R&gt;1&lt;/R&gt;&lt;C&gt;1&lt;/C&gt;&lt;D xsi:type="xsd:double"&gt;151.4&lt;/D&gt;&lt;/FQL&gt;&lt;FQL&gt;&lt;Q&gt;AAP-US^FG_PRICE(12/31/2017)&lt;/Q&gt;&lt;R&gt;1&lt;/R&gt;&lt;C&gt;1&lt;/C&gt;&lt;D xsi:type="xsd:double"&gt;99.69&lt;/D&gt;&lt;/FQL&gt;&lt;FQL&gt;&lt;Q&gt;BID-US^FG_PRICE(12/30/2015)&lt;/Q&gt;&lt;R&gt;1&lt;/R&gt;&lt;C&gt;1&lt;/C&gt;&lt;D xsi:type="xsd:double"&gt;25.9&lt;/D&gt;&lt;/FQL&gt;&lt;FQL&gt;&lt;Q&gt;BID-US^FG_PRICE(12/31/2017)&lt;/Q&gt;&lt;R&gt;1&lt;/R&gt;&lt;C&gt;1&lt;/C&gt;&lt;D xsi:type="xsd:double"&gt;51.6&lt;/D&gt;&lt;/FQL&gt;&lt;FQL&gt;&lt;Q&gt;ALR-US^FG_PRICE(12/30/2015)&lt;/Q&gt;&lt;R&gt;1&lt;/R&gt;&lt;C&gt;1&lt;/C&gt;&lt;D xsi:type="xsd:double"&gt;39.65&lt;/D&gt;&lt;/FQL&gt;&lt;FQL&gt;&lt;Q&gt;ALR-US^FG_PRICE(12/31/2017)&lt;/Q&gt;&lt;R&gt;0&lt;/R&gt;&lt;C&gt;0&lt;/C&gt;&lt;/FQL&gt;&lt;FQL&gt;&lt;Q&gt;SCCO-US^FG_PRICE(12/30/2015)&lt;/Q&gt;&lt;R&gt;1&lt;/R&gt;&lt;C&gt;1&lt;/C&gt;&lt;D xsi:type="xsd:double"&gt;26.34&lt;/D&gt;&lt;/FQL&gt;&lt;FQL&gt;&lt;Q&gt;SCCO-US^FG_PRICE(12/31/2017)&lt;/Q&gt;&lt;R&gt;1&lt;/R&gt;&lt;C&gt;1&lt;/C&gt;&lt;D xsi:type="xsd:double"&gt;47.45&lt;/D&gt;&lt;/FQL&gt;&lt;FQL&gt;&lt;Q&gt;X-US^FG_PRICE(12/30/2015)&lt;/Q&gt;&lt;R&gt;1&lt;/R&gt;&lt;C&gt;1&lt;/C&gt;&lt;D xsi:type="xsd:double"&gt;8.14&lt;/D&gt;&lt;/FQL&gt;&lt;FQL&gt;&lt;Q&gt;X-US^FG_PRICE(12/31/2017)&lt;/Q&gt;&lt;R&gt;1&lt;/R&gt;&lt;C&gt;1&lt;/C&gt;&lt;D xsi:type="xsd:double"&gt;35.19&lt;/D&gt;&lt;/FQL&gt;&lt;FQL&gt;&lt;Q&gt;SWN-US^FG_PRICE(12/30/2015)&lt;/Q&gt;&lt;R&gt;1&lt;/R&gt;&lt;C&gt;1&lt;/C&gt;&lt;D xsi:type="xsd:double"&gt;6.3&lt;/D&gt;&lt;/FQL&gt;&lt;FQL&gt;&lt;Q&gt;SWN-US^FG_PRICE(12/31/2017)&lt;/Q&gt;&lt;R&gt;1&lt;/R&gt;&lt;C&gt;1&lt;/C&gt;&lt;D xsi:type="xsd:double"&gt;5.58&lt;/D&gt;&lt;/FQL&gt;&lt;FQL&gt;&lt;Q&gt;EIX-US^FG_PRICE(12/30/2015)&lt;/Q&gt;&lt;R&gt;1&lt;/R&gt;&lt;C&gt;1&lt;/C&gt;&lt;D xsi:type="xsd:double"&gt;60.3&lt;/D&gt;&lt;/FQL&gt;&lt;FQL&gt;&lt;Q&gt;EIX-US^FG_PRICE(12/31/2017)&lt;/Q&gt;&lt;R&gt;1&lt;/R&gt;&lt;C&gt;1&lt;/C&gt;&lt;D xsi:type="xsd:double"&gt;63.24&lt;/D&gt;&lt;/FQL&gt;&lt;FQL&gt;&lt;Q&gt;SO-US^FG_PRICE(12/30/2015)&lt;/Q&gt;&lt;R&gt;1&lt;/R&gt;&lt;C&gt;1&lt;/C&gt;&lt;D xsi:type="xsd:double"&gt;47.27&lt;/D&gt;&lt;/FQL&gt;&lt;FQL&gt;&lt;Q&gt;SO-US^FG_PRICE(12/31/2017)&lt;/Q&gt;&lt;R&gt;1&lt;/R&gt;&lt;C&gt;1&lt;/C&gt;&lt;D xsi:type="xsd:double"&gt;48.09&lt;/D&gt;&lt;/FQL&gt;&lt;FQL&gt;&lt;Q&gt;BBT-US^FG_PRICE(12/30/2015)&lt;/Q&gt;&lt;R&gt;1&lt;/R&gt;&lt;C&gt;1&lt;/C&gt;&lt;D xsi:type="xsd:double"&gt;38.17&lt;/D&gt;&lt;/FQL&gt;&lt;FQL&gt;&lt;Q&gt;BBT-US^FG_PRICE(12/31/2017)&lt;/Q&gt;&lt;R&gt;1&lt;/R&gt;&lt;C&gt;1&lt;/C&gt;&lt;D xsi:type="xsd:double"&gt;49.72&lt;/D&gt;&lt;/FQL&gt;&lt;FQL&gt;&lt;Q&gt;LUV-US^FG_PRICE(12/30/2015)&lt;/Q&gt;&lt;R&gt;1&lt;/R&gt;&lt;C&gt;1&lt;/C&gt;&lt;D xsi:type="xsd:double"&gt;43.35&lt;/D&gt;&lt;/FQL&gt;&lt;FQL&gt;&lt;Q&gt;LUV-US^FG_PRICE(12/31/2017)&lt;/Q&gt;&lt;R&gt;1&lt;/R&gt;&lt;C&gt;1&lt;/C&gt;&lt;D xsi:type="xsd:double"&gt;65.45&lt;/D&gt;&lt;/FQL&gt;&lt;FQL&gt;&lt;Q&gt;T-US^FG_PRICE(12/30/2015)&lt;/Q&gt;&lt;R&gt;1&lt;/R&gt;&lt;C&gt;1&lt;/C&gt;&lt;D xsi:type="xsd:double"&gt;34.74&lt;/D&gt;&lt;/FQL&gt;&lt;FQL&gt;&lt;Q&gt;T-US^FG_PRICE(12/31/2017)&lt;/Q&gt;&lt;R&gt;1&lt;/R&gt;&lt;C&gt;1&lt;/C&gt;&lt;D xsi:type="xsd:double"&gt;38.88&lt;/D&gt;&lt;/FQL&gt;&lt;FQL&gt;&lt;Q&gt;CVX-US^FG_PRICE(12/30/2015)&lt;/Q&gt;&lt;R&gt;1&lt;/R&gt;&lt;C&gt;1&lt;/C&gt;&lt;D xsi:type="xsd:double"&gt;90.09&lt;/D&gt;&lt;/FQL&gt;&lt;FQL&gt;&lt;Q&gt;CVX-US^FG_PRICE(12/31/2017)&lt;/Q&gt;&lt;R&gt;1&lt;/R&gt;&lt;C&gt;1&lt;/C&gt;&lt;D xsi:type="xsd:double"&gt;125.19&lt;/D&gt;&lt;/FQL&gt;&lt;FQL&gt;&lt;Q&gt;SPLS-US^FG_PRICE(12/30/2015)&lt;/Q&gt;&lt;R&gt;1&lt;/R&gt;&lt;C&gt;1&lt;/C&gt;&lt;D xsi:type="xsd:double"&gt;9.53&lt;/D&gt;&lt;/FQL&gt;&lt;FQL&gt;&lt;Q&gt;SPLS-US^FG_PRICE(12/31/2017)&lt;/Q&gt;&lt;R&gt;0&lt;/R&gt;&lt;C&gt;0&lt;/C&gt;&lt;/FQL&gt;&lt;FQL&gt;&lt;Q&gt;STT-US^FG_PRICE(12/30/2015)&lt;/Q&gt;&lt;R&gt;1&lt;/R&gt;&lt;C&gt;1&lt;/C&gt;&lt;D xsi:type="xsd:double"&gt;66.57&lt;/D&gt;&lt;/FQL&gt;&lt;FQL&gt;&lt;Q&gt;STT-US^FG_PRICE(12/31/2017)&lt;/Q&gt;&lt;R&gt;1&lt;/R&gt;&lt;C&gt;1&lt;/C&gt;&lt;D xsi:type="xsd:double"&gt;97.61&lt;/D&gt;&lt;/FQL&gt;&lt;FQL&gt;&lt;Q&gt;SBUX-US^FG_PRICE(12/30/2015)&lt;/Q&gt;&lt;R&gt;1&lt;/R&gt;&lt;C&gt;1&lt;/C&gt;&lt;D xsi:type="xsd:double"&gt;60.82&lt;/D&gt;&lt;/FQL&gt;&lt;FQL&gt;&lt;Q&gt;SBUX-US^FG_PRICE(12/31/2017)&lt;/Q&gt;&lt;R&gt;1&lt;/R&gt;&lt;C&gt;1&lt;/C&gt;&lt;D xsi:type="xsd:double"&gt;57.43&lt;/D&gt;&lt;/FQL&gt;&lt;FQL&gt;&lt;Q&gt;SF-US^FG_PRICE(12/30/2015)&lt;/Q&gt;&lt;R&gt;1&lt;/R&gt;&lt;C&gt;1&lt;/C&gt;&lt;D xsi:type="xsd:double"&gt;43.29&lt;/D&gt;&lt;/FQL&gt;&lt;FQL&gt;&lt;Q&gt;SF-US^FG_PRICE(12/31/2017)&lt;/Q&gt;&lt;R&gt;1&lt;/R&gt;&lt;C&gt;1&lt;/C&gt;&lt;D xsi:type="xsd:double"&gt;59.56&lt;/D&gt;&lt;/FQL&gt;&lt;FQL&gt;&lt;Q&gt;STLD-US^FG_PRICE(12/30/2015)&lt;/Q&gt;&lt;R&gt;1&lt;/R&gt;&lt;C&gt;1&lt;/C&gt;&lt;D xsi:type="xsd:double"&gt;17.95&lt;/D&gt;&lt;/FQL&gt;&lt;FQL&gt;&lt;Q&gt;STLD-US^FG_PRICE(12/31/2017)&lt;/Q&gt;&lt;R&gt;1&lt;/R&gt;&lt;C&gt;1&lt;/C&gt;&lt;D xsi:type="xsd:double"&gt;43.13&lt;/D&gt;&lt;/FQL&gt;&lt;FQL&gt;&lt;Q&gt;EE-US^FG_PRICE(12/30/2015)&lt;/Q&gt;&lt;R&gt;1&lt;/R&gt;&lt;C&gt;1&lt;/C&gt;&lt;D xsi:type="xsd:double"&gt;39.25&lt;/D&gt;&lt;/FQL&gt;&lt;FQL&gt;&lt;Q&gt;EE-US^FG_PRICE(12/31/2017)&lt;/Q&gt;&lt;R&gt;1&lt;/R&gt;&lt;C&gt;1&lt;/C&gt;&lt;D xsi:type="xsd:double"&gt;55.35&lt;/D&gt;&lt;/FQL&gt;&lt;FQL&gt;&lt;Q&gt;PSA-US^FG_PRICE(12/30/2015)&lt;/Q&gt;&lt;R&gt;1&lt;/R&gt;&lt;C&gt;1&lt;/C&gt;&lt;D xsi:type="xsd:double"&gt;250.46&lt;/D&gt;&lt;/FQL&gt;&lt;FQL&gt;&lt;Q&gt;PSA-US^FG_PRICE(12/31/2017)&lt;/Q&gt;&lt;R&gt;1&lt;/R&gt;&lt;C&gt;1&lt;/C&gt;&lt;D xsi:type="xsd:double"&gt;209&lt;/D&gt;&lt;/FQL&gt;&lt;FQL&gt;&lt;Q&gt;STRA-US^FG_PRICE(12/30/2015)&lt;/Q&gt;&lt;R&gt;1&lt;/R&gt;&lt;C&gt;1&lt;/C&gt;&lt;D xsi:type="xsd:double"&gt;62.2&lt;/D&gt;&lt;/FQL&gt;&lt;FQL&gt;&lt;Q&gt;STRA-US^FG_PRICE(12/31/2017)&lt;/Q&gt;&lt;R&gt;1&lt;/R&gt;&lt;C&gt;1&lt;/C&gt;&lt;D xsi:type="xsd:double"&gt;89.58&lt;/D&gt;&lt;/FQL&gt;&lt;FQL&gt;&lt;Q&gt;SYK-US^FG_PRICE(12/30/2015)&lt;/Q&gt;&lt;R&gt;1&lt;/R&gt;&lt;C&gt;1&lt;/C&gt;&lt;D xsi:type="xsd:double"&gt;94.25&lt;/D&gt;&lt;/FQL&gt;&lt;FQL&gt;&lt;Q&gt;SYK-US^FG_PRICE(12/31/2017)&lt;/Q&gt;&lt;R&gt;1&lt;/R&gt;&lt;C&gt;1&lt;/C&gt;&lt;D xsi:type="xsd:double"&gt;154.84&lt;/D&gt;&lt;/FQL&gt;&lt;FQL&gt;&lt;Q&gt;NFLX-US^FG_PRICE(12/30/2015)&lt;/Q&gt;&lt;R&gt;1&lt;/R&gt;&lt;C&gt;1&lt;/C&gt;&lt;D xsi:type="xsd:double"&gt;116.71&lt;/D&gt;&lt;/FQL&gt;&lt;FQL&gt;&lt;Q&gt;NFLX-US^FG_PRICE(12/31/2017)&lt;/Q&gt;&lt;R&gt;1&lt;/R&gt;&lt;C&gt;1&lt;/C&gt;&lt;D xsi:type="xsd:double"&gt;191.96&lt;/D&gt;&lt;/FQL&gt;&lt;FQL&gt;&lt;Q&gt;SRCL-US^FG_PRICE(12/30/2015)&lt;/Q&gt;&lt;R&gt;1&lt;/R&gt;&lt;C&gt;1&lt;/C&gt;&lt;D xsi:type="xsd:double"&gt;121.78&lt;/D&gt;&lt;/FQL&gt;&lt;FQL&gt;&lt;Q&gt;SRCL-US^FG_PRICE(12/31/2017)&lt;/Q&gt;&lt;R&gt;1&lt;/R&gt;&lt;C&gt;1&lt;/C&gt;&lt;D xsi:type="xsd:double"&gt;67.99&lt;/D&gt;&lt;/FQL&gt;&lt;FQL&gt;&lt;Q&gt;STI-US^FG_PRICE(12/30/2015)&lt;/Q&gt;&lt;R&gt;1&lt;/R&gt;&lt;C&gt;1&lt;/C&gt;&lt;D xsi:type="xsd:double"&gt;43.31&lt;/D&gt;&lt;/FQL&gt;&lt;FQL&gt;&lt;Q&gt;STI-US^FG_PRICE(12/31/2017)&lt;/Q&gt;&lt;R&gt;1&lt;/R&gt;&lt;C&gt;1&lt;/C&gt;&lt;D xsi:type="xsd:double"&gt;64.59&lt;/D&gt;&lt;/FQL&gt;&lt;FQL&gt;&lt;Q&gt;SYMC-US^FG_PRICE(12/30/2015)&lt;/Q&gt;&lt;R&gt;1&lt;/R&gt;&lt;C&gt;1&lt;/C&gt;&lt;D xsi:type="xsd:double"&gt;21.29&lt;/D&gt;&lt;/FQL&gt;&lt;FQL&gt;&lt;Q&gt;SYMC-US^FG_PRICE(12/31/2017)&lt;/Q&gt;&lt;R&gt;1&lt;/R&gt;&lt;C&gt;1&lt;/C&gt;&lt;D xsi:type="xsd:double"&gt;28.06&lt;/D&gt;&lt;/FQL&gt;&lt;FQL&gt;&lt;Q&gt;SSP-US^FG_PRICE(12/30/2015)&lt;/Q&gt;&lt;R&gt;1&lt;/R&gt;&lt;C&gt;1&lt;/C&gt;&lt;D xsi:type="xsd:double"&gt;18.99&lt;/D&gt;&lt;/FQL&gt;&lt;FQL&gt;&lt;Q&gt;SSP-US^FG_PRICE(12/31/2017)&lt;/Q&gt;&lt;R&gt;1&lt;/R&gt;&lt;C&gt;1&lt;/C&gt;&lt;D xsi:type="xsd:double"&gt;15.63&lt;/D&gt;&lt;/FQL&gt;&lt;FQL&gt;&lt;Q&gt;SVU-US^FG_PRICE(12/30/2015)&lt;/Q&gt;&lt;R&gt;1&lt;/R&gt;&lt;C&gt;1&lt;/C&gt;&lt;D xsi:type="xsd:double"&gt;47.39&lt;/D&gt;&lt;/FQL&gt;&lt;FQL&gt;&lt;Q&gt;SVU-US^FG_PRICE(12/31/2017)&lt;/Q&gt;&lt;R&gt;1&lt;/R&gt;&lt;C&gt;1&lt;/C&gt;&lt;D xsi:type="xsd:double"&gt;21.6&lt;/D&gt;&lt;/FQL&gt;&lt;FQL&gt;&lt;Q&gt;RGC-US^FG_PRICE(12/30/2015)&lt;/Q&gt;&lt;R&gt;1&lt;/R&gt;&lt;C&gt;1&lt;/C&gt;&lt;D xsi:type="xsd:double"&gt;18.85&lt;/D&gt;&lt;/FQL&gt;&lt;FQL&gt;&lt;Q&gt;RGC-US^FG_PRICE(12/31/2017)&lt;/Q&gt;&lt;R&gt;1&lt;/R&gt;&lt;C&gt;1&lt;/C&gt;&lt;D xsi:type="xsd:double"&gt;23.01&lt;/D&gt;&lt;/FQL&gt;&lt;FQL&gt;&lt;Q&gt;SNPS-US^FG_PRICE(12/30/2015)&lt;/Q&gt;&lt;R&gt;1&lt;/R&gt;&lt;C&gt;1&lt;/C&gt;&lt;D xsi:type="xsd:double"&gt;46.14&lt;/D&gt;&lt;/FQL&gt;&lt;FQL&gt;&lt;Q&gt;SNPS-US^FG_PRICE(12/31/2017)&lt;/Q&gt;&lt;R&gt;1&lt;/R&gt;&lt;C&gt;1&lt;/C&gt;&lt;D xsi:type="xsd:double"&gt;85.24&lt;/D&gt;&lt;/FQL&gt;&lt;FQL&gt;&lt;Q&gt;SYY-US^FG_PRICE(12/30/2015)&lt;/Q&gt;&lt;R&gt;1&lt;/R&gt;&lt;C&gt;1&lt;/C&gt;&lt;D xsi:type="xsd:double"&gt;41.46&lt;/D&gt;&lt;/FQL&gt;&lt;FQL&gt;&lt;Q&gt;SYY-US^FG_PRICE(12/31/2017)&lt;/Q&gt;&lt;R&gt;1&lt;/R&gt;&lt;C&gt;1&lt;/C&gt;&lt;D xsi:type="xsd:double"&gt;60.73&lt;/D&gt;&lt;/FQL&gt;&lt;FQL&gt;&lt;Q&gt;TCF-US^FG_PRICE(12/30/2015)&lt;/Q&gt;&lt;R&gt;1&lt;/R&gt;&lt;C&gt;1&lt;/C&gt;&lt;D xsi:type="xsd:double"&gt;14.28&lt;/D&gt;&lt;/FQL&gt;&lt;FQL&gt;&lt;Q&gt;TCF-US^FG_PRICE(12/31/2017)&lt;/Q&gt;&lt;R&gt;1&lt;/R&gt;&lt;C&gt;1&lt;/C&gt;&lt;D xsi:type="xsd:double"&gt;20.5&lt;/D&gt;&lt;/FQL&gt;&lt;FQL&gt;&lt;Q&gt;ISRG-US^FG_PRICE(12/30/2015)&lt;/Q&gt;&lt;R&gt;1&lt;/R&gt;&lt;C&gt;1&lt;/C&gt;&lt;D xsi:type="xsd:double"&gt;184.17001&lt;/D&gt;&lt;/FQL&gt;&lt;FQL&gt;&lt;Q&gt;ISRG-US^FG_PRICE(12/31/2017)&lt;/Q&gt;&lt;R&gt;1&lt;/R&gt;&lt;C&gt;1&lt;/C&gt;&lt;D xsi:type="xsd:double"&gt;364.94&lt;/D&gt;&lt;/FQL&gt;&lt;FQL&gt;&lt;Q&gt;TUP-US^FG_PRICE(12/30/2015)&lt;/Q&gt;&lt;R&gt;1&lt;/R&gt;&lt;C&gt;1&lt;/C&gt;&lt;D xsi:type="xsd:double"&gt;55.78&lt;/D&gt;&lt;/FQL&gt;&lt;FQL&gt;&lt;Q&gt;TUP-US^FG_PRICE(12/31/2017)&lt;/Q&gt;&lt;R&gt;1&lt;/R&gt;&lt;C&gt;1&lt;/C&gt;&lt;D xsi:type="xsd:double"&gt;62.7&lt;/D&gt;&lt;/FQL&gt;&lt;FQL&gt;&lt;Q&gt;AROPQ-US^FG_PRICE(12/30/2015)&lt;/Q&gt;&lt;R&gt;1&lt;/R&gt;&lt;C&gt;1&lt;/C&gt;&lt;D xsi:type="xsd:double"&gt;0.27&lt;/D&gt;&lt;/FQL&gt;&lt;FQL&gt;&lt;Q&gt;AROPQ-US^FG_PRICE(12/31/2017)&lt;/Q&gt;&lt;R&gt;1&lt;/R&gt;&lt;C&gt;1&lt;/C&gt;&lt;D xsi:type="xsd:double"&gt;0.005808&lt;/D&gt;&lt;/FQL&gt;&lt;FQL&gt;&lt;Q&gt;TCO-US^FG_PRICE(12/30/2015)&lt;/Q&gt;&lt;R&gt;1&lt;/R&gt;&lt;C&gt;1&lt;/C&gt;&lt;D xsi:type="xsd:double"&gt;77.16&lt;/D&gt;&lt;/FQL&gt;&lt;FQL&gt;&lt;Q&gt;TCO-US^FG_PRICE(12/31/2017)&lt;/Q&gt;&lt;R&gt;1&lt;/R&gt;&lt;C&gt;1&lt;/C&gt;&lt;D xsi:type="xsd:double"&gt;65.43&lt;/D&gt;&lt;/FQL&gt;&lt;FQL&gt;&lt;Q&gt;SKT-US^FG_PRICE(12/30/2015)&lt;/Q&gt;&lt;R&gt;1&lt;/R&gt;&lt;C&gt;1&lt;/C&gt;&lt;D xsi:type="xsd:double"&gt;33.22&lt;/D&gt;&lt;/FQL&gt;&lt;FQL&gt;&lt;Q&gt;SKT-US^FG_PRICE(12/31/2017)&lt;/Q&gt;&lt;R&gt;1&lt;/R&gt;&lt;C&gt;1&lt;/C&gt;&lt;D xsi:type="xsd:double"&gt;26.51&lt;/D&gt;&lt;/FQL&gt;&lt;FQL&gt;&lt;Q&gt;TECD-US^FG_PRICE(12/30/2015)&lt;/Q&gt;&lt;R&gt;1&lt;/R&gt;&lt;C&gt;1&lt;/C&gt;&lt;D xsi:type="xsd:double"&gt;67.83&lt;/D&gt;&lt;/FQL&gt;&lt;FQL&gt;&lt;Q&gt;TECD-US^FG_PRICE(12/31/2017)&lt;/Q&gt;&lt;R&gt;1&lt;/R&gt;&lt;C&gt;1&lt;/C&gt;&lt;D xsi:type="xsd:double"&gt;97.97&lt;/D&gt;&lt;/FQL&gt;&lt;FQL&gt;&lt;Q&gt;TE-US^FG_PRICE(12/30/2015)&lt;/Q&gt;&lt;R&gt;1&lt;/R&gt;&lt;C&gt;1&lt;/C&gt;&lt;D xsi:type="xsd:double"&gt;26.82&lt;/D&gt;&lt;/FQL&gt;&lt;FQL&gt;&lt;Q&gt;TE-US^FG_PRICE(12/31/2017)&lt;/Q&gt;&lt;R&gt;0&lt;/R&gt;&lt;C&gt;0&lt;/C&gt;&lt;/FQL&gt;&lt;FQL&gt;&lt;Q&gt;TFX-US^FG_PRICE(12/30/2015)&lt;/Q&gt;&lt;R&gt;1&lt;/R&gt;&lt;C&gt;1&lt;/C&gt;&lt;D xsi:type="xsd:double"&gt;133.15&lt;/D&gt;&lt;/FQL&gt;&lt;FQL&gt;&lt;Q&gt;TFX-US^FG_PRICE(12/31/2017)&lt;/Q&gt;&lt;R&gt;1&lt;/R&gt;&lt;C&gt;1&lt;/C&gt;&lt;D xsi:type="xsd:double"&gt;248.82&lt;/D&gt;&lt;/FQL&gt;&lt;FQL&gt;&lt;Q&gt;TER-US^FG_PRICE(12/30/2015)&lt;/Q&gt;&lt;R&gt;1&lt;/R&gt;&lt;C&gt;1&lt;/C&gt;&lt;D xsi:type="xsd:double"&gt;21.24&lt;/D&gt;&lt;/FQL&gt;&lt;FQL&gt;&lt;Q&gt;TER-US^FG_PRICE(12/31/2017)&lt;/Q&gt;&lt;R&gt;1&lt;/R&gt;&lt;C&gt;1&lt;/C&gt;&lt;D xsi:type="xsd:double"&gt;41.87&lt;/D&gt;&lt;/FQL&gt;&lt;FQL&gt;&lt;Q&gt;TEX-US^FG_PRICE(12/30/2015)&lt;/Q&gt;&lt;R&gt;1&lt;/R&gt;&lt;C&gt;1&lt;/C&gt;&lt;D xsi:type="xsd:double"&gt;18.98&lt;/D&gt;&lt;/FQL&gt;&lt;FQL&gt;&lt;Q&gt;TEX-US^FG_PRICE(12/31/2017)&lt;/Q&gt;&lt;R&gt;1&lt;/R&gt;&lt;C&gt;1&lt;/C&gt;&lt;D xsi:type="xsd:double"&gt;48.22&lt;/D&gt;&lt;/FQL&gt;&lt;FQL&gt;&lt;Q&gt;ANDV-US^FG_PRICE(12/30/2015)&lt;/Q&gt;&lt;R&gt;1&lt;/R&gt;&lt;C&gt;1&lt;/C&gt;&lt;D xsi:type="xsd:double"&gt;104.28&lt;/D&gt;&lt;/FQL&gt;&lt;FQL&gt;&lt;Q&gt;ANDV-US^FG_PRICE(12/31/2017)&lt;/Q&gt;&lt;R&gt;1&lt;/R&gt;&lt;C&gt;1&lt;/C&gt;&lt;D xsi:type="xsd:double"&gt;114.34&lt;/D&gt;&lt;/FQL&gt;&lt;FQL&gt;&lt;Q&gt;TXN-US^FG_PRICE(12/30/2015)&lt;/Q&gt;&lt;R&gt;1&lt;/R&gt;&lt;C&gt;1&lt;/C&gt;&lt;D xsi:type="xsd:double"&gt;56.16&lt;/D&gt;&lt;/FQL&gt;&lt;FQL&gt;&lt;Q&gt;TXN-US^FG_PRICE(12/31/2017)&lt;/Q&gt;&lt;R&gt;1&lt;/R&gt;&lt;C&gt;1&lt;/C&gt;&lt;D xsi:type="xsd:double"&gt;104.44&lt;/D&gt;&lt;/FQL&gt;&lt;FQL&gt;&lt;Q&gt;TXT-US^FG_PRICE(12/30/2015)&lt;/Q&gt;&lt;R&gt;1&lt;/R&gt;&lt;C&gt;1&lt;/C&gt;&lt;D xsi:type="xsd:double"&gt;42.45&lt;/D&gt;&lt;/FQL&gt;&lt;FQL&gt;&lt;Q&gt;TXT-US^FG_PRICE(12/31/2017)&lt;/Q&gt;&lt;R&gt;1&lt;/R&gt;&lt;C&gt;1&lt;/C&gt;&lt;D xsi:type="xsd:double"&gt;56.59&lt;/D&gt;&lt;/FQL&gt;&lt;FQL&gt;&lt;Q&gt;TMO-US^FG_PRICE(12/30/2015)&lt;/Q&gt;&lt;R&gt;1&lt;/R&gt;&lt;C&gt;1&lt;/C&gt;&lt;D xsi:type="xsd:double"&gt;142.86&lt;/D&gt;&lt;/FQL&gt;&lt;FQL&gt;&lt;Q&gt;TMO-US^FG_PRICE(12/31/2017)&lt;/Q&gt;&lt;R&gt;1&lt;/R&gt;&lt;C&gt;1&lt;/C&gt;&lt;D xsi:type="xsd:double"&gt;189.88&lt;/D&gt;&lt;/FQL&gt;&lt;FQL&gt;&lt;Q&gt;TRI-CA^FG_PRICE(12/30/2015)&lt;/Q&gt;&lt;R&gt;1&lt;/R&gt;&lt;C&gt;1&lt;/C&gt;&lt;D xsi:type="xsd:double"&gt;53.28&lt;/D&gt;&lt;/FQL&gt;&lt;FQL&gt;&lt;Q&gt;TRI-CA^FG_PRICE(12/31/2017)&lt;/Q&gt;&lt;R&gt;1&lt;/R&gt;&lt;C&gt;1&lt;/C&gt;&lt;D xsi:type="xsd:double"&gt;54.79&lt;/D&gt;&lt;/FQL&gt;&lt;FQL&gt;&lt;Q&gt;DDD-US^FG_PRICE(12/30/2015)&lt;/Q&gt;&lt;R&gt;1&lt;/R&gt;&lt;C&gt;1&lt;/C&gt;&lt;D xsi:type="xsd:double"&gt;8.71&lt;/D&gt;&lt;/FQL&gt;&lt;FQL&gt;&lt;Q&gt;DDD-US^FG_PRICE(12/31/2017)&lt;/Q&gt;&lt;R&gt;1&lt;/R&gt;&lt;C&gt;1&lt;/C&gt;&lt;D xsi:type="xsd:double"&gt;8.64&lt;/D&gt;&lt;/FQL&gt;&lt;FQL&gt;&lt;Q&gt;THO-US^FG_PRICE(12/30/2015)&lt;/Q&gt;&lt;R&gt;1&lt;/R&gt;&lt;C&gt;1&lt;/C&gt;&lt;D xsi:type="xsd:double"&gt;57.32&lt;/D&gt;&lt;/FQL&gt;&lt;FQL&gt;&lt;Q&gt;THO-US^FG_PRICE(12/31/2017)&lt;/Q&gt;&lt;R&gt;1&lt;/R&gt;&lt;C&gt;1&lt;/C&gt;&lt;D xsi:type="xsd:double"&gt;150.72&lt;/D&gt;&lt;/FQL&gt;&lt;FQL&gt;&lt;Q&gt;TDW-US^FG_PRICE(12/30/2015)&lt;/Q&gt;&lt;R&gt;1&lt;/R&gt;&lt;C&gt;1&lt;/C&gt;&lt;D xsi:type="xsd:double"&gt;214.24554&lt;/D&gt;&lt;/FQL&gt;&lt;FQL&gt;&lt;Q&gt;TDW-US^FG_PRICE(12/31/2017)&lt;/Q&gt;&lt;R&gt;1&lt;/R&gt;&lt;C&gt;1&lt;/C&gt;&lt;D xsi:type="xsd:double"&gt;24.4&lt;/D&gt;&lt;/FQL&gt;&lt;FQL&gt;&lt;Q&gt;MWW-US^FG_PRICE(12/30/2015)&lt;/Q&gt;&lt;R&gt;1&lt;/R&gt;&lt;C&gt;1&lt;/C&gt;&lt;D xsi:type="xsd:double"&gt;5.89&lt;/D&gt;&lt;/FQL&gt;&lt;FQL&gt;&lt;Q&gt;MWW-US^FG_PRICE(12/31/2017)&lt;/Q&gt;&lt;R&gt;0&lt;/R&gt;&lt;C&gt;0&lt;/C&gt;&lt;/FQL&gt;&lt;FQL&gt;&lt;Q&gt;TIF-US^FG_PRICE(12/30/2015)&lt;/Q&gt;&lt;R&gt;1&lt;/R&gt;&lt;C&gt;1&lt;/C&gt;&lt;D xsi:type="xsd:double"&gt;77.05&lt;/D&gt;&lt;/FQL&gt;&lt;FQL&gt;&lt;Q&gt;TIF-US^FG_PRICE(12/31/2017)&lt;/Q&gt;&lt;R&gt;1&lt;/R&gt;&lt;C&gt;1&lt;/C&gt;&lt;D xsi:type="xsd:double"&gt;103.95&lt;/D&gt;&lt;/FQL&gt;&lt;FQL&gt;&lt;Q&gt;TKR-US^FG_PRICE(12/30/2015)&lt;/Q&gt;&lt;R&gt;1&lt;/R&gt;&lt;C&gt;1&lt;/C&gt;&lt;D xsi:type="xsd:double"&gt;28.66&lt;/D&gt;&lt;/FQL&gt;&lt;FQL&gt;&lt;Q&gt;TKR-US^FG_PRICE(12/31/2017)&lt;/Q&gt;&lt;R&gt;1&lt;/R&gt;&lt;C&gt;1&lt;/C&gt;&lt;D xsi:type="xsd:double"&gt;49.15&lt;/D&gt;&lt;/FQL&gt;&lt;FQL&gt;&lt;Q&gt;TGI-US^FG_PRICE(12/30/2015)&lt;/Q&gt;&lt;R&gt;1&lt;/R&gt;&lt;C&gt;1&lt;/C&gt;&lt;D xsi:type="xsd:double"&gt;39.96&lt;/D&gt;&lt;/FQL&gt;&lt;FQL&gt;&lt;Q&gt;TGI-US^FG_PRICE(12/31/2017)&lt;/Q&gt;&lt;R&gt;1&lt;/R&gt;&lt;C&gt;1&lt;/C&gt;&lt;D xsi:type="xsd:double"&gt;27.2&lt;/D&gt;&lt;/FQL&gt;&lt;FQL&gt;&lt;Q&gt;UNFI-US^FG_PRICE(12/30/2015)&lt;/Q&gt;&lt;R&gt;1&lt;/R&gt;&lt;C&gt;1&lt;/C&gt;&lt;D xsi:type="xsd:double"&gt;39.8&lt;/D&gt;&lt;/FQL&gt;&lt;FQL&gt;&lt;Q&gt;UNFI-US^FG_PRICE(12/31/2017)&lt;/Q&gt;&lt;R&gt;1&lt;/R&gt;&lt;C&gt;1&lt;/C&gt;&lt;D xsi:type="xsd:double"&gt;49.27&lt;/D&gt;&lt;/FQL&gt;&lt;FQL&gt;&lt;Q&gt;TOL-US^FG_PRICE(12/30/2015)&lt;/Q&gt;&lt;R&gt;1&lt;/R&gt;&lt;C&gt;1&lt;/C&gt;&lt;D xsi:type="xsd:double"&gt;33.52&lt;/D&gt;&lt;/FQL&gt;&lt;FQL&gt;&lt;Q&gt;TOL-US^FG_PRICE(12/31/2017)&lt;/Q&gt;&lt;R&gt;1&lt;/R&gt;&lt;C&gt;1&lt;/C&gt;&lt;D xsi:type="xsd:double"&gt;48.02&lt;/D&gt;&lt;/FQL&gt;&lt;FQL&gt;&lt;Q&gt;TMK-US^FG_PRICE(12/30/2015)&lt;/Q&gt;&lt;R&gt;1&lt;/R&gt;&lt;C&gt;1&lt;/C&gt;&lt;D xsi:type="xsd:double"&gt;57.59&lt;/D&gt;&lt;/FQL&gt;&lt;FQL&gt;&lt;Q&gt;TMK-US^FG_PRICE(12/31/2017)&lt;/Q&gt;&lt;R&gt;1&lt;/R&gt;&lt;C&gt;1&lt;/C&gt;&lt;D xsi:type="xsd:double"&gt;90.71&lt;/D&gt;&lt;/FQL&gt;&lt;FQL&gt;&lt;Q&gt;TTC-US^FG_PRICE(12/30/2015)&lt;/Q&gt;&lt;R&gt;1&lt;/R&gt;&lt;C&gt;1&lt;/C&gt;&lt;D xsi:type="xsd:double"&gt;36.945&lt;/D&gt;&lt;/FQL&gt;&lt;FQL&gt;&lt;Q&gt;TTC-US^FG_PRICE(12/31/2017)&lt;/Q&gt;&lt;R&gt;1&lt;/R&gt;&lt;C&gt;1&lt;/C&gt;&lt;D xsi:type="xsd:double"&gt;65.23&lt;/D&gt;&lt;/FQL&gt;&lt;FQL&gt;&lt;Q&gt;TSS-US^FG_PRICE(12/30/2015)&lt;/Q&gt;&lt;R&gt;1&lt;/R&gt;&lt;C&gt;1&lt;/C&gt;&lt;D xsi:type="xsd:double"&gt;50.15&lt;/D&gt;&lt;/FQL&gt;&lt;FQL&gt;&lt;Q&gt;TSS-US^FG_PRICE(12/31/2017)&lt;/Q&gt;&lt;R&gt;1&lt;/R&gt;&lt;C&gt;1&lt;/C&gt;&lt;D xsi:type="xsd:double"&gt;79.09&lt;/D&gt;&lt;/FQL&gt;&lt;FQL&gt;&lt;Q&gt;DVA-US^FG_PRICE(12/30/2015)&lt;/Q&gt;&lt;R&gt;1&lt;/R&gt;&lt;C&gt;1&lt;/C&gt;&lt;D xsi:type="xsd:double"&gt;70.02&lt;/D&gt;&lt;/FQL&gt;&lt;FQL&gt;&lt;Q&gt;DVA-US^FG_PRICE(12/31/2017)&lt;/Q&gt;&lt;R&gt;1&lt;/R&gt;&lt;C&gt;1&lt;/C&gt;&lt;D xsi:type="xsd:double"&gt;72.25&lt;/D&gt;&lt;/FQL&gt;&lt;FQL&gt;&lt;Q&gt;TSCO-US^FG_PRICE(12/30/2015)&lt;/Q&gt;&lt;R&gt;1&lt;/R&gt;&lt;C&gt;1&lt;/C&gt;&lt;D xsi:type="xsd:double"&gt;86.29&lt;/D&gt;&lt;/FQL&gt;&lt;FQL&gt;&lt;Q&gt;TSCO-US^FG_PRICE(12/31/2017)&lt;/Q&gt;&lt;R&gt;1&lt;/R&gt;&lt;C&gt;1&lt;/C&gt;&lt;D xsi:type="xsd:double"&gt;74.75&lt;/D&gt;&lt;/FQL&gt;&lt;FQL&gt;&lt;Q&gt;TRMB-US^FG_PRICE(12/30/2015)&lt;/Q&gt;&lt;R&gt;1&lt;/R&gt;&lt;C&gt;1&lt;/C&gt;&lt;D xsi:type="xsd:double"&gt;21.71&lt;/D&gt;&lt;/FQL&gt;&lt;FQL&gt;&lt;Q&gt;TRMB-US^FG_PRICE(12/31/2017)&lt;/Q&gt;&lt;R&gt;1&lt;/R&gt;&lt;C&gt;1&lt;/C&gt;&lt;D xsi:type="xsd:double"&gt;40.64&lt;/D&gt;&lt;/FQL&gt;&lt;FQL&gt;&lt;Q&gt;TRN-US^FG_PRICE(12/30/2015)&lt;/Q&gt;&lt;R&gt;1&lt;/R&gt;&lt;C&gt;1&lt;/C&gt;&lt;D xsi:type="xsd:double"&gt;24.13&lt;/D&gt;&lt;/FQL&gt;&lt;FQL&gt;&lt;Q&gt;TRN-US^FG_PRICE(12/31/2017)&lt;/Q&gt;&lt;R&gt;1&lt;/R&gt;&lt;C&gt;1&lt;/C&gt;&lt;D xsi:type="xsd:double"&gt;37.46&lt;/D&gt;&lt;/FQL&gt;&lt;FQL&gt;&lt;Q&gt;TSN-US^FG_PRICE(12/30/2015)&lt;/Q&gt;&lt;R&gt;1&lt;/R&gt;&lt;C&gt;1&lt;/C&gt;&lt;D xsi:type="xsd:double"&gt;53.78&lt;/D&gt;&lt;/FQL&gt;&lt;FQL&gt;&lt;Q&gt;TSN-US^FG_PRICE(12/31/2017)&lt;/Q&gt;&lt;R&gt;1&lt;/R&gt;&lt;C&gt;1&lt;/C&gt;&lt;D xsi:type="xsd:double"&gt;81.07&lt;/D&gt;&lt;/FQL&gt;&lt;FQL&gt;&lt;Q&gt;UGI-US^FG_PRICE(12/30/2015)&lt;/Q&gt;&lt;R&gt;1&lt;/R&gt;&lt;C&gt;1&lt;/C&gt;&lt;D xsi:type="xsd:double"&gt;34.26&lt;/D&gt;&lt;/FQL&gt;&lt;FQL&gt;&lt;Q&gt;UGI-US^FG_PRICE(12/31/2017)&lt;/Q&gt;&lt;R&gt;1&lt;/R&gt;&lt;C&gt;1&lt;/C&gt;&lt;D xsi:type="xsd:double"&gt;46.95&lt;/D&gt;&lt;/FQL&gt;&lt;FQL&gt;&lt;Q&gt;USG-US^FG_PRICE(12/30/2015)&lt;/Q&gt;&lt;R&gt;1&lt;/R&gt;&lt;C&gt;1&lt;/C&gt;&lt;D xsi:type="xsd:double"&gt;24.42&lt;/D&gt;&lt;/FQL&gt;&lt;FQL&gt;&lt;Q&gt;USG-US^FG_PRICE(12/31/2017)&lt;/Q&gt;&lt;R&gt;1&lt;/R&gt;&lt;C&gt;1&lt;/C&gt;&lt;D xsi:type="xsd:double"&gt;38.56&lt;/D&gt;&lt;/FQL&gt;&lt;FQL&gt;&lt;Q&gt;MRO-US^FG_PRICE(12/30/2015)&lt;/Q&gt;&lt;R&gt;1&lt;/R&gt;&lt;C&gt;1&lt;/C&gt;&lt;D xsi:type="xsd:double"&gt;12.38&lt;/D&gt;&lt;/FQL&gt;&lt;FQL&gt;&lt;Q&gt;MRO-US^FG_PRICE(12/31/2017)&lt;/Q&gt;&lt;R&gt;1&lt;/R&gt;&lt;C&gt;1&lt;/C&gt;&lt;D xsi:type="xsd:double"&gt;16.93&lt;/D&gt;&lt;/FQL&gt;&lt;FQL&gt;&lt;Q&gt;UNP-US^FG_PRICE(12/30/2015)&lt;/Q&gt;&lt;R&gt;1&lt;/R&gt;&lt;C&gt;1&lt;/C&gt;&lt;D xsi:type="xsd:double"&gt;78.51&lt;/D&gt;&lt;/FQL&gt;&lt;FQL&gt;&lt;Q&gt;UNP-US^FG_PRICE(12/31/2017)&lt;/Q&gt;&lt;R&gt;1&lt;/R&gt;&lt;C&gt;1&lt;/C&gt;&lt;D xsi:type="xsd:double"&gt;134.1&lt;/D&gt;&lt;/FQL&gt;&lt;FQL&gt;&lt;Q&gt;UTX-US^FG_PRICE(12/30/2015)&lt;/Q&gt;&lt;R&gt;1&lt;/R&gt;&lt;C&gt;1&lt;/C&gt;&lt;D xsi:type="xsd:double"&gt;96.9&lt;/D&gt;&lt;/FQL&gt;&lt;FQL&gt;&lt;Q&gt;UTX-US^FG_PRICE(12/31/2017)&lt;/Q&gt;&lt;R&gt;1&lt;/R&gt;&lt;C&gt;1&lt;/C&gt;&lt;D xsi:type="xsd:double"&gt;127.57&lt;/D&gt;&lt;/FQL&gt;&lt;FQL&gt;&lt;Q&gt;UNH-US^FG_PRICE(12/30/2015)&lt;/Q&gt;&lt;R&gt;1&lt;/R&gt;&lt;C&gt;1&lt;/C&gt;&lt;D xsi:type="xsd:double"&gt;118.92&lt;/D&gt;&lt;/FQL&gt;&lt;FQL&gt;&lt;Q&gt;UNH-US^FG_PRICE(12/31/2017)&lt;/Q&gt;&lt;R&gt;1&lt;/R&gt;&lt;C&gt;1&lt;/C&gt;&lt;D xsi:type="xsd:double"&gt;220.46&lt;/D&gt;&lt;/FQL&gt;&lt;FQL&gt;&lt;Q&gt;USM-US^FG_PRICE(12/30/2015)&lt;/Q&gt;&lt;R&gt;1&lt;/R&gt;&lt;C&gt;1&lt;/C&gt;&lt;D xsi:type="xsd:double"&gt;40.94&lt;/D&gt;&lt;/FQL&gt;&lt;FQL&gt;&lt;Q&gt;USM-US^FG_PRICE(12/31/2017)&lt;/Q&gt;&lt;R&gt;1&lt;/R&gt;&lt;C&gt;1&lt;/C&gt;&lt;D xsi:type="xsd:double"&gt;37.63&lt;/D&gt;&lt;/FQL&gt;&lt;FQL&gt;&lt;Q&gt;SGMS-US^FG_PRICE(12/30/2015)&lt;/Q&gt;&lt;R&gt;1&lt;/R&gt;&lt;C&gt;1&lt;/C&gt;&lt;D xsi:type="xsd:double"&gt;8.88&lt;/D&gt;&lt;/FQL&gt;&lt;FQL&gt;&lt;Q&gt;SGMS-US^FG_PRICE(12/31/2017)&lt;/Q&gt;&lt;R&gt;1&lt;/R&gt;&lt;C&gt;1&lt;/C&gt;&lt;D xsi:type="xsd:double"&gt;51.3&lt;/D&gt;&lt;/FQL&gt;&lt;FQL&gt;&lt;Q&gt;UHS-US^FG_PRICE(12/30/2015)&lt;/Q&gt;&lt;R&gt;1&lt;/R&gt;&lt;C&gt;1&lt;/C&gt;&lt;D xsi:type="xsd:double"&gt;120.02&lt;/D&gt;&lt;/FQL&gt;&lt;FQL&gt;&lt;Q&gt;UHS-US^FG_PRICE(12/31/2017)&lt;/Q&gt;&lt;R&gt;1&lt;/R&gt;&lt;C&gt;1&lt;/C&gt;&lt;D xsi:type="xsd:double"&gt;113.35&lt;/D&gt;&lt;/FQL&gt;&lt;FQL&gt;&lt;Q&gt;UNT-US^FG_PRICE(12/30/2015)&lt;/Q&gt;&lt;R&gt;1&lt;/R&gt;&lt;C&gt;1&lt;/C&gt;&lt;D xsi:type="xsd:double"&gt;11.95&lt;/D&gt;&lt;/FQL&gt;&lt;FQL&gt;&lt;Q&gt;UNT-US^FG_PRICE(12/31/2017)&lt;/Q&gt;&lt;R&gt;1&lt;/R&gt;&lt;C&gt;1&lt;/C&gt;&lt;D xsi:type="xsd:double"&gt;22&lt;/D&gt;&lt;/FQL&gt;&lt;FQL&gt;&lt;Q&gt;VHI-US^FG_PRICE(12/30/2015)&lt;/Q&gt;&lt;R&gt;1&lt;/R&gt;&lt;C&gt;1&lt;/C&gt;&lt;D xsi:type="xsd:double"&gt;1.21&lt;/D&gt;&lt;/FQL&gt;&lt;FQL&gt;&lt;Q&gt;VHI-US^FG_PRICE(12/31/2017)&lt;/Q&gt;&lt;R&gt;1&lt;/R&gt;&lt;C&gt;1&lt;/C&gt;&lt;D xsi:type="xsd:double"&gt;6.17&lt;/D&gt;&lt;/FQL&gt;&lt;FQL&gt;&lt;Q&gt;VAL-US^FG_PRICE(12/30/2015)&lt;/Q&gt;&lt;R&gt;1&lt;/R&gt;&lt;C&gt;1&lt;/C&gt;&lt;D xsi:type="xsd:double"&gt;83.52&lt;/D&gt;&lt;/FQL&gt;&lt;FQL&gt;&lt;Q&gt;VAL-US^FG_PRICE(12/31/2017)&lt;/Q&gt;&lt;R&gt;0&lt;/R&gt;&lt;C&gt;0&lt;/C&gt;&lt;/FQL&gt;&lt;FQL&gt;&lt;Q&gt;VMI-US^FG_PRICE(12/30/2015)&lt;/Q&gt;&lt;R&gt;1&lt;/R&gt;&lt;C&gt;1&lt;/C&gt;&lt;D xsi:type="xsd:double"&gt;106.38&lt;/D&gt;&lt;/FQL&gt;&lt;FQL&gt;&lt;Q&gt;VMI-US^FG_PRICE(12/31/2017)&lt;/Q&gt;&lt;R&gt;1&lt;/R&gt;&lt;C&gt;1&lt;/C&gt;&lt;D xsi:type="xsd:double"&gt;165.85&lt;/D&gt;&lt;/FQL&gt;&lt;FQL&gt;&lt;Q&gt;VAR-US^FG_PRICE(12/30/2015)&lt;/Q&gt;&lt;R&gt;1&lt;/R&gt;&lt;C&gt;1&lt;/C&gt;&lt;D xsi:type="xsd:double"&gt;72.03872&lt;/D&gt;&lt;/FQL&gt;&lt;FQL&gt;&lt;Q&gt;VAR-US^FG_PRICE(12/31/2017)&lt;/Q&gt;&lt;R&gt;1&lt;/R&gt;&lt;C&gt;1&lt;/C&gt;&lt;D xsi:type="xsd:double"&gt;111.15&lt;/D&gt;&lt;/FQL&gt;&lt;FQL&gt;&lt;Q&gt;VTR-US^FG_PRICE(12/30/2015)&lt;/Q&gt;&lt;R&gt;1&lt;/R&gt;&lt;C&gt;1&lt;/C&gt;&lt;D xsi:type="xsd:double"&gt;56.63&lt;/D&gt;&lt;/FQL&gt;&lt;FQL&gt;&lt;Q&gt;VTR-US^FG_PRICE(12/31/2017)&lt;/Q&gt;&lt;R&gt;1&lt;/R&gt;&lt;C&gt;1&lt;/C&gt;&lt;D xsi:type="xsd:double"&gt;60.01&lt;/D&gt;&lt;/FQL&gt;&lt;FQL&gt;&lt;Q&gt;VFC-US^FG_PRICE(12/30/2015)&lt;/Q&gt;&lt;R&gt;1&lt;/R&gt;&lt;C&gt;1&lt;/C&gt;&lt;D xsi:type="xsd:double"&gt;62.66&lt;/D&gt;&lt;/FQL&gt;&lt;FQL&gt;&lt;Q&gt;VFC-US^FG_PRICE(12/31/2017)&lt;/Q&gt;&lt;R&gt;1&lt;/R&gt;&lt;C&gt;1&lt;/C&gt;&lt;D xsi:type="xsd:double"&gt;74&lt;/D&gt;&lt;/FQL&gt;&lt;FQL&gt;&lt;Q&gt;VSH-US^FG_PRICE(12/30/2015)&lt;/Q&gt;&lt;R&gt;1&lt;/R&gt;&lt;C&gt;1&lt;/C&gt;&lt;D xsi:type="xsd:double"&gt;12.19&lt;/D&gt;&lt;/FQL&gt;&lt;FQL&gt;&lt;Q&gt;VSH-US^FG_PRICE(12/31/2017)&lt;/Q&gt;&lt;R&gt;1&lt;/R&gt;&lt;C&gt;1&lt;/C&gt;&lt;D xsi:type="xsd:double"&gt;20.75&lt;/D&gt;&lt;/FQL&gt;&lt;FQL&gt;&lt;Q&gt;VRTX-US^FG_PRICE(12/30/2015)&lt;/Q&gt;&lt;R&gt;1&lt;/R&gt;&lt;C&gt;1&lt;/C&gt;&lt;D xsi:type="xsd:double"&gt;126.4&lt;/D&gt;&lt;/FQL&gt;&lt;FQL&gt;&lt;Q&gt;VRTX-US^FG_PRICE(12/31/2017)&lt;/Q&gt;&lt;R&gt;1&lt;/R&gt;&lt;C&gt;1&lt;/C&gt;&lt;D xsi:type="xsd:double"&gt;149.86&lt;/D&gt;&lt;/FQL&gt;&lt;FQL&gt;&lt;Q&gt;VMC-US^FG_PRICE(12/30/2015)&lt;/Q&gt;&lt;R&gt;1&lt;/R&gt;&lt;C&gt;1&lt;/C&gt;&lt;D xsi:type="xsd:double"&gt;95.59&lt;/D&gt;&lt;/FQL&gt;&lt;FQL&gt;&lt;Q&gt;VMC-US^FG_PRICE(12/31/2017)&lt;/Q&gt;&lt;R&gt;1&lt;/R&gt;&lt;C&gt;1&lt;/C&gt;&lt;D xsi:type="xsd:double"&gt;128.37&lt;/D&gt;&lt;/FQL&gt;&lt;FQL&gt;&lt;Q&gt;UIS-US^FG_PRICE(12/30/2015)&lt;/Q&gt;&lt;R&gt;1&lt;/R&gt;&lt;C&gt;1&lt;/C&gt;&lt;D xsi:type="xsd:double"&gt;11.33&lt;/D&gt;&lt;/FQL&gt;&lt;FQL&gt;&lt;Q&gt;UIS-US^FG_PRICE(12/31/2017)&lt;/Q&gt;&lt;R&gt;1&lt;/R&gt;&lt;C&gt;1&lt;/C&gt;&lt;D xsi:type="xsd:double"&gt;8.15&lt;/D&gt;&lt;/FQL&gt;&lt;FQL&gt;&lt;Q&gt;URBN-US^FG_PRICE(12/30/2015)&lt;/Q&gt;&lt;R&gt;1&lt;/R&gt;&lt;C&gt;1&lt;/C&gt;&lt;D xsi:type="xsd:double"&gt;23.09&lt;/D&gt;&lt;/FQL&gt;&lt;FQL&gt;&lt;Q&gt;URBN-US^FG_PRICE(12/31/2017)&lt;/Q&gt;&lt;R&gt;1&lt;/R&gt;&lt;C&gt;1&lt;/C&gt;&lt;D xsi:type="xsd:double"&gt;35.06&lt;/D&gt;&lt;/FQL&gt;&lt;FQL&gt;&lt;Q&gt;VNO-US^FG_PRICE(12/30/2015)&lt;/Q&gt;&lt;R&gt;1&lt;/R&gt;&lt;C&gt;1&lt;/C&gt;&lt;D xsi:type="xsd:double"&gt;81.75267&lt;/D&gt;&lt;/FQL&gt;&lt;FQL&gt;&lt;Q&gt;VNO-US^FG_PRICE(12/31/2017)&lt;/Q&gt;&lt;R&gt;1&lt;/R&gt;&lt;C&gt;1&lt;/C&gt;&lt;D xsi:type="xsd:double"&gt;78.18&lt;/D&gt;&lt;/FQL&gt;&lt;FQL&gt;&lt;Q&gt;VLY-US^FG_PRICE(12/30/2015)&lt;/Q&gt;&lt;R&gt;1&lt;/R&gt;&lt;C&gt;1&lt;/C&gt;&lt;D xsi:type="xsd:double"&gt;9.99&lt;/D&gt;&lt;/FQL&gt;&lt;FQL&gt;&lt;Q&gt;VLY-US^FG_PRICE(12/31/2017)&lt;/Q&gt;&lt;R&gt;1&lt;/R&gt;&lt;C&gt;1&lt;/C&gt;&lt;D xsi:type="xsd:double"&gt;11.22&lt;/D&gt;&lt;/FQL&gt;&lt;FQL&gt;&lt;Q&gt;WMT-US^FG_PRICE(12/30/2015)&lt;/Q&gt;&lt;R&gt;1&lt;/R&gt;&lt;C&gt;1&lt;/C&gt;&lt;D xsi:type="xsd:double"&gt;61.68&lt;/D&gt;&lt;/FQL&gt;&lt;FQL&gt;&lt;Q&gt;WMT-US^FG_PRICE(12/31/2017)&lt;/Q&gt;&lt;R&gt;1&lt;/R&gt;&lt;C&gt;1&lt;/C&gt;&lt;D xsi:type="xsd:double"&gt;98.75&lt;/D&gt;&lt;/FQL&gt;&lt;FQL&gt;&lt;Q&gt;WM-US^FG_PRICE(12/30/2015)&lt;/Q&gt;&lt;R&gt;1&lt;/R&gt;&lt;C&gt;1&lt;/C&gt;&lt;D xsi:type="xsd:double"&gt;53.98&lt;/D&gt;&lt;/FQL&gt;&lt;FQL&gt;&lt;Q&gt;WM-US^FG_PRICE(12/31/2017)&lt;/Q&gt;&lt;R&gt;1&lt;/R&gt;&lt;C&gt;1&lt;/C&gt;&lt;D xsi:type="xsd:double"&gt;86.3&lt;/D&gt;&lt;/FQL&gt;&lt;FQL&gt;&lt;Q&gt;WAT-US^FG_PRICE(12/30/2015)&lt;/Q&gt;&lt;R&gt;1&lt;/R&gt;&lt;C&gt;1&lt;/C&gt;&lt;D xsi:type="xsd:double"&gt;135.64&lt;/D&gt;&lt;/FQL&gt;&lt;FQL&gt;&lt;Q&gt;WAT-US^FG_PRICE(12/31/2017)&lt;/Q&gt;&lt;R&gt;1&lt;/R&gt;&lt;C&gt;1&lt;/C&gt;&lt;D xsi:type="xsd:double"&gt;193.19&lt;/D&gt;&lt;/FQL&gt;&lt;FQL&gt;&lt;Q&gt;VECO-US^FG_PRICE(12/30/2015)&lt;/Q&gt;&lt;R&gt;1&lt;/R&gt;&lt;C&gt;1&lt;/C&gt;&lt;D xsi:type="xsd:double"&gt;21.02&lt;/D&gt;&lt;/FQL&gt;&lt;FQL&gt;&lt;Q&gt;VECO-US^FG_PRICE(12/31/2017)&lt;/Q&gt;&lt;R&gt;1&lt;/R&gt;&lt;C&gt;1&lt;/C&gt;&lt;D xsi:type="xsd:double"&gt;14.85&lt;/D&gt;&lt;/FQL&gt;&lt;FQL&gt;&lt;Q&gt;WAFD-US^FG_PRICE(12/30/2015)&lt;/Q&gt;&lt;R&gt;1&lt;/R&gt;&lt;C&gt;1&lt;/C&gt;&lt;D xsi:type="xsd:double"&gt;24.23&lt;/D&gt;&lt;/FQL&gt;&lt;FQL&gt;&lt;Q&gt;WAFD-US^FG_PRICE(12/31/2017)&lt;/Q&gt;&lt;R&gt;1&lt;/R&gt;&lt;C&gt;1&lt;/C&gt;&lt;D xsi:type="xsd:double"&gt;34.25&lt;/D&gt;&lt;/FQL&gt;&lt;FQL&gt;&lt;Q&gt;PAG-US^FG_PRICE(12/30/2015)&lt;/Q&gt;&lt;R&gt;1&lt;/R&gt;&lt;C&gt;1&lt;/C&gt;&lt;D xsi:type="xsd:double"&gt;42.5&lt;/D&gt;&lt;/FQL&gt;&lt;FQL&gt;&lt;Q&gt;PAG-US^FG_PRICE(12/31/2017)&lt;/Q&gt;&lt;R&gt;1&lt;/R&gt;&lt;C&gt;1&lt;/C&gt;&lt;D xsi:type="xsd:double"&gt;47.85&lt;/D&gt;&lt;/FQL&gt;&lt;FQL&gt;&lt;Q&gt;WRI-US^FG_PRICE(12/30/2015)&lt;/Q&gt;&lt;R&gt;1&lt;/R&gt;&lt;C&gt;1&lt;/C&gt;&lt;D xsi:type="xsd:double"&gt;34.89&lt;/D&gt;&lt;/FQL&gt;&lt;FQL&gt;&lt;Q&gt;WRI-US^FG_PRICE(12/31/2017)&lt;/Q&gt;&lt;R&gt;1&lt;/R&gt;&lt;C&gt;1&lt;/C&gt;&lt;D xsi:type="xsd:double"&gt;32.87&lt;/D&gt;&lt;/FQL&gt;&lt;FQL&gt;&lt;Q&gt;SJM-US^FG_PRICE(12/30/2015)&lt;/Q&gt;&lt;R&gt;1&lt;/R&gt;&lt;C&gt;1&lt;/C&gt;&lt;D xsi:type="xsd:double"&gt;123.95&lt;/D&gt;&lt;/FQL&gt;&lt;FQL&gt;&lt;Q&gt;SJM-US^FG_PRICE(12/31/2017)&lt;/Q&gt;&lt;R&gt;1&lt;/R&gt;&lt;C&gt;1&lt;/C&gt;&lt;D xsi:type="xsd:double"&gt;124.24&lt;/D&gt;&lt;/FQL&gt;&lt;FQL&gt;&lt;Q&gt;WLTGQ-US^FG_PRICE(12/30/2015)&lt;/Q&gt;&lt;R&gt;1&lt;/R&gt;&lt;C&gt;1&lt;/C&gt;&lt;D xsi:type="xsd:double"&gt;0.01165&lt;/D&gt;&lt;/FQL&gt;&lt;FQL&gt;&lt;Q&gt;WLTGQ-US^FG_PRICE(12/31/2017)&lt;/Q&gt;&lt;R&gt;1&lt;/R&gt;&lt;C&gt;1&lt;/C&gt;&lt;D xsi:type="xsd:double"&gt;0.011&lt;/D&gt;&lt;/FQL&gt;&lt;FQL&gt;&lt;Q&gt;WDC-US^FG_PRICE(12/30/2015)&lt;/Q&gt;&lt;R&gt;1&lt;/R&gt;&lt;C&gt;1&lt;/C&gt;&lt;D xsi:type="xsd:double"&gt;61.09&lt;/D&gt;&lt;/FQL&gt;&lt;FQL&gt;&lt;Q&gt;WDC-US^FG_PRICE(12/31/2017)&lt;/Q&gt;&lt;R&gt;1&lt;/R&gt;&lt;C&gt;1&lt;/C&gt;&lt;D xsi:type="xsd:double"&gt;79.53&lt;/D&gt;&lt;/FQL&gt;&lt;FQL&gt;&lt;Q&gt;WAB-US^FG_PRICE(12/30/2015)&lt;/Q&gt;&lt;R&gt;1&lt;/R&gt;&lt;C&gt;1&lt;/C&gt;&lt;D xsi:type="xsd:double"&gt;71.19&lt;/D&gt;&lt;/FQL&gt;&lt;FQL&gt;&lt;Q&gt;WAB-US^FG_PRICE(12/31/2017)&lt;/Q&gt;&lt;R&gt;1&lt;/R&gt;&lt;C&gt;1&lt;/C&gt;&lt;D xsi:type="xsd:double"&gt;81.43&lt;/D&gt;&lt;/FQL&gt;&lt;FQL&gt;&lt;Q&gt;WY-US^FG_PRICE(12/30/2015)&lt;/Q&gt;&lt;R&gt;1&lt;/R&gt;&lt;C&gt;1&lt;/C&gt;&lt;D xsi:type="xsd:double"&gt;30.34&lt;/D&gt;&lt;/FQL&gt;&lt;FQL&gt;&lt;Q&gt;WY-US^FG_PRICE(12/31/2017)&lt;/Q&gt;&lt;R&gt;1&lt;/R&gt;&lt;C&gt;1&lt;/C&gt;&lt;D xsi:type="xsd:double"&gt;35.26&lt;/D&gt;&lt;/FQL&gt;&lt;FQL&gt;&lt;Q&gt;WHR-US^FG_PRICE(12/30/2015)&lt;/Q&gt;&lt;R&gt;1&lt;/R&gt;&lt;C&gt;1&lt;/C&gt;&lt;D xsi:type="xsd:double"&gt;148.57&lt;/D&gt;&lt;/FQL&gt;&lt;FQL&gt;&lt;Q&gt;WHR-US^FG_PRICE(12/31/2017)&lt;/Q&gt;&lt;R&gt;1&lt;/R&gt;&lt;C&gt;1&lt;/C&gt;&lt;D xsi:type="xsd:double"&gt;168.64&lt;/D&gt;&lt;/FQL&gt;&lt;FQL&gt;&lt;Q&gt;SWKS-US^FG_PRICE(12/30/2015)&lt;/Q&gt;&lt;R&gt;1&lt;/R&gt;&lt;C&gt;1&lt;/C&gt;&lt;D xsi:type="xsd:double"&gt;79.19&lt;/D&gt;&lt;/FQL&gt;&lt;FQL&gt;&lt;Q&gt;SWKS-US^FG_PRICE(12/31/2017)&lt;/Q&gt;&lt;R&gt;1&lt;/R&gt;&lt;C&gt;1&lt;/C&gt;&lt;D xsi:type="xsd:double"&gt;94.95&lt;/D&gt;&lt;/FQL&gt;&lt;FQL&gt;&lt;Q&gt;WYNN-US^FG_PRICE(12/30/2015)&lt;/Q&gt;&lt;R&gt;1&lt;/R&gt;&lt;C&gt;1&lt;/C&gt;&lt;D xsi:type="xsd:double"&gt;68.64&lt;/D&gt;&lt;/FQL&gt;&lt;FQL&gt;&lt;Q&gt;WYNN-US^FG_PRICE(12/31/2017)&lt;/Q&gt;&lt;R&gt;1&lt;/R&gt;&lt;C&gt;1&lt;/C&gt;&lt;D xsi:type="xsd:double"&gt;168.59&lt;/D&gt;&lt;/FQL&gt;&lt;FQL&gt;&lt;Q&gt;WFM-US^FG_PRICE(12/30/2015)&lt;/Q&gt;&lt;R&gt;1&lt;/R&gt;&lt;C&gt;1&lt;/C&gt;&lt;D xsi:type="xsd:double"&gt;33.78&lt;/D&gt;&lt;/FQL&gt;&lt;FQL&gt;&lt;Q&gt;WFM-US^FG_PRICE(12/31/2017)&lt;/Q&gt;&lt;R&gt;0&lt;/R&gt;&lt;C&gt;0&lt;/C&gt;&lt;/FQL&gt;&lt;FQL&gt;&lt;Q&gt;NDAQ-US^FG_PRICE(12/30/2015)&lt;/Q&gt;&lt;R&gt;1&lt;/R&gt;&lt;C&gt;1&lt;/C&gt;&lt;D xsi:type="xsd:double"&gt;59.02&lt;/D&gt;&lt;/FQL&gt;&lt;FQL&gt;&lt;Q&gt;NDAQ-US^FG_PRICE(12/31/2017)&lt;/Q&gt;&lt;R&gt;1&lt;/R&gt;&lt;C&gt;1&lt;/C&gt;&lt;D xsi:type="xsd:double"&gt;76.83&lt;/D&gt;&lt;/FQL&gt;&lt;FQL&gt;&lt;Q&gt;JW.A-US^FG_PRICE(12/30/2015)&lt;/Q&gt;&lt;R&gt;1&lt;/R&gt;&lt;C&gt;1&lt;/C&gt;&lt;D xsi:type="xsd:double"&gt;45.21&lt;/D&gt;&lt;/FQL&gt;&lt;FQL&gt;&lt;Q&gt;JW.A-US^FG_PRICE(12/31/2017)&lt;/Q&gt;&lt;R&gt;1&lt;/R&gt;&lt;C&gt;1&lt;/C&gt;&lt;D xsi:type="xsd:double"&gt;65.75&lt;/D&gt;&lt;/FQL&gt;&lt;FQL&gt;&lt;Q&gt;CME-US^FG_PRICE(12/30/2015)&lt;/Q&gt;&lt;R&gt;1&lt;/R&gt;&lt;C&gt;1&lt;/C&gt;&lt;D xsi:type="xsd:double"&gt;91.52&lt;/D&gt;&lt;/FQL&gt;&lt;FQL&gt;&lt;Q&gt;CME-US^FG_PRICE(12/31/2017)&lt;/Q&gt;&lt;R&gt;1&lt;/R&gt;&lt;C&gt;1&lt;/C&gt;&lt;D xsi:type="xsd:double"&gt;146.05&lt;/D&gt;&lt;/FQL&gt;&lt;FQL&gt;&lt;Q&gt;WMB-US^FG_PRICE(12/30/2015)&lt;/Q&gt;&lt;R&gt;1&lt;/R&gt;&lt;C&gt;1&lt;/C&gt;&lt;D xsi:type="xsd:double"&gt;24.41&lt;/D&gt;&lt;/FQL&gt;&lt;FQL&gt;&lt;Q&gt;WMB-US^FG_PRICE(12/31/2017)&lt;/Q&gt;&lt;R&gt;1&lt;/R&gt;&lt;C&gt;1&lt;/C&gt;&lt;D xsi:type="xsd:double"&gt;30.49&lt;/D&gt;&lt;/FQL&gt;&lt;FQL&gt;&lt;Q&gt;WSM-US^FG_PRICE(12/30/2015)&lt;/Q&gt;&lt;R&gt;1&lt;/R&gt;&lt;C&gt;1&lt;/C&gt;&lt;D xsi:type="xsd:double"&gt;58.89&lt;/D&gt;&lt;/FQL&gt;&lt;FQL&gt;&lt;Q&gt;WSM-US^FG_PRICE(12/31/2017)&lt;/Q&gt;&lt;R&gt;1&lt;/R&gt;&lt;C&gt;1&lt;/C&gt;&lt;D xsi:type="xsd:double"&gt;51.7&lt;/D&gt;&lt;/FQL&gt;&lt;FQL&gt;&lt;Q&gt;DKS-US^FG_PRICE(12/30/2015)&lt;/Q&gt;&lt;R&gt;1&lt;/R&gt;&lt;C&gt;1&lt;/C&gt;&lt;D xsi:type="xsd:double"&gt;35.21&lt;/D&gt;&lt;/FQL&gt;&lt;FQL&gt;&lt;Q&gt;DKS-US^FG_PRICE(12/31/2017)&lt;/Q&gt;&lt;R&gt;1&lt;/R&gt;&lt;C&gt;1&lt;/C&gt;&lt;D xsi:type="xsd:double"&gt;28.74&lt;/D&gt;&lt;/FQL&gt;&lt;FQL&gt;&lt;Q&gt;LKQ-US^FG_PRICE(12/30/2015)&lt;/Q&gt;&lt;R&gt;1&lt;/R&gt;&lt;C&gt;1&lt;/C&gt;&lt;D xsi:type="xsd:double"&gt;29.76&lt;/D&gt;&lt;/FQL&gt;&lt;FQL&gt;&lt;Q&gt;LKQ-US^FG_PRICE(12/31/2017)&lt;/Q&gt;&lt;R&gt;1&lt;/R&gt;&lt;C&gt;1&lt;/C&gt;&lt;D xsi:type="xsd:double"&gt;40.67&lt;/D&gt;&lt;/FQL&gt;&lt;FQL&gt;&lt;Q&gt;POM-US^FG_PRICE(12/30/2015)&lt;/Q&gt;&lt;R&gt;1&lt;/R&gt;&lt;C&gt;1&lt;/C&gt;&lt;D xsi:type="xsd:double"&gt;26.17&lt;/D&gt;&lt;/FQL&gt;&lt;FQL&gt;&lt;Q&gt;POM-US^FG_PRICE(12/31/2017)&lt;/Q&gt;&lt;R&gt;0&lt;/R&gt;&lt;C&gt;0&lt;/C&gt;&lt;/FQL&gt;&lt;FQL&gt;&lt;Q&gt;LNT-US^FG_PRICE(12/30/2015)&lt;/Q&gt;&lt;R&gt;1&lt;/R&gt;&lt;C&gt;1&lt;/C&gt;&lt;D xsi:type="xsd:double"&gt;31.725&lt;/D&gt;&lt;/FQL&gt;&lt;FQL&gt;&lt;Q&gt;LNT-US^FG_PRICE(12/31/2017)&lt;/Q&gt;&lt;R&gt;1&lt;/R&gt;&lt;C&gt;1&lt;/C&gt;&lt;D xsi:type="xsd:double"&gt;42.61&lt;/D&gt;&lt;/FQL&gt;&lt;FQL&gt;&lt;Q&gt;FL-US^FG_PRICE(12/30/2015)&lt;/Q&gt;&lt;R&gt;1&lt;/R&gt;&lt;C&gt;1&lt;/C&gt;&lt;D xsi:type="xsd:double"&gt;64.94&lt;/D&gt;&lt;/FQL&gt;&lt;FQL&gt;&lt;Q&gt;FL-US^FG_PRICE(12/31/2017)&lt;/Q&gt;&lt;R&gt;1&lt;/R&gt;&lt;C&gt;1&lt;/C&gt;&lt;D xsi:type="xsd:double"&gt;46.88&lt;/D&gt;&lt;/FQL&gt;&lt;FQL&gt;&lt;Q&gt;AMTD-US^FG_PRICE(12/30/2015)&lt;/Q&gt;&lt;R&gt;1&lt;/R&gt;&lt;C&gt;1&lt;/C&gt;&lt;D xsi:type="xsd:double"&gt;35.16&lt;/D&gt;&lt;/FQL&gt;&lt;FQL&gt;&lt;Q&gt;AMTD-US^FG_PRICE(12/31/2017)&lt;/Q&gt;&lt;R&gt;1&lt;/R&gt;&lt;C&gt;1&lt;/C&gt;&lt;D xsi:type="xsd:double"&gt;51.13&lt;/D&gt;&lt;/FQL&gt;&lt;FQL&gt;&lt;Q&gt;KMX-US^FG_PRICE(12/30/2015)&lt;/Q&gt;&lt;R&gt;1&lt;/R&gt;&lt;C&gt;1&lt;/C&gt;&lt;D xsi:type="xsd:double"&gt;54.56&lt;/D&gt;&lt;/FQL&gt;&lt;FQL&gt;&lt;Q&gt;KMX-US^FG_PRICE(12/31/2017)&lt;/Q&gt;&lt;R&gt;1&lt;/R&gt;&lt;C&gt;1&lt;/C&gt;&lt;D xsi:type="xsd:double"&gt;64.13&lt;/D&gt;&lt;/FQL&gt;&lt;FQL&gt;&lt;Q&gt;XRX-US^FG_PRICE(12/30/2015)&lt;/Q&gt;&lt;R&gt;1&lt;/R&gt;&lt;C&gt;1&lt;/C&gt;&lt;D xsi:type="xsd:double"&gt;28.24284&lt;/D&gt;&lt;/FQL&gt;&lt;FQL&gt;&lt;Q&gt;XRX-US^FG_PRICE(12/31/2017)&lt;/Q&gt;&lt;R&gt;1&lt;/R&gt;&lt;C&gt;1&lt;/C&gt;&lt;D xsi:type="xsd:double"&gt;29.15&lt;/D&gt;&lt;/FQL&gt;&lt;FQL&gt;&lt;Q&gt;XLNX-US^FG_PRICE(12/30/2015)&lt;/Q&gt;&lt;R&gt;1&lt;/R&gt;&lt;C&gt;1&lt;/C&gt;&lt;D xsi:type="xsd:double"&gt;47.84&lt;/D&gt;&lt;/FQL&gt;&lt;FQL&gt;&lt;Q&gt;XLNX-US^FG_PRICE(12/31/2017)&lt;/Q&gt;&lt;R&gt;1&lt;/R&gt;&lt;C&gt;1&lt;/C&gt;&lt;D xsi:type="xsd:double"&gt;67.42&lt;/D&gt;&lt;/FQL&gt;&lt;FQL&gt;&lt;Q&gt;AABA-US^FG_PRICE(12/30/2015)&lt;/Q&gt;&lt;R&gt;1&lt;/R&gt;&lt;C&gt;1&lt;/C&gt;&lt;D xsi:type="xsd:double"&gt;33.37&lt;/D&gt;&lt;/FQL&gt;&lt;FQL&gt;&lt;Q&gt;AABA-US^FG_PRICE(12/31/2017)&lt;/Q&gt;&lt;R&gt;1&lt;/R&gt;&lt;C&gt;1&lt;/C&gt;&lt;D xsi:type="xsd:double"&gt;69.85&lt;/D&gt;&lt;/FQL&gt;&lt;FQL&gt;&lt;Q&gt;XEC-US^FG_PRICE(12/30/2015)&lt;/Q&gt;&lt;R&gt;1&lt;/R&gt;&lt;C&gt;1&lt;/C&gt;&lt;D xsi:type="xsd:double"&gt;89.51&lt;/D&gt;&lt;/FQL&gt;&lt;FQL&gt;&lt;Q&gt;XEC-US^FG_PRICE(12/31/2017)&lt;/Q&gt;&lt;R&gt;1&lt;/R&gt;&lt;C&gt;1&lt;/C&gt;&lt;D xsi:type="xsd:double"&gt;122.01&lt;/D&gt;&lt;/FQL&gt;&lt;FQL&gt;&lt;Q&gt;TJX-US^FG_PRICE(12/30/2015)&lt;/Q&gt;&lt;R&gt;1&lt;/R&gt;&lt;C&gt;1&lt;/C&gt;&lt;D xsi:type="xsd:double"&gt;71.36&lt;/D&gt;&lt;/FQL&gt;&lt;FQL&gt;&lt;Q&gt;TJX-US^FG_PRICE(12/31/2017)&lt;/Q&gt;&lt;R&gt;1&lt;/R&gt;&lt;C&gt;1&lt;/C&gt;&lt;D xsi:type="xsd:double"&gt;7</t>
        </r>
      </text>
    </comment>
    <comment ref="A5" authorId="0" shapeId="0">
      <text>
        <r>
          <rPr>
            <b/>
            <sz val="9"/>
            <color indexed="81"/>
            <rFont val="Tahoma"/>
            <charset val="1"/>
          </rPr>
          <t>6.46&lt;/D&gt;&lt;/FQL&gt;&lt;FQL&gt;&lt;Q&gt;ZBRA-US^FG_PRICE(12/30/2015)&lt;/Q&gt;&lt;R&gt;1&lt;/R&gt;&lt;C&gt;1&lt;/C&gt;&lt;D xsi:type="xsd:double"&gt;69.45&lt;/D&gt;&lt;/FQL&gt;&lt;FQL&gt;&lt;Q&gt;ZBRA-US^FG_PRICE(12/31/2017)&lt;/Q&gt;&lt;R&gt;1&lt;/R&gt;&lt;C&gt;1&lt;/C&gt;&lt;D xsi:type="xsd:double"&gt;103.8&lt;/D&gt;&lt;/FQL&gt;&lt;FQL&gt;&lt;Q&gt;ZION-US^FG_PRICE(12/30/2015)&lt;/Q&gt;&lt;R&gt;1&lt;/R&gt;&lt;C&gt;1&lt;/C&gt;&lt;D xsi:type="xsd:double"&gt;27.47&lt;/D&gt;&lt;/FQL&gt;&lt;FQL&gt;&lt;Q&gt;ZION-US^FG_PRICE(12/31/2017)&lt;/Q&gt;&lt;R&gt;1&lt;/R&gt;&lt;C&gt;1&lt;/C&gt;&lt;D xsi:type="xsd:double"&gt;50.83&lt;/D&gt;&lt;/FQL&gt;&lt;FQL&gt;&lt;Q&gt;LBRDA-US^FG_PRICE(12/30/2015)&lt;/Q&gt;&lt;R&gt;1&lt;/R&gt;&lt;C&gt;1&lt;/C&gt;&lt;D xsi:type="xsd:double"&gt;51.61&lt;/D&gt;&lt;/FQL&gt;&lt;FQL&gt;&lt;Q&gt;LBRDA-US^FG_PRICE(12/31/2017)&lt;/Q&gt;&lt;R&gt;1&lt;/R&gt;&lt;C&gt;1&lt;/C&gt;&lt;D xsi:type="xsd:double"&gt;85.05&lt;/D&gt;&lt;/FQL&gt;&lt;FQL&gt;&lt;Q&gt;QRTEA-US^FG_PRICE(12/30/2015)&lt;/Q&gt;&lt;R&gt;1&lt;/R&gt;&lt;C&gt;1&lt;/C&gt;&lt;D xsi:type="xsd:double"&gt;27.185&lt;/D&gt;&lt;/FQL&gt;&lt;FQL&gt;&lt;Q&gt;QRTEA-US^FG_PRICE(12/31/2017)&lt;/Q&gt;&lt;R&gt;1&lt;/R&gt;&lt;C&gt;1&lt;/C&gt;&lt;D xsi:type="xsd:double"&gt;24.42&lt;/D&gt;&lt;/FQL&gt;&lt;FQL&gt;&lt;Q&gt;ALNY-US^FG_PRICE(12/30/2015)&lt;/Q&gt;&lt;R&gt;1&lt;/R&gt;&lt;C&gt;1&lt;/C&gt;&lt;D xsi:type="xsd:double"&gt;94.51&lt;/D&gt;&lt;/FQL&gt;&lt;FQL&gt;&lt;Q&gt;ALNY-US^FG_PRICE(12/31/2017)&lt;/Q&gt;&lt;R&gt;1&lt;/R&gt;&lt;C&gt;1&lt;/C&gt;&lt;D xsi:type="xsd:double"&gt;127.05&lt;/D&gt;&lt;/FQL&gt;&lt;FQL&gt;&lt;Q&gt;GHL-US^FG_PRICE(12/30/2015)&lt;/Q&gt;&lt;R&gt;1&lt;/R&gt;&lt;C&gt;1&lt;/C&gt;&lt;D xsi:type="xsd:double"&gt;29.08&lt;/D&gt;&lt;/FQL&gt;&lt;FQL&gt;&lt;Q&gt;GHL-US^FG_PRICE(12/31/2017)&lt;/Q&gt;&lt;R&gt;1&lt;/R&gt;&lt;C&gt;1&lt;/C&gt;&lt;D xsi:type="xsd:double"&gt;19.5&lt;/D&gt;&lt;/FQL&gt;&lt;FQL&gt;&lt;Q&gt;CAB-US^FG_PRICE(12/30/2015)&lt;/Q&gt;&lt;R&gt;1&lt;/R&gt;&lt;C&gt;1&lt;/C&gt;&lt;D xsi:type="xsd:double"&gt;46.65&lt;/D&gt;&lt;/FQL&gt;&lt;FQL&gt;&lt;Q&gt;CAB-US^FG_PRICE(12/31/2017)&lt;/Q&gt;&lt;R&gt;0&lt;/R&gt;&lt;C&gt;0&lt;/C&gt;&lt;/FQL&gt;&lt;FQL&gt;&lt;Q&gt;GNW-US^FG_PRICE(12/30/2015)&lt;/Q&gt;&lt;R&gt;1&lt;/R&gt;&lt;C&gt;1&lt;/C&gt;&lt;D xsi:type="xsd:double"&gt;3.75&lt;/D&gt;&lt;/FQL&gt;&lt;FQL&gt;&lt;Q&gt;GNW-US^FG_PRICE(12/31/2017)&lt;/Q&gt;&lt;R&gt;1&lt;/R&gt;&lt;C&gt;1&lt;/C&gt;&lt;D xsi:type="xsd:double"&gt;3.11&lt;/D&gt;&lt;/FQL&gt;&lt;FQL&gt;&lt;Q&gt;RF-US^FG_PRICE(12/30/2015)&lt;/Q&gt;&lt;R&gt;1&lt;/R&gt;&lt;C&gt;1&lt;/C&gt;&lt;D xsi:type="xsd:double"&gt;9.65&lt;/D&gt;&lt;/FQL&gt;&lt;FQL&gt;&lt;Q&gt;RF-US^FG_PRICE(12/31/2017)&lt;/Q&gt;&lt;R&gt;1&lt;/R&gt;&lt;C&gt;1&lt;/C&gt;&lt;D xsi:type="xsd:double"&gt;17.28&lt;/D&gt;&lt;/FQL&gt;&lt;FQL&gt;&lt;Q&gt;WLK-US^FG_PRICE(12/30/2015)&lt;/Q&gt;&lt;R&gt;1&lt;/R&gt;&lt;C&gt;1&lt;/C&gt;&lt;D xsi:type="xsd:double"&gt;54.81&lt;/D&gt;&lt;/FQL&gt;&lt;FQL&gt;&lt;Q&gt;WLK-US^FG_PRICE(12/31/2017)&lt;/Q&gt;&lt;R&gt;1&lt;/R&gt;&lt;C&gt;1&lt;/C&gt;&lt;D xsi:type="xsd:double"&gt;106.53&lt;/D&gt;&lt;/FQL&gt;&lt;FQL&gt;&lt;Q&gt;EXR-US^FG_PRICE(12/30/2015)&lt;/Q&gt;&lt;R&gt;1&lt;/R&gt;&lt;C&gt;1&lt;/C&gt;&lt;D xsi:type="xsd:double"&gt;89.46&lt;/D&gt;&lt;/FQL&gt;&lt;FQL&gt;&lt;Q&gt;EXR-US^FG_PRICE(12/31/2017)&lt;/Q&gt;&lt;R&gt;1&lt;/R&gt;&lt;C&gt;1&lt;/C&gt;&lt;D xsi:type="xsd:double"&gt;87.45&lt;/D&gt;&lt;/FQL&gt;&lt;FQL&gt;&lt;Q&gt;LVS-US^FG_PRICE(12/30/2015)&lt;/Q&gt;&lt;R&gt;1&lt;/R&gt;&lt;C&gt;1&lt;/C&gt;&lt;D xsi:type="xsd:double"&gt;43.99&lt;/D&gt;&lt;/FQL&gt;&lt;FQL&gt;&lt;Q&gt;LVS-US^FG_PRICE(12/31/2017)&lt;/Q&gt;&lt;R&gt;1&lt;/R&gt;&lt;C&gt;1&lt;/C&gt;&lt;D xsi:type="xsd:double"&gt;69.49&lt;/D&gt;&lt;/FQL&gt;&lt;FQL&gt;&lt;Q&gt;ARCC-US^FG_PRICE(12/30/2015)&lt;/Q&gt;&lt;R&gt;1&lt;/R&gt;&lt;C&gt;1&lt;/C&gt;&lt;D xsi:type="xsd:double"&gt;14.39&lt;/D&gt;&lt;/FQL&gt;&lt;FQL&gt;&lt;Q&gt;ARCC-US^FG_PRICE(12/31/2017)&lt;/Q&gt;&lt;R&gt;1&lt;/R&gt;&lt;C&gt;1&lt;/C&gt;&lt;D xsi:type="xsd:double"&gt;15.72&lt;/D&gt;&lt;/FQL&gt;&lt;FQL&gt;&lt;Q&gt;MDVN-US^FG_PRICE(12/30/2015)&lt;/Q&gt;&lt;R&gt;1&lt;/R&gt;&lt;C&gt;1&lt;/C&gt;&lt;D xsi:type="xsd:double"&gt;47.98&lt;/D&gt;&lt;/FQL&gt;&lt;FQL&gt;&lt;Q&gt;MDVN-US^FG_PRICE(12/31/2017)&lt;/Q&gt;&lt;R&gt;0&lt;/R&gt;&lt;C&gt;0&lt;/C&gt;&lt;/FQL&gt;&lt;FQL&gt;&lt;Q&gt;DWA-US^FG_PRICE(12/30/2015)&lt;/Q&gt;&lt;R&gt;1&lt;/R&gt;&lt;C&gt;1&lt;/C&gt;&lt;D xsi:type="xsd:double"&gt;26.17&lt;/D&gt;&lt;/FQL&gt;&lt;FQL&gt;&lt;Q&gt;DWA-US^FG_PRICE(12/31/2017)&lt;/Q&gt;&lt;R&gt;0&lt;/R&gt;&lt;C&gt;0&lt;/C&gt;&lt;/FQL&gt;&lt;FQL&gt;&lt;Q&gt;DLR-US^FG_PRICE(12/30/2015)&lt;/Q&gt;&lt;R&gt;1&lt;/R&gt;&lt;C&gt;1&lt;/C&gt;&lt;D xsi:type="xsd:double"&gt;76.93&lt;/D&gt;&lt;/FQL&gt;&lt;FQL&gt;&lt;Q&gt;DLR-US^FG_PRICE(12/31/2017)&lt;/Q&gt;&lt;R&gt;1&lt;/R&gt;&lt;C&gt;1&lt;/C&gt;&lt;D xsi:type="xsd:double"&gt;113.9&lt;/D&gt;&lt;/FQL&gt;&lt;FQL&gt;&lt;Q&gt;ORA-US^FG_PRICE(12/30/2015)&lt;/Q&gt;&lt;R&gt;1&lt;/R&gt;&lt;C&gt;1&lt;/C&gt;&lt;D xsi:type="xsd:double"&gt;36.56&lt;/D&gt;&lt;/FQL&gt;&lt;FQL&gt;&lt;Q&gt;ORA-US^FG_PRICE(12/31/2017)&lt;/Q&gt;&lt;R&gt;1&lt;/R&gt;&lt;C&gt;1&lt;/C&gt;&lt;D xsi:type="xsd:double"&gt;63.96&lt;/D&gt;&lt;/FQL&gt;&lt;FQL&gt;&lt;Q&gt;ATP-CA^FG_PRICE(12/30/2015)&lt;/Q&gt;&lt;R&gt;1&lt;/R&gt;&lt;C&gt;1&lt;/C&gt;&lt;D xsi:type="xsd:double"&gt;2.47&lt;/D&gt;&lt;/FQL&gt;&lt;FQL&gt;&lt;Q&gt;ATP-CA^FG_PRICE(12/31/2017)&lt;/Q&gt;&lt;R&gt;1&lt;/R&gt;&lt;C&gt;1&lt;/C&gt;&lt;D xsi:type="xsd:double"&gt;2.99&lt;/D&gt;&lt;/FQL&gt;&lt;FQL&gt;&lt;Q&gt;DLB-US^FG_PRICE(12/30/2015)&lt;/Q&gt;&lt;R&gt;1&lt;/R&gt;&lt;C&gt;1&lt;/C&gt;&lt;D xsi:type="xsd:double"&gt;34.14&lt;/D&gt;&lt;/FQL&gt;&lt;FQL&gt;&lt;Q&gt;DLB-US^FG_PRICE(12/31/2017)&lt;/Q&gt;&lt;R&gt;1&lt;/R&gt;&lt;C&gt;1&lt;/C&gt;&lt;D xsi:type="xsd:double"&gt;62&lt;/D&gt;&lt;/FQL&gt;&lt;FQL&gt;&lt;Q&gt;CE-US^FG_PRICE(12/30/2015)&lt;/Q&gt;&lt;R&gt;1&lt;/R&gt;&lt;C&gt;1&lt;/C&gt;&lt;D xsi:type="xsd:double"&gt;67.44&lt;/D&gt;&lt;/FQL&gt;&lt;FQL&gt;&lt;Q&gt;CE-US^FG_PRICE(12/31/2017)&lt;/Q&gt;&lt;R&gt;1&lt;/R&gt;&lt;C&gt;1&lt;/C&gt;&lt;D xsi:type="xsd:double"&gt;107.08&lt;/D&gt;&lt;/FQL&gt;&lt;FQL&gt;&lt;Q&gt;HUN-US^FG_PRICE(12/30/2015)&lt;/Q&gt;&lt;R&gt;1&lt;/R&gt;&lt;C&gt;1&lt;/C&gt;&lt;D xsi:type="xsd:double"&gt;11.27&lt;/D&gt;&lt;/FQL&gt;&lt;FQL&gt;&lt;Q&gt;HUN-US^FG_PRICE(12/31/2017)&lt;/Q&gt;&lt;R&gt;1&lt;/R&gt;&lt;C&gt;1&lt;/C&gt;&lt;D xsi:type="xsd:double"&gt;33.29&lt;/D&gt;&lt;/FQL&gt;&lt;FQL&gt;&lt;Q&gt;ANRZQ-US^FG_PRICE(12/30/2015)&lt;/Q&gt;&lt;R&gt;1&lt;/R&gt;&lt;C&gt;1&lt;/C&gt;&lt;D xsi:type="xsd:double"&gt;0.0105&lt;/D&gt;&lt;/FQL&gt;&lt;FQL&gt;&lt;Q&gt;ANRZQ-US^FG_PRICE(12/31/2017)&lt;/Q&gt;&lt;R&gt;0&lt;/R&gt;&lt;C&gt;0&lt;/C&gt;&lt;/FQL&gt;&lt;FQL&gt;&lt;Q&gt;TAP-US^FG_PRICE(12/30/2015)&lt;/Q&gt;&lt;R&gt;1&lt;/R&gt;&lt;C&gt;1&lt;/C&gt;&lt;D xsi:type="xsd:double"&gt;94.54&lt;/D&gt;&lt;/FQL&gt;&lt;FQL&gt;&lt;Q&gt;TAP-US^FG_PRICE(12/31/2017)&lt;/Q&gt;&lt;R&gt;1&lt;/R&gt;&lt;C&gt;1&lt;/C&gt;&lt;D xsi:type="xsd:double"&gt;82.07&lt;/D&gt;&lt;/FQL&gt;&lt;FQL&gt;&lt;Q&gt;PAY-US^FG_PRICE(12/30/2015)&lt;/Q&gt;&lt;R&gt;1&lt;/R&gt;&lt;C&gt;1&lt;/C&gt;&lt;D xsi:type="xsd:double"&gt;28.5&lt;/D&gt;&lt;/FQL&gt;&lt;FQL&gt;&lt;Q&gt;PAY-US^FG_PRICE(12/31/2017)&lt;/Q&gt;&lt;R&gt;1&lt;/R&gt;&lt;C&gt;1&lt;/C&gt;&lt;D xsi:type="xsd:double"&gt;17.71&lt;/D&gt;&lt;/FQL&gt;&lt;FQL&gt;&lt;Q&gt;ZUMZ-US^FG_PRICE(12/30/2015)&lt;/Q&gt;&lt;R&gt;1&lt;/R&gt;&lt;C&gt;1&lt;/C&gt;&lt;D xsi:type="xsd:double"&gt;15.53&lt;/D&gt;&lt;/FQL&gt;&lt;FQL&gt;&lt;Q&gt;ZUMZ-US^FG_PRICE(12/31/2017)&lt;/Q&gt;&lt;R&gt;1&lt;/R&gt;&lt;C&gt;1&lt;/C&gt;&lt;D xsi:type="xsd:double"&gt;20.825&lt;/D&gt;&lt;/FQL&gt;&lt;FQL&gt;&lt;Q&gt;MORN-US^FG_PRICE(12/30/2015)&lt;/Q&gt;&lt;R&gt;1&lt;/R&gt;&lt;C&gt;1&lt;/C&gt;&lt;D xsi:type="xsd:double"&gt;81.18&lt;/D&gt;&lt;/FQL&gt;&lt;FQL&gt;&lt;Q&gt;MORN-US^FG_PRICE(12/31/2017)&lt;/Q&gt;&lt;R&gt;1&lt;/R&gt;&lt;C&gt;1&lt;/C&gt;&lt;D xsi:type="xsd:double"&gt;96.97&lt;/D&gt;&lt;/FQL&gt;&lt;FQL&gt;&lt;Q&gt;IHS-US^FG_PRICE(12/30/2015)&lt;/Q&gt;&lt;R&gt;1&lt;/R&gt;&lt;C&gt;1&lt;/C&gt;&lt;D xsi:type="xsd:double"&gt;118.66&lt;/D&gt;&lt;/FQL&gt;&lt;FQL&gt;&lt;Q&gt;IHS-US^FG_PRICE(12/31/2017)&lt;/Q&gt;&lt;R&gt;0&lt;/R&gt;&lt;C&gt;0&lt;/C&gt;&lt;/FQL&gt;&lt;FQL&gt;&lt;Q&gt;ASH-US^FG_PRICE(12/30/2015)&lt;/Q&gt;&lt;R&gt;1&lt;/R&gt;&lt;C&gt;1&lt;/C&gt;&lt;D xsi:type="xsd:double"&gt;50.95213&lt;/D&gt;&lt;/FQL&gt;&lt;FQL&gt;&lt;Q&gt;ASH-US^FG_PRICE(12/31/2017)&lt;/Q&gt;&lt;R&gt;1&lt;/R&gt;&lt;C&gt;1&lt;/C&gt;&lt;D xsi:type="xsd:double"&gt;71.2&lt;/D&gt;&lt;/FQL&gt;&lt;FQL&gt;&lt;Q&gt;NSR-US^FG_PRICE(12/30/2015)&lt;/Q&gt;&lt;R&gt;1&lt;/R&gt;&lt;C&gt;1&lt;/C&gt;&lt;D xsi:type="xsd:double"&gt;25&lt;/D&gt;&lt;/FQL&gt;&lt;FQL&gt;&lt;Q&gt;NSR-US^FG_PRICE(12/31/2017)&lt;/Q&gt;&lt;R&gt;0&lt;/R&gt;&lt;C&gt;0&lt;/C&gt;&lt;/FQL&gt;&lt;FQL&gt;&lt;Q&gt;IAC-US^FG_PRICE(12/30/2015)&lt;/Q&gt;&lt;R&gt;1&lt;/R&gt;&lt;C&gt;1&lt;/C&gt;&lt;D xsi:type="xsd:double"&gt;60.66&lt;/D&gt;&lt;/FQL&gt;&lt;FQL&gt;&lt;Q&gt;IAC-US^FG_PRICE(12/31/2017)&lt;/Q&gt;&lt;R&gt;1&lt;/R&gt;&lt;C&gt;1&lt;/C&gt;&lt;D xsi:type="xsd:double"&gt;122.28&lt;/D&gt;&lt;/FQL&gt;&lt;FQL&gt;&lt;Q&gt;ITC-US^FG_PRICE(12/30/2015)&lt;/Q&gt;&lt;R&gt;1&lt;/R&gt;&lt;C&gt;1&lt;/C&gt;&lt;D xsi:type="xsd:double"&gt;38.86&lt;/D&gt;&lt;/FQL&gt;&lt;FQL&gt;&lt;Q&gt;ITC-US^FG_PRICE(12/31/2017)&lt;/Q&gt;&lt;R&gt;0&lt;/R&gt;&lt;C&gt;0&lt;/C&gt;&lt;/FQL&gt;&lt;FQL&gt;&lt;Q&gt;CF-US^FG_PRICE(12/30/2015)&lt;/Q&gt;&lt;R&gt;1&lt;/R&gt;&lt;C&gt;1&lt;/C&gt;&lt;D xsi:type="xsd:double"&gt;41.16&lt;/D&gt;&lt;/FQL&gt;&lt;FQL&gt;&lt;Q&gt;CF-US^FG_PRICE(12/31/2017)&lt;/Q&gt;&lt;R&gt;1&lt;/R&gt;&lt;C&gt;1&lt;/C&gt;&lt;D xsi:type="xsd:double"&gt;42.54&lt;/D&gt;&lt;/FQL&gt;&lt;FQL&gt;&lt;Q&gt;AMP-US^FG_PRICE(12/30/2015)&lt;/Q&gt;&lt;R&gt;1&lt;/R&gt;&lt;C&gt;1&lt;/C&gt;&lt;D xsi:type="xsd:double"&gt;107.29&lt;/D&gt;&lt;/FQL&gt;&lt;FQL&gt;&lt;Q&gt;AMP-US^FG_PRICE(12/31/2017)&lt;/Q&gt;&lt;R&gt;1&lt;/R&gt;&lt;C&gt;1&lt;/C&gt;&lt;D xsi:type="xsd:double"&gt;169.47&lt;/D&gt;&lt;/FQL&gt;&lt;FQL&gt;&lt;Q&gt;GME-US^FG_PRICE(12/30/2015)&lt;/Q&gt;&lt;R&gt;1&lt;/R&gt;&lt;C&gt;1&lt;/C&gt;&lt;D xsi:type="xsd:double"&gt;28.48&lt;/D&gt;&lt;/FQL&gt;&lt;FQL&gt;&lt;Q&gt;GME-US^FG_PRICE(12/31/2017)&lt;/Q&gt;&lt;R&gt;1&lt;/R&gt;&lt;C&gt;1&lt;/C&gt;&lt;D xsi:type="xsd:double"&gt;17.95&lt;/D&gt;&lt;/FQL&gt;&lt;FQL&gt;&lt;Q&gt;WBMD-US^FG_PRICE(12/30/2015)&lt;/Q&gt;&lt;R&gt;1&lt;/R&gt;&lt;C&gt;1&lt;/C&gt;&lt;D xsi:type="xsd:double"&gt;49.34&lt;/D&gt;&lt;/FQL&gt;&lt;FQL&gt;&lt;Q&gt;WBMD-US^FG_PRICE(12/31/2017)&lt;/Q&gt;&lt;R&gt;0&lt;/R&gt;&lt;C&gt;0&lt;/C&gt;&lt;/FQL&gt;&lt;FQL&gt;&lt;Q&gt;CCO-US^FG_PRICE(12/30/2015)&lt;/Q&gt;&lt;R&gt;1&lt;/R&gt;&lt;C&gt;1&lt;/C&gt;&lt;D xsi:type="xsd:double"&gt;5.5&lt;/D&gt;&lt;/FQL&gt;&lt;FQL&gt;&lt;Q&gt;CCO-US^FG_PRICE(12/31/2017)&lt;/Q&gt;&lt;R&gt;1&lt;/R&gt;&lt;C&gt;1&lt;/C&gt;&lt;D xsi:type="xsd:double"&gt;4.6&lt;/D&gt;&lt;/FQL&gt;&lt;FQL&gt;&lt;Q&gt;UAA-US^FG_PRICE(12/30/2015)&lt;/Q&gt;&lt;R&gt;1&lt;/R&gt;&lt;C&gt;1&lt;/C&gt;&lt;D xsi:type="xsd:double"&gt;41.821957&lt;/D&gt;&lt;/FQL&gt;&lt;FQL&gt;&lt;Q&gt;UAA-US^FG_PRICE(12/31/2017)&lt;/Q&gt;&lt;R&gt;1&lt;/R&gt;&lt;C&gt;1&lt;/C&gt;&lt;D xsi:type="xsd:double"&gt;14.43&lt;/D&gt;&lt;/FQL&gt;&lt;FQL&gt;&lt;Q&gt;BKD-US^FG_PRICE(12/30/2015)&lt;/Q&gt;&lt;R&gt;1&lt;/R&gt;&lt;C&gt;1&lt;/C&gt;&lt;D xsi:type="xsd:double"&gt;18.4&lt;/D&gt;&lt;/FQL&gt;&lt;FQL&gt;&lt;Q&gt;BKD-US^FG_PRICE(12/31/2017)&lt;/Q&gt;&lt;R&gt;1&lt;/R&gt;&lt;C&gt;1&lt;/C&gt;&lt;D xsi:type="xsd:double"&gt;9.7&lt;/D&gt;&lt;/FQL&gt;&lt;FQL&gt;&lt;Q&gt;VIAB-US^FG_PRICE(12/30/2015)&lt;/Q&gt;&lt;R&gt;1&lt;/R&gt;&lt;C&gt;1&lt;/C&gt;&lt;D xsi:type="xsd:double"&gt;40.86&lt;/D&gt;&lt;/FQL&gt;&lt;FQL&gt;&lt;Q&gt;VIAB-US^FG_PRICE(12/31/2017)&lt;/Q&gt;&lt;R&gt;1&lt;/R&gt;&lt;C&gt;1&lt;/C&gt;&lt;D xsi:type="xsd:double"&gt;30.81&lt;/D&gt;&lt;/FQL&gt;&lt;FQL&gt;&lt;Q&gt;CBS-US^FG_PRICE(12/30/2015)&lt;/Q&gt;&lt;R&gt;1&lt;/R&gt;&lt;C&gt;1&lt;/C&gt;&lt;D xsi:type="xsd:double"&gt;46.76&lt;/D&gt;&lt;/FQL&gt;&lt;FQL&gt;&lt;Q&gt;CBS-US^FG_PRICE(12/31/2017)&lt;/Q&gt;&lt;R&gt;1&lt;/R&gt;&lt;C&gt;1&lt;/C&gt;&lt;D xsi:type="xsd:double"&gt;59&lt;/D&gt;&lt;/FQL&gt;&lt;FQL&gt;&lt;Q&gt;LINEQ-US^FG_PRICE(12/30/2015)&lt;/Q&gt;&lt;R&gt;1&lt;/R&gt;&lt;C&gt;1&lt;/C&gt;&lt;D xsi:type="xsd:double"&gt;1.21&lt;/D&gt;&lt;/FQL&gt;&lt;FQL&gt;&lt;Q&gt;LINEQ-US^FG_PRICE(12/31/2017)&lt;/Q&gt;&lt;R&gt;0&lt;/R&gt;&lt;C&gt;0&lt;/C&gt;&lt;/FQL&gt;&lt;FQL&gt;&lt;Q&gt;CMG-US^FG_PRICE(12/30/2015)&lt;/Q&gt;&lt;R&gt;1&lt;/R&gt;&lt;C&gt;1&lt;/C&gt;&lt;D xsi:type="xsd:double"&gt;485.79&lt;/D&gt;&lt;/FQL&gt;&lt;FQL&gt;&lt;Q&gt;CMG-US^FG_PRICE(12/31/2017)&lt;/Q&gt;&lt;R&gt;1&lt;/R&gt;&lt;C&gt;1&lt;/C&gt;&lt;D xsi:type="xsd:double"&gt;289.03&lt;/D&gt;&lt;/FQL&gt;&lt;FQL&gt;&lt;Q&gt;XCOOQ-US^FG_PRICE(12/30/2015)&lt;/Q&gt;&lt;R&gt;1&lt;/R&gt;&lt;C&gt;1&lt;/C&gt;&lt;D xsi:type="xsd:double"&gt;16.200811&lt;/D&gt;&lt;/FQL&gt;&lt;FQL&gt;&lt;Q&gt;XCOOQ-US^FG_PRICE(12/31/2017)&lt;/Q&gt;&lt;R&gt;1&lt;/R&gt;&lt;C&gt;1&lt;/C&gt;&lt;D xsi:type="xsd:double"&gt;0.21&lt;/D&gt;&lt;/FQL&gt;&lt;FQL&gt;&lt;Q&gt;TDG-US^FG_PRICE(12/30/2015)&lt;/Q&gt;&lt;R&gt;1&lt;/R&gt;&lt;C&gt;1&lt;/C&gt;&lt;D xsi:type="xsd:double"&gt;227.88&lt;/D&gt;&lt;/FQL&gt;&lt;FQL&gt;&lt;Q&gt;TDG-US^FG_PRICE(12/31/2017)&lt;/Q&gt;&lt;R&gt;1&lt;/R&gt;&lt;C&gt;1&lt;/C&gt;&lt;D xsi:type="xsd:double"&gt;274.62&lt;/D&gt;&lt;/FQL&gt;&lt;FQL&gt;&lt;Q&gt;MA-US^FG_PRICE(12/30/2015)&lt;/Q&gt;&lt;R&gt;1&lt;/R&gt;&lt;C&gt;1&lt;/C&gt;&lt;D xsi:type="xsd:double"&gt;98.87&lt;/D&gt;&lt;/FQL&gt;&lt;FQL&gt;&lt;Q&gt;MA-US^FG_PRICE(12/31/2017)&lt;/Q&gt;&lt;R&gt;1&lt;/R&gt;&lt;C&gt;1&lt;/C&gt;&lt;D xsi:type="xsd:double"&gt;151.36&lt;/D&gt;&lt;/FQL&gt;&lt;FQL&gt;&lt;Q&gt;POR-US^FG_PRICE(12/30/2015)&lt;/Q&gt;&lt;R&gt;1&lt;/R&gt;&lt;C&gt;1&lt;/C&gt;&lt;D xsi:type="xsd:double"&gt;37.22&lt;/D&gt;&lt;/FQL&gt;&lt;FQL&gt;&lt;Q&gt;POR-US^FG_PRICE(12/31/2017)&lt;/Q&gt;&lt;R&gt;1&lt;/R&gt;&lt;C&gt;1&lt;/C&gt;&lt;D xsi:type="xsd:double"&gt;45.58&lt;/D&gt;&lt;/FQL&gt;&lt;FQL&gt;&lt;Q&gt;HOT-US^FG_PRICE(12/30/2015)&lt;/Q&gt;&lt;R&gt;1&lt;/R&gt;&lt;C&gt;1&lt;/C&gt;&lt;D xsi:type="xsd:double"&gt;64.90181&lt;/D&gt;&lt;/FQL&gt;&lt;FQL&gt;&lt;Q&gt;HOT-US^FG_PRICE(12/31/2017)&lt;/Q&gt;&lt;R&gt;0&lt;/R&gt;&lt;C&gt;0&lt;/C&gt;&lt;/FQL&gt;&lt;FQL&gt;&lt;Q&gt;OCN-US^FG_PRICE(12/30/2015)&lt;/Q&gt;&lt;R&gt;1&lt;/R&gt;&lt;C&gt;1&lt;/C&gt;&lt;D xsi:type="xsd:double"&gt;6.94&lt;/D&gt;&lt;/FQL&gt;&lt;FQL&gt;&lt;Q&gt;OCN-US^FG_PRICE(12/31/2017)&lt;/Q&gt;&lt;R&gt;1&lt;/R&gt;&lt;C&gt;1&lt;/C&gt;&lt;D xsi:type="xsd:double"&gt;3.13&lt;/D&gt;&lt;/FQL&gt;&lt;FQL&gt;&lt;Q&gt;WYN-US^FG_PRICE(12/30/2015)&lt;/Q&gt;&lt;R&gt;1&lt;/R&gt;&lt;C&gt;1&lt;/C&gt;&lt;D xsi:type="xsd:double"&gt;72.88&lt;/D&gt;&lt;/FQL&gt;&lt;FQL&gt;&lt;Q&gt;WYN-US^FG_PRICE(12/31/2017)&lt;/Q&gt;&lt;R&gt;1&lt;/R&gt;&lt;C&gt;1&lt;/C&gt;&lt;D xsi:type="xsd:double"&gt;115.87&lt;/D&gt;&lt;/FQL&gt;&lt;FQL&gt;&lt;Q&gt;HBI-US^FG_PRICE(12/30/2015)&lt;/Q&gt;&lt;R&gt;1&lt;/R&gt;&lt;C&gt;1&lt;/C&gt;&lt;D xsi:type="xsd:double"&gt;29.08&lt;/D&gt;&lt;/FQL&gt;&lt;FQL&gt;&lt;Q&gt;HBI-US^FG_PRICE(12/31/2017)&lt;/Q&gt;&lt;R&gt;1&lt;/R&gt;&lt;C&gt;1&lt;/C&gt;&lt;D xsi:type="xsd:double"&gt;20.91&lt;/D&gt;&lt;/FQL&gt;&lt;FQL&gt;&lt;Q&gt;CAR-US^FG_PRICE(12/30/2015)&lt;/Q&gt;&lt;R&gt;1&lt;/R&gt;&lt;C&gt;1&lt;/C&gt;&lt;D xsi:type="xsd:double"&gt;35.95&lt;/D&gt;&lt;/FQL&gt;&lt;FQL&gt;&lt;Q&gt;CAR-US^FG_PRICE(12/31/2017)&lt;/Q&gt;&lt;R&gt;1&lt;/R&gt;&lt;C&gt;1&lt;/C&gt;&lt;D xsi:type="xsd:double"&gt;43.88&lt;/D&gt;&lt;/FQL&gt;&lt;FQL&gt;&lt;Q&gt;WU-US^FG_PRICE(12/30/2015)&lt;/Q&gt;&lt;R&gt;1&lt;/R&gt;&lt;C&gt;1&lt;/C&gt;&lt;D xsi:type="xsd:double"&gt;18.24&lt;/D&gt;&lt;/FQL&gt;&lt;FQL&gt;&lt;Q&gt;WU-US^FG_PRICE(12/31/2017)&lt;/Q&gt;&lt;R&gt;1&lt;/R&gt;&lt;C&gt;1&lt;/C&gt;&lt;D xsi:type="xsd:double"&gt;19.01&lt;/D&gt;&lt;/FQL&gt;&lt;FQL&gt;&lt;Q&gt;CIEN-US^FG_PRICE(12/30/2015)&lt;/Q&gt;&lt;R&gt;1&lt;/R&gt;&lt;C&gt;1&lt;/C&gt;&lt;D xsi:type="xsd:double"&gt;20.92&lt;/D&gt;&lt;/FQL&gt;&lt;FQL&gt;&lt;Q&gt;CIEN-US^FG_PRICE(12/31/2017)&lt;/Q&gt;&lt;R&gt;1&lt;/R&gt;&lt;C&gt;1&lt;/C&gt;&lt;D xsi:type="xsd:double"&gt;20.93&lt;/D&gt;&lt;/FQL&gt;&lt;FQL&gt;&lt;Q&gt;AWI-US^FG_PRICE(12/30/2015)&lt;/Q&gt;&lt;R&gt;1&lt;/R&gt;&lt;C&gt;1&lt;/C&gt;&lt;D xsi:type="xsd:double"&gt;39.9604&lt;/D&gt;&lt;/FQL&gt;&lt;FQL&gt;&lt;Q&gt;AWI-US^FG_PRICE(12/31/2017)&lt;/Q&gt;&lt;R&gt;1&lt;/R&gt;&lt;C&gt;1&lt;/C&gt;&lt;D xsi:type="xsd:double"&gt;60.55&lt;/D&gt;&lt;/FQL&gt;&lt;FQL&gt;&lt;Q&gt;OC-US^FG_PRICE(12/30/2015)&lt;/Q&gt;&lt;R&gt;1&lt;/R&gt;&lt;C&gt;1&lt;/C&gt;&lt;D xsi:type="xsd:double"&gt;47.36&lt;/D&gt;&lt;/FQL&gt;&lt;FQL&gt;&lt;Q&gt;OC-US^FG_PRICE(12/31/2017)&lt;/Q&gt;&lt;R&gt;1&lt;/R&gt;&lt;C&gt;1&lt;/C&gt;&lt;D xsi:type="xsd:double"&gt;91.94&lt;/D&gt;&lt;/FQL&gt;&lt;FQL&gt;&lt;Q&gt;DEI-US^FG_PRICE(12/30/2015)&lt;/Q&gt;&lt;R&gt;1&lt;/R&gt;&lt;C&gt;1&lt;/C&gt;&lt;D xsi:type="xsd:double"&gt;31.5&lt;/D&gt;&lt;/FQL&gt;&lt;FQL&gt;&lt;Q&gt;DEI-US^FG_PRICE(12/31/2017)&lt;/Q&gt;&lt;R&gt;1&lt;/R&gt;&lt;C&gt;1&lt;/C&gt;&lt;D xsi:type="xsd:double"&gt;41.06&lt;/D&gt;&lt;/FQL&gt;&lt;FQL&gt;&lt;Q&gt;SBH-US^FG_PRICE(12/30/2015)&lt;/Q&gt;&lt;R&gt;1&lt;/R&gt;&lt;C&gt;1&lt;/C&gt;&lt;D xsi:type="xsd:double"&gt;28.07&lt;/D&gt;&lt;/FQL&gt;&lt;FQL&gt;&lt;Q&gt;SBH-US^FG_PRICE(12/31/2017)&lt;/Q&gt;&lt;R&gt;1&lt;/R&gt;&lt;C&gt;1&lt;/C&gt;&lt;D xsi:type="xsd:double"&gt;18.76&lt;/D&gt;&lt;/FQL&gt;&lt;FQL&gt;&lt;Q&gt;KBR-US^FG_PRICE(12/30/2015)&lt;/Q&gt;&lt;R&gt;1&lt;/R&gt;&lt;C&gt;1&lt;/C&gt;&lt;D xsi:type="xsd:double"&gt;16.97&lt;/D&gt;&lt;/FQL&gt;&lt;FQL&gt;&lt;Q&gt;KBR-US^FG_PRICE(12/31/2017)&lt;/Q&gt;&lt;R&gt;1&lt;/R&gt;&lt;C&gt;1&lt;/C&gt;&lt;D xsi:type="xsd:double"&gt;19.83&lt;/D&gt;&lt;/FQL&gt;&lt;FQL&gt;&lt;Q&gt;HTZ-US^FG_PRICE(12/30/2015)&lt;/Q&gt;&lt;R&gt;1&lt;/R&gt;&lt;C&gt;1&lt;/C&gt;&lt;D xsi:type="xsd:double"&gt;56.269814&lt;/D&gt;&lt;/FQL&gt;&lt;FQL&gt;&lt;Q&gt;HTZ-US^FG_PRICE(12/31/2017)&lt;/Q&gt;&lt;R&gt;1&lt;/R&gt;&lt;C&gt;1&lt;/C&gt;&lt;D xsi:type="xsd:double"&gt;22.1&lt;/D&gt;&lt;/FQL&gt;&lt;FQL&gt;&lt;Q&gt;FSLR-US^FG_PRICE(12/30/2015)&lt;/Q&gt;&lt;R&gt;1&lt;/R&gt;&lt;C&gt;1&lt;/C&gt;&lt;D xsi:type="xsd:double"&gt;66.99&lt;/D&gt;&lt;/FQL&gt;&lt;FQL&gt;&lt;Q&gt;FSLR-US^FG_PRICE(12/31/2017)&lt;/Q&gt;&lt;R&gt;1&lt;/R&gt;&lt;C&gt;1&lt;/C&gt;&lt;D xsi:type="xsd:double"&gt;67.52&lt;/D&gt;&lt;/FQL&gt;&lt;FQL&gt;&lt;Q&gt;SPR-US^FG_PRICE(12/30/2015)&lt;/Q&gt;&lt;R&gt;1&lt;/R&gt;&lt;C&gt;1&lt;/C&gt;&lt;D xsi:type="xsd:double"&gt;48.97&lt;/D&gt;&lt;/FQL&gt;&lt;FQL&gt;&lt;Q&gt;SPR-US^FG_PRICE(12/31/2017)&lt;/Q&gt;&lt;R&gt;1&lt;/R&gt;&lt;C&gt;1&lt;/C&gt;&lt;D xsi:type="xsd:double"&gt;87.25&lt;/D&gt;&lt;/FQL&gt;&lt;FQL&gt;&lt;Q&gt;SE.XX11-US^FG_PRICE(12/30/2015)&lt;/Q&gt;&lt;R&gt;1&lt;/R&gt;&lt;C&gt;1&lt;/C&gt;&lt;D xsi:type="xsd:double"&gt;23.73&lt;/D&gt;&lt;/FQL&gt;&lt;FQL&gt;&lt;Q&gt;SE.XX11-US^FG_PRICE(12/31/2017)&lt;/Q&gt;&lt;R&gt;0&lt;/R&gt;&lt;C&gt;0&lt;/C&gt;&lt;/FQL&gt;&lt;FQL&gt;&lt;Q&gt;BLY-AU^FG_PRICE(12/30/2015)&lt;/Q&gt;&lt;R&gt;1&lt;/R&gt;&lt;C&gt;1&lt;/C&gt;&lt;D xsi:type="xsd:double"&gt;0.063&lt;/D&gt;&lt;/FQL&gt;&lt;FQL&gt;&lt;Q&gt;BLY-AU^FG_PRICE(12/31/2017)&lt;/Q&gt;&lt;R&gt;1&lt;/R&gt;&lt;C&gt;1&lt;/C&gt;&lt;D xsi:type="xsd:double"&gt;0.01&lt;/D&gt;&lt;/FQL&gt;&lt;FQL&gt;&lt;Q&gt;BR-US^FG_PRICE(12/30/2015)&lt;/Q&gt;&lt;R&gt;1&lt;/R&gt;&lt;C&gt;1&lt;/C&gt;&lt;D xsi:type="xsd:double"&gt;54.54&lt;/D&gt;&lt;/FQL&gt;&lt;FQL&gt;&lt;Q&gt;BR-US^FG_PRICE(12/31/2017)&lt;/Q&gt;&lt;R&gt;1&lt;/R&gt;&lt;C&gt;1&lt;/C&gt;&lt;D xsi:type="xsd:double"&gt;90.58&lt;/D&gt;&lt;/FQL&gt;&lt;FQL&gt;&lt;Q&gt;ACM-US^FG_PRICE(12/30/2015)&lt;/Q&gt;&lt;R&gt;1&lt;/R&gt;&lt;C&gt;1&lt;/C&gt;&lt;D xsi:type="xsd:double"&gt;30.4&lt;/D&gt;&lt;/FQL&gt;&lt;FQL&gt;&lt;Q&gt;ACM-US^FG_PRICE(12/31/2017)&lt;/Q&gt;&lt;R&gt;1&lt;/R&gt;&lt;C&gt;1&lt;/C&gt;&lt;D xsi:type="xsd:double"&gt;37.15&lt;/D&gt;&lt;/FQL&gt;&lt;FQL&gt;&lt;Q&gt;PBCT-US^FG_PRICE(12/30/2015)&lt;/Q&gt;&lt;R&gt;1&lt;/R&gt;&lt;C&gt;1&lt;/C&gt;&lt;D xsi:type="xsd:double"&gt;16.35&lt;/D&gt;&lt;/FQL&gt;&lt;FQL&gt;&lt;Q&gt;PBCT-US^FG_PRICE(12/31/2017)&lt;/Q&gt;&lt;R&gt;1&lt;/R&gt;&lt;C&gt;1&lt;/C&gt;&lt;D xsi:type="xsd:double"&gt;18.7&lt;/D&gt;&lt;/FQL&gt;&lt;FQL&gt;&lt;Q&gt;TFSL-US^FG_PRICE(12/30/2015)&lt;/Q&gt;&lt;R&gt;1&lt;/R&gt;&lt;C&gt;1&lt;/C&gt;&lt;D xsi:type="xsd:double"&gt;19.02&lt;/D&gt;&lt;/FQL&gt;&lt;FQL&gt;&lt;Q&gt;TFSL-US^FG_PRICE(12/31/2017)&lt;/Q&gt;&lt;R&gt;1&lt;/R&gt;&lt;C&gt;1&lt;/C&gt;&lt;D xsi:type="xsd:double"&gt;14.94&lt;/D&gt;&lt;/FQL&gt;&lt;FQL&gt;&lt;Q&gt;DAL-US^FG_PRICE(12/30/2015)&lt;/Q&gt;&lt;R&gt;1&lt;/R&gt;&lt;C&gt;1&lt;/C&gt;&lt;D xsi:type="xsd:double"&gt;51.17&lt;/D&gt;&lt;/FQL&gt;&lt;FQL&gt;&lt;Q&gt;DAL-US^FG_PRICE(12/31/2017)&lt;/Q&gt;&lt;R&gt;1&lt;/R&gt;&lt;C&gt;1&lt;/C&gt;&lt;D xsi:type="xsd:double"&gt;56&lt;/D&gt;&lt;/FQL&gt;&lt;FQL&gt;&lt;Q&gt;IBKR-US^FG_PRICE(12/30/2015)&lt;/Q&gt;&lt;R&gt;1&lt;/R&gt;&lt;C&gt;1&lt;/C&gt;&lt;D xsi:type="xsd:double"&gt;43.68&lt;/D&gt;&lt;/FQL&gt;&lt;FQL&gt;&lt;Q&gt;IBKR-US^FG_PRICE(12/31/2017)&lt;/Q&gt;&lt;R&gt;1&lt;/R&gt;&lt;C&gt;1&lt;/C&gt;&lt;D xsi:type="xsd:double"&gt;59.21&lt;/D&gt;&lt;/FQL&gt;&lt;FQL&gt;&lt;Q&gt;SLH-US^FG_PRICE(12/30/2015)&lt;/Q&gt;&lt;R&gt;1&lt;/R&gt;&lt;C&gt;1&lt;/C&gt;&lt;D xsi:type="xsd:double"&gt;54.66&lt;/D&gt;&lt;/FQL&gt;&lt;FQL&gt;&lt;Q&gt;SLH-US^FG_PRICE(12/31/2017)&lt;/Q&gt;&lt;R&gt;0&lt;/R&gt;&lt;C&gt;0&lt;/C&gt;&lt;/FQL&gt;&lt;FQL&gt;&lt;Q&gt;CLR-US^FG_PRICE(12/30/2015)&lt;/Q&gt;&lt;R&gt;1&lt;/R&gt;&lt;C&gt;1&lt;/C&gt;&lt;D xsi:type="xsd:double"&gt;22.25&lt;/D&gt;&lt;/FQL&gt;&lt;FQL&gt;&lt;Q&gt;CLR-US^FG_PRICE(12/31/2017)&lt;/Q&gt;&lt;R&gt;1&lt;/R&gt;&lt;C&gt;1&lt;/C&gt;&lt;D xsi:type="xsd:double"&gt;52.97&lt;/D&gt;&lt;/FQL&gt;&lt;FQL&gt;&lt;Q&gt;DFS-US^FG_PRICE(12/30/2015)&lt;/Q&gt;&lt;R&gt;1&lt;/R&gt;&lt;C&gt;1&lt;/C&gt;&lt;D xsi:type="xsd:double"&gt;54.25&lt;/D&gt;&lt;/FQL&gt;&lt;FQL&gt;&lt;Q&gt;DFS-US^FG_PRICE(12/31/2017)&lt;/Q&gt;&lt;R&gt;1&lt;/R&gt;&lt;C&gt;1&lt;/C&gt;&lt;D xsi:type="xsd:double"&gt;76.92&lt;/D&gt;&lt;/FQL&gt;&lt;FQL&gt;&lt;Q&gt;BX-US^FG_PRICE(12/30/2015)&lt;/Q&gt;&lt;R&gt;1&lt;/R&gt;&lt;C&gt;1&lt;/C&gt;&lt;D xsi:type="xsd:double"&gt;29.71&lt;/D&gt;&lt;/FQL&gt;&lt;FQL&gt;&lt;Q&gt;BX-US^FG_PRICE(12/31/2017)&lt;/Q&gt;&lt;R&gt;1&lt;/R&gt;&lt;C&gt;1&lt;/C&gt;&lt;D xsi:type="xsd:double"&gt;32.02&lt;/D&gt;&lt;/FQL&gt;&lt;FQL&gt;&lt;Q&gt;CXO-US^FG_PRICE(12/30/2015)&lt;/Q&gt;&lt;R&gt;1&lt;/R&gt;&lt;C&gt;1&lt;/C&gt;&lt;D xsi:type="xsd:double"&gt;91.58&lt;/D&gt;&lt;/FQL&gt;&lt;FQL&gt;&lt;Q&gt;CXO-US^FG_PRICE(12/31/2017)&lt;/Q&gt;&lt;R&gt;1&lt;/R&gt;&lt;C&gt;1&lt;/C&gt;&lt;D xsi:type="xsd:double"&gt;150.22&lt;/D&gt;&lt;/FQL&gt;&lt;FQL&gt;&lt;Q&gt;BK-US^FG_PRICE(12/30/2015)&lt;/Q&gt;&lt;R&gt;1&lt;/R&gt;&lt;C&gt;1&lt;/C&gt;&lt;D xsi:type="xsd:double"&gt;41.28&lt;/D&gt;&lt;/FQL&gt;&lt;FQL&gt;&lt;Q&gt;BK-US^FG_PRICE(12/31/2017)&lt;/Q&gt;&lt;R&gt;1&lt;/R&gt;&lt;C&gt;1&lt;/C&gt;&lt;D xsi:type="xsd:double"&gt;53.86&lt;/D&gt;&lt;/FQL&gt;&lt;FQL&gt;&lt;Q&gt;VMW-US^FG_PRICE(12/30/2015)&lt;/Q&gt;&lt;R&gt;1&lt;/R&gt;&lt;C&gt;1&lt;/C&gt;&lt;D xsi:type="xsd:double"&gt;57.03&lt;/D&gt;&lt;/FQL&gt;&lt;FQL&gt;&lt;Q&gt;VMW-US^FG_PRICE(12/31/2017)&lt;/Q&gt;&lt;R&gt;1&lt;/R&gt;&lt;C&gt;1&lt;/C&gt;&lt;D xsi:type="xsd:double"&gt;125.32&lt;/D&gt;&lt;/FQL&gt;&lt;FQL&gt;&lt;Q&gt;TDC-US^FG_PRICE(12/30/2015)&lt;/Q&gt;&lt;R&gt;1&lt;/R&gt;&lt;C&gt;1&lt;/C&gt;&lt;D xsi:type="xsd:double"&gt;26.82&lt;/D&gt;&lt;/FQL&gt;&lt;FQL&gt;&lt;Q&gt;TDC-US^FG_PRICE(12/31/2017)&lt;/Q&gt;&lt;R&gt;1&lt;/R&gt;&lt;C&gt;1&lt;/C&gt;&lt;D xsi:type="xsd:double"&gt;38.46&lt;/D&gt;&lt;/FQL&gt;&lt;FQL&gt;&lt;Q&gt;SDOCQ-US^FG_PRICE(12/30/2015)&lt;/Q&gt;&lt;R&gt;1&lt;/R&gt;&lt;C&gt;1&lt;/C&gt;&lt;D xsi:type="xsd:double"&gt;0.17&lt;/D&gt;&lt;/FQL&gt;&lt;FQL&gt;&lt;Q&gt;SDOCQ-US^FG_PRICE(12/31/2017)&lt;/Q&gt;&lt;R&gt;0&lt;/R&gt;&lt;C&gt;0&lt;/C&gt;&lt;/FQL&gt;&lt;FQL&gt;&lt;Q&gt;ULTA-US^FG_PRICE(12/30/2015)&lt;/Q&gt;&lt;R&gt;1&lt;/R&gt;&lt;C&gt;1&lt;/C&gt;&lt;D xsi:type="xsd:double"&gt;185.61&lt;/D&gt;&lt;/FQL&gt;&lt;FQL&gt;&lt;Q&gt;ULTA-US^FG_PRICE(12/31/2017)&lt;/Q&gt;&lt;R&gt;1&lt;/R&gt;&lt;C&gt;1&lt;/C&gt;&lt;D xsi:type="xsd:double"&gt;223.66&lt;/D&gt;&lt;/FQL&gt;&lt;FQL&gt;&lt;Q&gt;IVZ-US^FG_PRICE(12/30/2015)&lt;/Q&gt;&lt;R&gt;1&lt;/R&gt;&lt;C&gt;1&lt;/C&gt;&lt;D xsi:type="xsd:double"&gt;33.38&lt;/D&gt;&lt;/FQL&gt;&lt;FQL&gt;&lt;Q&gt;IVZ-US^FG_PRICE(12/31/2017)&lt;/Q&gt;&lt;R&gt;1&lt;/R&gt;&lt;C&gt;1&lt;/C&gt;&lt;D xsi:type="xsd:double"&gt;36.54&lt;/D&gt;&lt;/FQL&gt;&lt;FQL&gt;&lt;Q&gt;MSCI-US^FG_PRICE(12/30/2015)&lt;/Q&gt;&lt;R&gt;1&lt;/R&gt;&lt;C&gt;1&lt;/C&gt;&lt;D xsi:type="xsd:double"&gt;72.59&lt;/D&gt;&lt;/FQL&gt;&lt;FQL&gt;&lt;Q&gt;MSCI-US^FG_PRICE(12/31/2017)&lt;/Q&gt;&lt;R&gt;1&lt;/R&gt;&lt;C&gt;1&lt;/C&gt;&lt;D xsi:type="xsd:double"&gt;126.54&lt;/D&gt;&lt;/FQL&gt;&lt;FQL&gt;&lt;Q&gt;FDML-US^FG_PRICE(12/30/2015)&lt;/Q&gt;&lt;R&gt;1&lt;/R&gt;&lt;C&gt;1&lt;/C&gt;&lt;D xsi:type="xsd:double"&gt;6.88&lt;/D&gt;&lt;/FQL&gt;&lt;FQL&gt;&lt;Q&gt;FDML-US^FG_PRICE(12/31/2017)&lt;/Q&gt;&lt;R&gt;0&lt;/R&gt;&lt;C&gt;0&lt;/C&gt;&lt;/FQL&gt;&lt;FQL&gt;&lt;Q&gt;N-US^FG_PRICE(12/30/2015)&lt;/Q&gt;&lt;R&gt;1&lt;/R&gt;&lt;C&gt;1&lt;/C&gt;&lt;D xsi:type="xsd:double"&gt;85.62&lt;/D&gt;&lt;/FQL&gt;&lt;FQL&gt;&lt;Q&gt;N-US^FG_PRICE(12/31/2017)&lt;/Q&gt;&lt;R&gt;0&lt;/R&gt;&lt;C&gt;0&lt;/C&gt;&lt;/FQL&gt;&lt;FQL&gt;&lt;Q&gt;SATS-US^FG_PRICE(12/30/2015)&lt;/Q&gt;&lt;R&gt;1&lt;/R&gt;&lt;C&gt;1&lt;/C&gt;&lt;D xsi:type="xsd:double"&gt;38.37&lt;/D&gt;&lt;/FQL&gt;&lt;FQL&gt;&lt;Q&gt;SATS-US^FG_PRICE(12/31/2017)&lt;/Q&gt;&lt;R&gt;1&lt;/R&gt;&lt;C&gt;1&lt;/C&gt;&lt;D xsi:type="xsd:double"&gt;59.9&lt;/D&gt;&lt;/FQL&gt;&lt;FQL&gt;&lt;Q&gt;CPN-US^FG_PRICE(12/30/2015)&lt;/Q&gt;&lt;R&gt;1&lt;/R&gt;&lt;C&gt;1&lt;/C&gt;&lt;D xsi:type="xsd:double"&gt;14.21&lt;/D&gt;&lt;/FQL&gt;&lt;FQL&gt;&lt;Q&gt;CPN-US^FG_PRICE(12/31/2017)&lt;/Q&gt;&lt;R&gt;1&lt;/R&gt;&lt;C&gt;1&lt;/C&gt;&lt;D xsi:type="xsd:double"&gt;15.13&lt;/D&gt;&lt;/FQL&gt;&lt;FQL&gt;&lt;Q&gt;PM-US^FG_PRICE(12/30/2015)&lt;/Q&gt;&lt;R&gt;1&lt;/R&gt;&lt;C&gt;1&lt;/C&gt;&lt;D xsi:type="xsd:double"&gt;88.98&lt;/D&gt;&lt;/FQL&gt;&lt;FQL&gt;&lt;Q&gt;PM-US^FG_PRICE(12/31/2017)&lt;/Q&gt;&lt;R&gt;1&lt;/R&gt;&lt;C&gt;1&lt;/C&gt;&lt;D xsi:type="xsd:double"&gt;105.65&lt;/D&gt;&lt;/FQL&gt;&lt;FQL&gt;&lt;Q&gt;V-US^FG_PRICE(12/30/2015)&lt;/Q&gt;&lt;R&gt;1&lt;/R&gt;&lt;C&gt;1&lt;/C&gt;&lt;D xsi:type="xsd:double"&gt;78.35&lt;/D&gt;&lt;/FQL&gt;&lt;FQL&gt;&lt;Q&gt;V-US^FG_PRICE(12/31/2017)&lt;/Q&gt;&lt;R&gt;1&lt;/R&gt;&lt;C&gt;1&lt;/C&gt;&lt;D xsi:type="xsd:double"&gt;114.02&lt;/D&gt;&lt;/FQL&gt;&lt;FQL&gt;&lt;Q&gt;HI-US^FG_PRICE(12/30/2015)&lt;/Q&gt;&lt;R&gt;1&lt;/R&gt;&lt;C&gt;1&lt;/C&gt;&lt;D xsi:type="xsd:double"&gt;30.06&lt;/D&gt;&lt;/FQL&gt;&lt;FQL&gt;&lt;Q&gt;HI-US^FG_PRICE(12/31/2017)&lt;/Q&gt;&lt;R&gt;1&lt;/R&gt;&lt;C&gt;1&lt;/C&gt;&lt;D xsi:type="xsd:double"&gt;44.7&lt;/D&gt;&lt;/FQL&gt;&lt;FQL&gt;&lt;Q&gt;IPI-US^FG_PRICE(12/30/2015)&lt;/Q&gt;&lt;R&gt;1&lt;/R&gt;&lt;C&gt;1&lt;/C&gt;&lt;D xsi:type="xsd:double"&gt;2.91&lt;/D&gt;&lt;/FQL&gt;&lt;FQL&gt;&lt;Q&gt;IPI-US^FG_PRICE(12/31/2017)&lt;/Q&gt;&lt;R&gt;1&lt;/R&gt;&lt;C&gt;1&lt;/C&gt;&lt;D xsi:type="xsd:double"&gt;4.76&lt;/D&gt;&lt;/FQL&gt;&lt;FQL&gt;&lt;Q&gt;DPS-US^FG_PRICE(12/30/2015)&lt;/Q&gt;&lt;R&gt;1&lt;/R&gt;&lt;C&gt;1&lt;/C&gt;&lt;D xsi:type="xsd:double"&gt;94.65&lt;/D&gt;&lt;/FQL&gt;&lt;FQL&gt;&lt;Q&gt;DPS-US^FG_PRICE(12/31/2017)&lt;/Q&gt;&lt;R&gt;1&lt;/R&gt;&lt;C&gt;1&lt;/C&gt;&lt;D xsi:type="xsd:double"&gt;97.06&lt;/D&gt;&lt;/FQL&gt;&lt;FQL&gt;&lt;Q&gt;AWK-US^FG_PRICE(12/30/2015)&lt;/Q&gt;&lt;R&gt;1&lt;/R&gt;&lt;C&gt;1&lt;/C&gt;&lt;D xsi:type="xsd:double"&gt;60.45&lt;/D&gt;&lt;/FQL&gt;&lt;FQL&gt;&lt;Q&gt;AWK-US^FG_PRICE(12/31/2017)&lt;/Q&gt;&lt;R&gt;1&lt;/R&gt;&lt;C&gt;1&lt;/C&gt;&lt;D xsi:type="xsd:double"&gt;91.49&lt;/D&gt;&lt;/FQL&gt;&lt;FQL&gt;&lt;Q&gt;HTS-US^FG_PRICE(12/30/2015)&lt;/Q&gt;&lt;R&gt;1&lt;/R&gt;&lt;C&gt;1&lt;/C&gt;&lt;D xsi:type="xsd:double"&gt;13.26&lt;/D&gt;&lt;/FQL&gt;&lt;FQL&gt;&lt;Q&gt;HTS-US^FG_PRICE(12/31/2017)&lt;/Q&gt;&lt;R&gt;0&lt;/R&gt;&lt;C&gt;0&lt;/C&gt;&lt;/FQL&gt;&lt;FQL&gt;&lt;Q&gt;AGNC-US^FG_PRICE(12/30/2015)&lt;/Q&gt;&lt;R&gt;1&lt;/R&gt;&lt;C&gt;1&lt;/C&gt;&lt;D xsi:type="xsd:double"&gt;17.4&lt;/D&gt;&lt;/FQL&gt;&lt;FQL&gt;&lt;Q&gt;AGNC-US^FG_PRICE(12/31/2017)&lt;/Q&gt;&lt;R&gt;1&lt;/R&gt;&lt;C&gt;1&lt;/C&gt;&lt;D xsi:type="xsd:double"&gt;20.19&lt;/D&gt;&lt;/FQL&gt;&lt;FQL&gt;&lt;Q&gt;TIVO-US^FG_PRICE(12/30/2015)&lt;/Q&gt;&lt;R&gt;1&lt;/R&gt;&lt;C&gt;1&lt;/C&gt;&lt;D xsi:type="xsd:double"&gt;16.73&lt;/D&gt;&lt;/FQL&gt;&lt;FQL&gt;&lt;Q&gt;TIVO-US^FG_PRICE(12/31/2017)&lt;/Q&gt;&lt;R&gt;1&lt;/R&gt;&lt;C&gt;1&lt;/C&gt;&lt;D xsi:type="xsd:double"&gt;15.6&lt;/D&gt;&lt;/FQL&gt;&lt;FQL&gt;&lt;Q&gt;CFX-US^FG_PRICE(12/30/2015)&lt;/Q&gt;&lt;R&gt;1&lt;/R&gt;&lt;C&gt;1&lt;/C&gt;&lt;D xsi:type="xsd:double"&gt;23.37&lt;/D&gt;&lt;/FQL&gt;&lt;FQL&gt;&lt;Q&gt;CFX-US^FG_PRICE(12/31/2017)&lt;/Q&gt;&lt;R&gt;1&lt;/R&gt;&lt;C&gt;1&lt;/C&gt;&lt;D xsi:type="xsd:double"&gt;39.62&lt;/D&gt;&lt;/FQL&gt;&lt;FQL&gt;&lt;Q&gt;SNI-US^FG_PRICE(12/30/2015)&lt;/Q&gt;&lt;R&gt;1&lt;/R&gt;&lt;C&gt;1&lt;/C&gt;&lt;D xsi:type="xsd:double"&gt;54.65&lt;/D&gt;&lt;/FQL&gt;&lt;FQL&gt;&lt;Q&gt;SNI-US^FG_PRICE(12/31/2017)&lt;/Q&gt;&lt;R&gt;1&lt;/R&gt;&lt;C&gt;1&lt;/C&gt;&lt;D xsi:type="xsd:double"&gt;85.38&lt;/D&gt;&lt;/FQL&gt;&lt;FQL&gt;&lt;Q&gt;DISCA-US^FG_PRICE(12/30/2015)&lt;/Q&gt;&lt;R&gt;1&lt;/R&gt;&lt;C&gt;1&lt;/C&gt;&lt;D xsi:type="xsd:double"&gt;26.56&lt;/D&gt;&lt;/FQL&gt;&lt;FQL&gt;&lt;Q&gt;DISCA-US^FG_PRICE(12/31/2017)&lt;/Q&gt;&lt;R&gt;1&lt;/R&gt;&lt;C&gt;1&lt;/C&gt;&lt;D xsi:type="xsd:double"&gt;22.38&lt;/D&gt;&lt;/FQL&gt;&lt;FQL&gt;&lt;Q&gt;MPC-US^FG_PRICE(12/30/2015)&lt;/Q&gt;&lt;R&gt;1&lt;/R&gt;&lt;C&gt;1&lt;/C&gt;&lt;D xsi:type="xsd:double"&gt;52.3&lt;/D&gt;&lt;/FQL&gt;&lt;FQL&gt;&lt;Q&gt;MPC-US^FG_PRICE(12/31/2017)&lt;/Q&gt;&lt;R&gt;1&lt;/R&gt;&lt;C&gt;1&lt;/C&gt;&lt;D xsi:type="xsd:double"&gt;65.98&lt;/D&gt;&lt;/FQL&gt;&lt;FQL&gt;&lt;Q&gt;CFFN-US^FG_PRICE(12/30/2015)&lt;/Q&gt;&lt;R&gt;1&lt;/R&gt;&lt;C&gt;1&lt;/C&gt;&lt;D xsi:type="xsd:double"&gt;12.8&lt;/D&gt;&lt;/FQL&gt;&lt;FQL&gt;&lt;Q&gt;CFFN-US^FG_PRICE(12/31/2017)&lt;/Q&gt;&lt;R&gt;1&lt;/R&gt;&lt;C&gt;1&lt;/C&gt;&lt;D xsi:type="xsd:double"&gt;13.41&lt;/D&gt;&lt;/FQL&gt;&lt;FQL&gt;&lt;Q&gt;DNKN-US^FG_PRICE(12/30/2015)&lt;/Q&gt;&lt;R&gt;1&lt;/R&gt;&lt;C&gt;1&lt;/C&gt;&lt;D xsi:type="xsd:double"&gt;42.67&lt;/D&gt;&lt;/FQL&gt;&lt;FQL&gt;&lt;Q&gt;DNKN-US^FG_PRICE(12/31/2017)&lt;/Q&gt;&lt;R&gt;1&lt;/R&gt;&lt;C&gt;1&lt;/C&gt;&lt;D xsi:type="xsd:double"&gt;64.47&lt;/D&gt;&lt;/FQL&gt;&lt;FQL&gt;&lt;Q&gt;PDM-US^FG_PRICE(12/30/2015)&lt;/Q&gt;&lt;R&gt;1&lt;/R&gt;&lt;C&gt;1&lt;/C&gt;&lt;D xsi:type="xsd:double"&gt;19.11&lt;/D&gt;&lt;/FQL&gt;&lt;FQL&gt;&lt;Q&gt;PDM-US^FG_PRICE(12/31/2017)&lt;/Q&gt;&lt;R&gt;1&lt;/R&gt;&lt;C&gt;1&lt;/C&gt;&lt;D xsi:type="xsd:double"&gt;19.61&lt;/D&gt;&lt;/FQL&gt;&lt;FQL&gt;&lt;Q&gt;FBHS-US^FG_PRICE(12/30/2015)&lt;/Q&gt;&lt;R&gt;1&lt;/R&gt;&lt;C&gt;1&lt;/C&gt;&lt;D xsi:type="xsd:double"&gt;56.25&lt;/D&gt;&lt;/FQL&gt;&lt;FQL&gt;&lt;Q&gt;FBHS-US^FG_PRICE(12/31/2017)&lt;/Q&gt;&lt;R&gt;1&lt;/R&gt;&lt;C&gt;1&lt;/C&gt;&lt;D xsi:type="xsd:double"&gt;68.44&lt;/D&gt;&lt;/FQL&gt;&lt;FQL&gt;&lt;Q&gt;MOS-US^FG_PRICE(12/30/2015)&lt;/Q&gt;&lt;R&gt;1&lt;/R&gt;&lt;C&gt;1&lt;/C&gt;&lt;D xsi:type="xsd:double"&gt;28.35&lt;/D&gt;&lt;/FQL&gt;&lt;FQL&gt;&lt;Q&gt;MOS-US^FG_PRICE(12/31/2017)&lt;/Q&gt;&lt;R&gt;1&lt;/R&gt;&lt;C&gt;1&lt;/C&gt;&lt;D xsi:type="xsd:double"&gt;25.66&lt;/D&gt;&lt;/FQL&gt;&lt;FQL&gt;&lt;Q&gt;KMI-US^FG_PRICE(12/30/2015)&lt;/Q&gt;&lt;R&gt;1&lt;/R&gt;&lt;C&gt;1&lt;/C&gt;&lt;D xsi:type="xsd:double"&gt;14.54&lt;/D&gt;&lt;/FQL&gt;&lt;FQL&gt;&lt;Q&gt;KMI-US^FG_PRICE(12/31/2017)&lt;/Q&gt;&lt;R&gt;1&lt;/R&gt;&lt;C&gt;1&lt;/C&gt;&lt;D xsi:type="xsd:double"&gt;18.07&lt;/D&gt;&lt;/FQL&gt;&lt;FQL&gt;&lt;Q&gt;WEN-US^FG_PRICE(12/30/2015)&lt;/Q&gt;&lt;R&gt;1&lt;/R&gt;&lt;C&gt;1&lt;/C&gt;&lt;D xsi:type="xsd:double"&gt;10.85&lt;/D&gt;&lt;/FQL&gt;&lt;FQL&gt;&lt;Q&gt;WEN-US^FG_PRICE(12/31/2017)&lt;/Q&gt;&lt;R&gt;1&lt;/R&gt;&lt;C&gt;1&lt;/C&gt;&lt;D xsi:type="xsd:double"&gt;16.42&lt;/D&gt;&lt;/FQL&gt;&lt;FQL&gt;&lt;Q&gt;XYL-US^FG_PRICE(12/30/2015)&lt;/Q&gt;&lt;R&gt;1&lt;/R&gt;&lt;C&gt;1&lt;/C&gt;&lt;D xsi:type="xsd:double"&gt;36.87&lt;/D&gt;&lt;/FQL&gt;&lt;FQL&gt;&lt;Q&gt;XYL-US^FG_PRICE(12/31/2017)&lt;/Q&gt;&lt;R&gt;1&lt;/R&gt;&lt;C&gt;1&lt;/C&gt;&lt;D xsi:type="xsd:double"&gt;68.2&lt;/D&gt;&lt;/FQL&gt;&lt;FQL&gt;&lt;Q&gt;SWK-US^FG_PRICE(12/30/2015)&lt;/Q&gt;&lt;R&gt;1&lt;/R&gt;&lt;C&gt;1&lt;/C&gt;&lt;D xsi:type="xsd:double"&gt;107.23&lt;/D&gt;&lt;/FQL&gt;&lt;FQL&gt;&lt;Q&gt;SWK-US^FG_PRICE(12/31/2017)&lt;/Q&gt;&lt;R&gt;1&lt;/R&gt;&lt;C&gt;1&lt;/C&gt;&lt;D xsi:type="xsd:double"&gt;169.69&lt;/D&gt;&lt;/FQL&gt;&lt;FQL&gt;&lt;Q&gt;RCM-US^FG_PRICE(12/30/2015)&lt;/Q&gt;&lt;R&gt;1&lt;/R&gt;&lt;C&gt;1&lt;/C&gt;&lt;D xsi:type="xsd:double"&gt;3.25&lt;/D&gt;&lt;/FQL&gt;&lt;FQL&gt;&lt;Q&gt;RCM-US^FG_PRICE(12/31/2017)&lt;/Q&gt;&lt;R&gt;1&lt;/R&gt;&lt;C&gt;1&lt;/C&gt;&lt;D xsi:type="xsd:double"&gt;4.41&lt;/D&gt;&lt;/FQL&gt;&lt;FQL&gt;&lt;Q&gt;PVH-US^FG_PRICE(12/30/2015)&lt;/Q&gt;&lt;R&gt;1&lt;/R&gt;&lt;C&gt;1&lt;/C&gt;&lt;D xsi:type="xsd:double"&gt;73.15&lt;/D&gt;&lt;/FQL&gt;&lt;FQL&gt;&lt;Q&gt;PVH-US^FG_PRICE(12/31/2017)&lt;/Q&gt;&lt;R&gt;1&lt;/R&gt;&lt;C&gt;1&lt;/C&gt;&lt;D xsi:type="xsd:double"&gt;137.21&lt;/D&gt;&lt;/FQL&gt;&lt;FQL&gt;&lt;Q&gt;GNC-US^FG_PRICE(12/30/2015)&lt;/Q&gt;&lt;R&gt;1&lt;/R&gt;&lt;C&gt;1&lt;/C&gt;&lt;D xsi:type="xsd:double"&gt;31.13&lt;/D&gt;&lt;/FQL&gt;&lt;FQL&gt;&lt;Q&gt;GNC-US^FG_PRICE(12/31/2017)&lt;/Q&gt;&lt;R&gt;1&lt;/R&gt;&lt;C&gt;1&lt;/C&gt;&lt;D xsi:type="xsd:double"&gt;3.69&lt;/D&gt;&lt;/FQL&gt;&lt;FQL&gt;&lt;Q&gt;LNKD-US^FG_PRICE(12/30/2015)&lt;/Q&gt;&lt;R&gt;1&lt;/R&gt;&lt;C&gt;1&lt;/C&gt;&lt;D xsi:type="xsd:double"&gt;227.53&lt;/D&gt;&lt;/FQL&gt;&lt;FQL&gt;&lt;Q&gt;LNKD-US^FG_PRICE(12/31/2017)&lt;/Q&gt;&lt;R&gt;0&lt;/R&gt;&lt;C&gt;0&lt;/C&gt;&lt;/FQL&gt;&lt;FQL&gt;&lt;Q&gt;ASR-CA^FG_PRICE(12/30/2015)&lt;/Q&gt;&lt;R&gt;1&lt;/R&gt;&lt;C&gt;1&lt;/C&gt;&lt;D xsi:type="xsd:double"&gt;2.48&lt;/D&gt;&lt;/FQL&gt;&lt;FQL&gt;&lt;Q&gt;ASR-CA^FG_PRICE(12/31/2017)&lt;/Q&gt;&lt;R&gt;1&lt;/R&gt;&lt;C&gt;1&lt;/C&gt;&lt;D xsi:type="xsd:double"&gt;2.23&lt;/D&gt;&lt;/FQL&gt;&lt;FQL&gt;&lt;Q&gt;WPX-US^FG_PRICE(12/30/2015)&lt;/Q&gt;&lt;R&gt;1&lt;/R&gt;&lt;C&gt;1&lt;/C&gt;&lt;D xsi:type="xsd:double"&gt;5.16&lt;/D&gt;&lt;/FQL&gt;&lt;FQL&gt;&lt;Q&gt;WPX-US^FG_PRICE(12/31/2017)&lt;/Q&gt;&lt;R&gt;1&lt;/R&gt;&lt;C&gt;1&lt;/C&gt;&lt;D xsi:type="xsd:double"&gt;14.07&lt;/D&gt;&lt;/FQL&gt;&lt;FQL&gt;&lt;Q&gt;SPLK-US^FG_PRICE(12/30/2015)&lt;/Q&gt;&lt;R&gt;1&lt;/R&gt;&lt;C&gt;1&lt;/C&gt;&lt;D xsi:type="xsd:double"&gt;58.79&lt;/D&gt;&lt;/FQL&gt;&lt;FQL&gt;&lt;Q&gt;SPLK-US^FG_PRICE(12/31/2017)&lt;/Q&gt;&lt;R&gt;1&lt;/R&gt;&lt;C&gt;1&lt;/C&gt;&lt;D xsi:type="xsd:double"&gt;82.84&lt;/D&gt;&lt;/FQL&gt;&lt;FQL&gt;&lt;Q&gt;CCE-US^FG_PRICE(12/30/2015)&lt;/Q&gt;&lt;R&gt;1&lt;/R&gt;&lt;C&gt;1&lt;/C&gt;&lt;D xsi:type="xsd:double"&gt;49.62&lt;/D&gt;&lt;/FQL&gt;&lt;FQL&gt;&lt;Q&gt;CCE-US^FG_PRICE(12/31/2017)&lt;/Q&gt;&lt;R&gt;1&lt;/R&gt;&lt;C&gt;1&lt;/C&gt;&lt;D xsi:type="xsd:double"&gt;39.85&lt;/D&gt;&lt;/FQL&gt;&lt;FQL&gt;&lt;Q&gt;KKR-US^FG_PRICE(12/30/2015)&lt;/Q&gt;&lt;R&gt;1&lt;/R&gt;&lt;C&gt;1&lt;/C&gt;&lt;D xsi:type="xsd:double"&gt;15.61&lt;/D&gt;&lt;/FQL&gt;&lt;FQL&gt;&lt;Q&gt;KKR-US^FG_PRICE(12/31/2017)&lt;/Q&gt;&lt;R&gt;1&lt;/R&gt;&lt;C&gt;1&lt;/C&gt;&lt;D xsi:type="xsd:double"&gt;21.06&lt;/D&gt;&lt;/FQL&gt;&lt;FQL&gt;&lt;Q&gt;PLD-US^FG_PRICE(12/30/2015)&lt;/Q&gt;&lt;R&gt;1&lt;/R&gt;&lt;C&gt;1&lt;/C&gt;&lt;D xsi:type="xsd:double"&gt;43.24&lt;/D&gt;&lt;/FQL&gt;&lt;FQL&gt;&lt;Q&gt;PLD-US^FG_PRICE(12/31/2017)&lt;/Q&gt;&lt;R&gt;1&lt;/R&gt;&lt;C&gt;1&lt;/C&gt;&lt;D xsi:type="xsd:double"&gt;64.51&lt;/D&gt;&lt;/FQL&gt;&lt;FQL&gt;&lt;Q&gt;MCPIQ-US^FG_PRICE(12/30/2015)&lt;/Q&gt;&lt;R&gt;1&lt;/R&gt;&lt;C&gt;1&lt;/C&gt;&lt;D xsi:type="xsd:double"&gt;0.0265&lt;/D&gt;&lt;/FQL&gt;&lt;FQL&gt;&lt;Q&gt;MCPIQ-US^FG_PRICE(12/31/2017)&lt;/Q&gt;&lt;R&gt;0&lt;/R&gt;&lt;C&gt;0&lt;/C&gt;&lt;/FQL&gt;&lt;FQL&gt;&lt;Q&gt;VAC-US^FG_PRICE(12/30/2015)&lt;/Q&gt;&lt;R&gt;1&lt;/R&gt;&lt;C&gt;1&lt;/C&gt;&lt;D xsi:type="xsd:double"&gt;57.47&lt;/D&gt;&lt;/FQL&gt;&lt;FQL&gt;&lt;Q&gt;VAC-US^FG_PRICE(12/31/2017)&lt;/Q&gt;&lt;R&gt;1&lt;/R&gt;&lt;C&gt;1&lt;/C&gt;&lt;D xsi:type="xsd:double"&gt;135.21&lt;/D&gt;&lt;/FQL&gt;&lt;FQL&gt;&lt;Q&gt;HCA-US^FG_PRICE(12/30/2015)&lt;/Q&gt;&lt;R&gt;1&lt;/R&gt;&lt;C&gt;1&lt;/C&gt;&lt;D xsi:type="xsd:double"&gt;68.44&lt;/D&gt;&lt;/FQL&gt;&lt;FQL&gt;&lt;Q&gt;HCA-US^FG_PRICE(12/31/2017)&lt;/Q&gt;&lt;R&gt;1&lt;/R&gt;&lt;C&gt;1&lt;/C&gt;&lt;D xsi:type="xsd:double"&gt;87.84&lt;/D&gt;&lt;/FQL&gt;&lt;FQL&gt;&lt;Q&gt;SWI-US^FG_PRICE(12/30/2015)&lt;/Q&gt;&lt;R&gt;1&lt;/R&gt;&lt;C&gt;1&lt;/C&gt;&lt;D xsi:type="xsd:double"&gt;58.84&lt;/D&gt;&lt;/FQL&gt;&lt;FQL&gt;&lt;Q&gt;SWI-US^FG_PRICE(12/31/2017)&lt;/Q&gt;&lt;R&gt;0&lt;/R&gt;&lt;C&gt;0&lt;/C&gt;&lt;/FQL&gt;&lt;FQL&gt;&lt;Q&gt;VC-US^FG_PRICE(12/30/2015)&lt;/Q&gt;&lt;R&gt;1&lt;/R&gt;&lt;C&gt;1&lt;/C&gt;&lt;D xsi:type="xsd:double"&gt;116.2&lt;/D&gt;&lt;/FQL&gt;&lt;FQL&gt;&lt;Q&gt;VC-US^FG_PRICE(12/31/2017)&lt;/Q&gt;&lt;R&gt;1&lt;/R&gt;&lt;C&gt;1&lt;/C&gt;&lt;D xsi:type="xsd:double"&gt;125.14&lt;/D&gt;&lt;/FQL&gt;&lt;FQL&gt;&lt;Q&gt;VRSK-US^FG_PRICE(12/30/2015)&lt;/Q&gt;&lt;R&gt;1&lt;/R&gt;&lt;C&gt;1&lt;/C&gt;&lt;D xsi:type="xsd:double"&gt;77.51&lt;/D&gt;&lt;/FQL&gt;&lt;FQL&gt;&lt;Q&gt;VRSK-US^FG_PRICE(12/31/2017)&lt;/Q&gt;&lt;R&gt;1&lt;/R&gt;&lt;C&gt;1&lt;/C&gt;&lt;D xsi:type="xsd:double"&gt;96&lt;/D&gt;&lt;/FQL&gt;&lt;FQL&gt;&lt;Q&gt;UAL-US^FG_PRICE(12/30/2015)&lt;/Q&gt;&lt;R&gt;1&lt;/R&gt;&lt;C&gt;1&lt;/C&gt;&lt;D xsi:type="xsd:double"&gt;57.51&lt;/D&gt;&lt;/FQL&gt;&lt;FQL&gt;&lt;Q&gt;UAL-US^FG_PRICE(12/31/2017)&lt;/Q&gt;&lt;R&gt;1&lt;/R&gt;&lt;C&gt;1&lt;/C&gt;&lt;D xsi:type="xsd:double"&gt;67.4&lt;/D&gt;&lt;/FQL&gt;&lt;FQL&gt;&lt;Q&gt;FLT-US^FG_PRICE(12/30/2015)&lt;/Q&gt;&lt;R&gt;1&lt;/R&gt;&lt;C&gt;1&lt;/C&gt;&lt;D xsi:type="xsd:double"&gt;143.12&lt;/D&gt;&lt;/FQL&gt;&lt;FQL&gt;&lt;Q&gt;FLT-US^FG_PRICE(12/31/2017)&lt;/Q&gt;&lt;R&gt;1&lt;/R&gt;&lt;C&gt;1&lt;/C&gt;&lt;D xsi:type="xsd:double"&gt;192.43&lt;/D&gt;&lt;/FQL&gt;&lt;FQL&gt;&lt;Q&gt;RL-US^FG_PRICE(12/30/2015)&lt;/Q&gt;&lt;R&gt;1&lt;/R&gt;&lt;C&gt;1&lt;/C&gt;&lt;D xsi:type="xsd:double"&gt;112.66&lt;/D&gt;&lt;/FQL&gt;&lt;FQL&gt;&lt;Q&gt;RL-US^FG_PRICE(12/31/2017)&lt;/Q&gt;&lt;R&gt;1&lt;/R&gt;&lt;C&gt;1&lt;/C&gt;&lt;D xsi:type="xsd:double"&gt;103.69&lt;/D&gt;&lt;/FQL&gt;&lt;FQL&gt;&lt;Q&gt;MJN-US^FG_PRICE(12/30/2015)&lt;/Q&gt;&lt;R&gt;1&lt;/R&gt;&lt;C&gt;1&lt;/C&gt;&lt;D xsi:type="xsd:double"&gt;79.33&lt;/D&gt;&lt;/FQL&gt;&lt;FQL&gt;&lt;Q&gt;MJN-US^FG_PRICE(12/31/2017)&lt;/Q&gt;&lt;R&gt;0&lt;/R&gt;&lt;C&gt;0&lt;/C&gt;&lt;/FQL&gt;&lt;FQL&gt;&lt;Q&gt;EDMC-US^FG_PRICE(12/30/2015)&lt;/Q&gt;&lt;R&gt;1&lt;/R&gt;&lt;C&gt;1&lt;/C&gt;&lt;D xsi:type="xsd:double"&gt;0.085&lt;/D&gt;&lt;/FQL&gt;&lt;FQL&gt;&lt;Q&gt;EDMC-US^FG_PRICE(12/31/2017)&lt;/Q&gt;&lt;R&gt;1&lt;/R&gt;&lt;C&gt;1&lt;/C&gt;&lt;D xsi:type="xsd:double"&gt;0.0035&lt;/D&gt;&lt;/FQL&gt;&lt;FQL&gt;&lt;Q&gt;FRC-US^FG_PRICE(12/30/2015)&lt;/Q&gt;&lt;R&gt;1&lt;/R&gt;&lt;C&gt;1&lt;/C&gt;&lt;D xsi:type="xsd:double"&gt;66.26&lt;/D&gt;&lt;/FQL&gt;&lt;FQL&gt;&lt;Q&gt;FRC-US^FG_PRICE(12/31/2017)&lt;/Q&gt;&lt;R&gt;1&lt;/R&gt;&lt;C&gt;1&lt;/C&gt;&lt;D xsi:type="xsd:double"&gt;86.64&lt;/D&gt;&lt;/FQL&gt;&lt;FQL&gt;&lt;Q&gt;CIEIQ-US^FG_PRICE(12/30/2015)&lt;/Q&gt;&lt;R&gt;1&lt;/R&gt;&lt;C&gt;1&lt;/C&gt;&lt;D xsi:type="xsd:double"&gt;79.05&lt;/D&gt;&lt;/FQL&gt;&lt;FQL&gt;&lt;Q&gt;CIEIQ-US^FG_PRICE(12/31/2017)&lt;/Q&gt;&lt;R&gt;1&lt;/R&gt;&lt;C&gt;1&lt;/C&gt;&lt;D xsi:type="xsd:double"&gt;0.925&lt;/D&gt;&lt;/FQL&gt;&lt;FQL&gt;&lt;Q&gt;CHTR-US^FG_PRICE(12/30/2015)&lt;/Q&gt;&lt;R&gt;1&lt;/R&gt;&lt;C&gt;1&lt;/C&gt;&lt;D xsi:type="xsd:double"&gt;203.73811&lt;/D&gt;&lt;/FQL&gt;&lt;FQL&gt;&lt;Q&gt;CHTR-US^FG_PRICE(12/31/2017)&lt;/Q&gt;&lt;R&gt;1&lt;/R&gt;&lt;C&gt;1&lt;/C&gt;&lt;D xsi:type="xsd:double"&gt;335.96&lt;/D&gt;&lt;/FQL&gt;&lt;FQL&gt;&lt;Q&gt;KAR-US^FG_PRICE(12/30/2015)&lt;/Q&gt;&lt;R&gt;1&lt;/R&gt;&lt;C&gt;1&lt;/C&gt;&lt;D xsi:type="xsd:double"&gt;37.33&lt;/D&gt;&lt;/FQL&gt;&lt;FQL&gt;&lt;Q&gt;KAR-US^FG_PRICE(12/31/2017)&lt;/Q&gt;&lt;R&gt;1&lt;/R&gt;&lt;C&gt;1&lt;/C&gt;&lt;D xsi:type="xsd:double"&gt;50.51&lt;/D&gt;&lt;/FQL&gt;&lt;FQL&gt;&lt;Q&gt;CIT-US^FG_PRICE(12/30/2015)&lt;/Q&gt;&lt;R&gt;1&lt;/R&gt;&lt;C&gt;1&lt;/C&gt;&lt;D xsi:type="xsd:double"&gt;39.98&lt;/D&gt;&lt;/FQL&gt;&lt;FQL&gt;&lt;Q&gt;CIT-US^FG_PRICE(12/31/2017)&lt;/Q&gt;&lt;R&gt;1&lt;/R&gt;&lt;C&gt;1&lt;/C&gt;&lt;D xsi:type="xsd:double"&gt;49.23&lt;/D&gt;&lt;/FQL&gt;&lt;FQL&gt;&lt;Q&gt;AR-CA^FG_PRICE(12/30/2015)&lt;/Q&gt;&lt;R&gt;1&lt;/R&gt;&lt;C&gt;1&lt;/C&gt;&lt;D xsi:type="xsd:double"&gt;1.19&lt;/D&gt;&lt;/FQL&gt;&lt;FQL&gt;&lt;Q&gt;AR-CA^FG_PRICE(12/31/2017)&lt;/Q&gt;&lt;R&gt;1&lt;/R&gt;&lt;C&gt;1&lt;/C&gt;&lt;D xsi:type="xsd:double"&gt;2.4&lt;/D&gt;&lt;/FQL&gt;&lt;FQL&gt;&lt;Q&gt;KMPR-US^FG_PRICE(12/30/2015)&lt;/Q&gt;&lt;R&gt;1&lt;/R&gt;&lt;C&gt;1&lt;/C&gt;&lt;D xsi:type="xsd:double"&gt;38.02&lt;/D&gt;&lt;/FQL&gt;&lt;FQL&gt;&lt;Q&gt;KMPR-US^FG_PRICE(12/31/2017)&lt;/Q&gt;&lt;R&gt;1&lt;/R&gt;&lt;C&gt;1&lt;/C&gt;&lt;D xsi:type="xsd:double"&gt;68.9&lt;/D&gt;&lt;/FQL&gt;&lt;FQL&gt;&lt;Q&gt;TWO-US^FG_PRICE(12/30/2015)&lt;/Q&gt;&lt;R&gt;1&lt;/R&gt;&lt;C&gt;1&lt;/C&gt;&lt;D xsi:type="xsd:double"&gt;13.3683195&lt;/D&gt;&lt;/FQL&gt;&lt;FQL&gt;&lt;Q&gt;TWO-US^FG_PRICE(12/31/2017)&lt;/Q&gt;&lt;R&gt;1&lt;/R&gt;&lt;C&gt;1&lt;/C&gt;&lt;D xsi:type="xsd:double"&gt;16.26&lt;/D&gt;&lt;/FQL&gt;&lt;FQL&gt;&lt;Q&gt;GGP-US^FG_PRICE(12/30/2015)&lt;/Q&gt;&lt;R&gt;1&lt;/R&gt;&lt;C&gt;1&lt;/C&gt;&lt;D xsi:type="xsd:double"&gt;27.41&lt;/D&gt;&lt;/FQL&gt;&lt;FQL&gt;&lt;Q&gt;GGP-US^FG_PRICE(12/31/2017)&lt;/Q&gt;&lt;R&gt;1&lt;/R&gt;&lt;C&gt;1&lt;/C&gt;&lt;D xsi:type="xsd:double"&gt;23.39&lt;/D&gt;&lt;/FQL&gt;&lt;FQL&gt;&lt;Q&gt;LEA-US^FG_PRICE(12/30/2015)&lt;/Q&gt;&lt;R&gt;1&lt;/R&gt;&lt;C&gt;1&lt;/C&gt;&lt;D xsi:type="xsd:double"&gt;124.45&lt;/D&gt;&lt;/FQL&gt;&lt;FQL&gt;&lt;Q&gt;LEA-US^FG_PRICE(12/31/2017)&lt;/Q&gt;&lt;R&gt;1&lt;/R&gt;&lt;C&gt;1&lt;/C&gt;&lt;D xsi:type="xsd:double"&gt;176.66&lt;/D&gt;&lt;/FQL&gt;&lt;FQL&gt;&lt;Q&gt;CBOE-US^FG_PRICE(12/30/2015)&lt;/Q&gt;&lt;R&gt;1&lt;/R&gt;&lt;C&gt;1&lt;/C&gt;&lt;D xsi:type="xsd:double"&gt;65.68&lt;/D&gt;&lt;/FQL&gt;&lt;FQL&gt;&lt;Q&gt;CBOE-US^FG_PRICE(12/31/2017)&lt;/Q&gt;&lt;R&gt;1&lt;/R&gt;&lt;C&gt;1&lt;/C&gt;&lt;D xsi:type="xsd:double"&gt;124.59&lt;/D&gt;&lt;/FQL&gt;&lt;FQL&gt;&lt;Q&gt;SPWR-US^FG_PRICE(12/30/2015)&lt;/Q&gt;&lt;R&gt;1&lt;/R&gt;&lt;C&gt;1&lt;/C&gt;&lt;D xsi:type="xsd:double"&gt;30.38&lt;/D&gt;&lt;/FQL&gt;&lt;FQL&gt;&lt;Q&gt;SPWR-US^FG_PRICE(12/31/2017)&lt;/Q&gt;&lt;R&gt;1&lt;/R&gt;&lt;C&gt;1&lt;/C&gt;&lt;D xsi:type="xsd:double"&gt;8.43&lt;/D&gt;&lt;/FQL&gt;&lt;FQL&gt;&lt;Q&gt;DG-US^FG_PRICE(12/30/2015)&lt;/Q&gt;&lt;R&gt;1&lt;/R&gt;&lt;C&gt;1&lt;/C&gt;&lt;D xsi:type="xsd:double"&gt;72.1&lt;/D&gt;&lt;/FQL&gt;&lt;FQL&gt;&lt;Q&gt;DG-US^FG_PRICE(12/31/2017)&lt;/Q&gt;&lt;R&gt;1&lt;/R&gt;&lt;C&gt;1&lt;/C&gt;&lt;D xsi:type="xsd:double"&gt;93.01&lt;/D&gt;&lt;/FQL&gt;&lt;FQL&gt;&lt;Q&gt;FTNT-US^FG_PRICE(12/30/2015)&lt;/Q&gt;&lt;R&gt;1&lt;/R&gt;&lt;C&gt;1&lt;/C&gt;&lt;D xsi:type="xsd:double"&gt;31.45&lt;/D&gt;&lt;/FQL&gt;&lt;FQL&gt;&lt;Q&gt;FTNT-US^FG_PRICE(12/31/2017)&lt;/Q&gt;&lt;R&gt;1&lt;/R&gt;&lt;C&gt;1&lt;/C&gt;&lt;D xsi:type="xsd:double"&gt;43.69&lt;/D&gt;&lt;/FQL&gt;&lt;FQL&gt;&lt;Q&gt;H-US^FG_PRICE(12/30/2015)&lt;/Q&gt;&lt;R&gt;1&lt;/R&gt;&lt;C&gt;1&lt;/C&gt;&lt;D xsi:type="xsd:double"&gt;47.99&lt;/D&gt;&lt;/FQL&gt;&lt;FQL&gt;&lt;Q&gt;H-US^FG_PRICE(12/31/2017)&lt;/Q&gt;&lt;R&gt;1&lt;/R&gt;&lt;C&gt;1&lt;/C&gt;&lt;D xsi:type="xsd:double"&gt;73.54&lt;/D&gt;&lt;/FQL&gt;&lt;FQL&gt;&lt;Q&gt;THO-CA^FG_PRICE(12/30/2015)&lt;/Q&gt;&lt;R&gt;1&lt;/R&gt;&lt;C&gt;1&lt;/C&gt;&lt;D xsi:type="xsd:double"&gt;11.83&lt;/D&gt;&lt;/FQL&gt;&lt;FQL&gt;&lt;Q&gt;THO-CA^FG_PRICE(12/31/2017)&lt;/Q&gt;&lt;R&gt;1&lt;/R&gt;&lt;C&gt;1&lt;/C&gt;&lt;D xsi:type="xsd:double"&gt;6.03&lt;/D&gt;&lt;/FQL&gt;&lt;FQL&gt;&lt;Q&gt;MSI-US^FG_PRICE(12/30/2015)&lt;/Q&gt;&lt;R&gt;1&lt;/R&gt;&lt;C&gt;1&lt;/C&gt;&lt;D xsi:type="xsd:double"&gt;69.3&lt;/D&gt;&lt;/FQL&gt;&lt;FQL&gt;&lt;Q&gt;MSI-US^FG_PRICE(12/31/2017)&lt;/Q&gt;&lt;R&gt;1&lt;/R&gt;&lt;C&gt;1&lt;/C&gt;&lt;D xsi:type="xsd:double"&gt;90.34&lt;/D&gt;&lt;/FQL&gt;&lt;FQL&gt;&lt;Q&gt;RSE-US^FG_PRICE(12/30/2015)&lt;/Q&gt;&lt;R&gt;1&lt;/R&gt;&lt;C&gt;1&lt;/C&gt;&lt;D xsi:type="xsd:double"&gt;14.89&lt;/D&gt;&lt;/FQL&gt;&lt;FQL&gt;&lt;Q&gt;RSE-US^FG_PRICE(12/31/2017)&lt;/Q&gt;&lt;R&gt;0&lt;/R&gt;&lt;C&gt;0&lt;/C&gt;&lt;/FQL&gt;&lt;FQL&gt;&lt;Q&gt;LVLT-US^FG_PRICE(12/30/2015)&lt;/Q&gt;&lt;R&gt;1&lt;/R&gt;&lt;C&gt;1&lt;/C&gt;&lt;D xsi:type="xsd:double"&gt;54.2&lt;/D&gt;&lt;/FQL&gt;&lt;FQL&gt;&lt;Q&gt;LVLT-US^FG_PRICE(12/31/2017)&lt;/Q&gt;&lt;R&gt;0&lt;/R&gt;&lt;C&gt;0&lt;/C&gt;&lt;/FQL&gt;&lt;FQL&gt;&lt;Q&gt;RLGY-US^FG_PRICE(12/30/2015)&lt;/Q&gt;&lt;R&gt;1&lt;/R&gt;&lt;C&gt;1&lt;/C&gt;&lt;D xsi:type="xsd:double"&gt;36.48&lt;/D&gt;&lt;/FQL&gt;&lt;FQL&gt;&lt;Q&gt;RLGY-US^FG_PRICE(12/31/2017)&lt;/Q&gt;&lt;R&gt;1&lt;/R&gt;&lt;C&gt;1&lt;/C&gt;&lt;D xsi:type="xsd:double"&gt;26.5&lt;/D&gt;&lt;/FQL&gt;&lt;FQL&gt;&lt;Q&gt;HFC-US^FG_PRICE(12/30/2015)&lt;/Q&gt;&lt;R&gt;1&lt;/R&gt;&lt;C&gt;1&lt;/C&gt;&lt;D xsi:type="xsd:double"&gt;39.81&lt;/D&gt;&lt;/FQL&gt;&lt;FQL&gt;&lt;Q&gt;HFC-US^FG_PRICE(12/31/2017)&lt;/Q&gt;&lt;R&gt;1&lt;/R&gt;&lt;C&gt;1&lt;/C&gt;&lt;D xsi:type="xsd:double"&gt;51.22&lt;/D&gt;&lt;/FQL&gt;&lt;FQL&gt;&lt;Q&gt;QEP-US^FG_PRICE(12/30/2015)&lt;/Q&gt;&lt;R&gt;1&lt;/R&gt;&lt;C&gt;1&lt;/C&gt;&lt;D xsi:type="xsd:double"&gt;13.07&lt;/D&gt;&lt;/FQL&gt;&lt;FQL&gt;&lt;Q&gt;QEP-US^FG_PRICE(12/31/2017)&lt;/Q&gt;&lt;R&gt;1&lt;/R&gt;&lt;C&gt;1&lt;/C&gt;&lt;D xsi:type="xsd:double"&gt;9.57&lt;/D&gt;&lt;/FQL&gt;&lt;FQL&gt;&lt;Q&gt;TSLA-US^FG_PRICE(12/30/2015)&lt;/Q&gt;&lt;R&gt;1&lt;/R&gt;&lt;C&gt;1&lt;/C&gt;&lt;D xsi:type="xsd:double"&gt;238.09&lt;/D&gt;&lt;/FQL&gt;&lt;FQL&gt;&lt;Q&gt;TSLA-US^FG_PRICE(12/31/2017)&lt;/Q&gt;&lt;R&gt;1&lt;/R&gt;&lt;C&gt;1&lt;/C&gt;&lt;D xsi:type="xsd:double"&gt;311.35&lt;/D&gt;&lt;/FQL&gt;&lt;FQL&gt;&lt;Q&gt;TWC-US^FG_PRICE(12/30/2015)&lt;/Q&gt;&lt;R&gt;1&lt;/R&gt;&lt;C&gt;1&lt;/C&gt;&lt;D xsi:type="xsd:double"&gt;185.77&lt;/D&gt;&lt;/FQL&gt;&lt;FQL&gt;&lt;Q&gt;TWC-US^FG_PRICE(12/31/2017)&lt;/Q&gt;&lt;R&gt;0&lt;/R&gt;&lt;C&gt;0&lt;/C&gt;&lt;/FQL&gt;&lt;FQL&gt;&lt;Q&gt;TWX-US^FG_PRICE(12/30/2015)&lt;/Q&gt;&lt;R&gt;1&lt;/R&gt;&lt;C&gt;1&lt;/C&gt;&lt;D xsi:type="xsd:double"&gt;64.44&lt;/D&gt;&lt;/FQL&gt;&lt;FQL&gt;&lt;Q&gt;TWX-US^FG_PRICE(12/31/2017)&lt;/Q&gt;&lt;R&gt;1&lt;/R&gt;&lt;C&gt;1&lt;/C&gt;&lt;D xsi:type="xsd:double"&gt;91.47&lt;/D&gt;&lt;/FQL&gt;&lt;FQL&gt;&lt;Q&gt;OAS-US^FG_PRICE(12/30/2015)&lt;/Q&gt;&lt;R&gt;1&lt;/R&gt;&lt;C&gt;1&lt;/C&gt;&lt;D xsi:type="xsd:double"&gt;6.81&lt;/D&gt;&lt;/FQL&gt;&lt;FQL&gt;&lt;Q&gt;OAS-US^FG_PRICE(12/31/2017)&lt;/Q&gt;&lt;R&gt;1&lt;/R&gt;&lt;C&gt;1&lt;/C&gt;&lt;D xsi:type="xsd:double"&gt;8.41&lt;/D&gt;&lt;/FQL&gt;&lt;FQL&gt;&lt;Q&gt;ASNA-US^FG_PRICE(12/30/2015)&lt;/Q&gt;&lt;R&gt;1&lt;/R&gt;&lt;C&gt;1&lt;/C&gt;&lt;D xsi:type="xsd:double"&gt;10.21&lt;/D&gt;&lt;/FQL&gt;&lt;FQL&gt;&lt;Q&gt;ASNA-US^FG_PRICE(12/31/2017)&lt;/Q&gt;&lt;R&gt;1&lt;/R&gt;&lt;C&gt;1&lt;/C&gt;&lt;D xsi:type="xsd:double"&gt;2.35&lt;/D&gt;&lt;/FQL&gt;&lt;FQL&gt;&lt;Q&gt;ORLY-US^FG_PRICE(12/30/2015)&lt;/Q&gt;&lt;R&gt;1&lt;/R&gt;&lt;C&gt;1&lt;/C&gt;&lt;D xsi:type="xsd:double"&gt;257.66&lt;/D&gt;&lt;/FQL&gt;&lt;FQL&gt;&lt;Q&gt;ORLY-US^FG_PRICE(12/31/2017)&lt;/Q&gt;&lt;R&gt;1&lt;/R&gt;&lt;C&gt;1&lt;/C&gt;&lt;D xsi:type="xsd:double"&gt;240.54&lt;/D&gt;&lt;/FQL&gt;&lt;FQL&gt;&lt;Q&gt;GM-US^FG_PRICE(12/30/2015)&lt;/Q&gt;&lt;R&gt;1&lt;/R&gt;&lt;C&gt;1&lt;/C&gt;&lt;D xsi:type="xsd:double"&gt;34.33&lt;/D&gt;&lt;/FQL&gt;&lt;FQL&gt;&lt;Q&gt;GM-US^FG_PRICE(12/31/2017)&lt;/Q&gt;&lt;R&gt;1&lt;/R&gt;&lt;C&gt;1&lt;/C&gt;&lt;D xsi:type="xsd:double"&gt;40.99&lt;/D&gt;&lt;/FQL&gt;&lt;FQL&gt;&lt;Q&gt;DDR-US^FG_PRICE(12/30/2015)&lt;/Q&gt;&lt;R&gt;1&lt;/R&gt;&lt;C&gt;1&lt;/C&gt;&lt;D xsi:type="xsd:double"&gt;16.9&lt;/D&gt;&lt;/FQL&gt;&lt;FQL&gt;&lt;Q&gt;DDR-US^FG_PRICE(12/31/2017)&lt;/Q&gt;&lt;R&gt;1&lt;/R&gt;&lt;C&gt;1&lt;/C&gt;&lt;D xsi:type="xsd:double"&gt;8.96&lt;/D&gt;&lt;/FQL&gt;&lt;FQL&gt;&lt;Q&gt;GTATQ-US^FG_PRICE(12/30/2015)&lt;/Q&gt;&lt;R&gt;1&lt;/R&gt;&lt;C&gt;1&lt;/C&gt;&lt;D xsi:type="xsd:double"&gt;0.1035&lt;/D&gt;&lt;/FQL&gt;&lt;FQL&gt;&lt;Q&gt;GTATQ-US^FG_PRICE(12/31/2017)&lt;/Q&gt;&lt;R&gt;0&lt;/R&gt;&lt;C&gt;0&lt;/C&gt;&lt;/FQL&gt;&lt;FQL&gt;&lt;Q&gt;DYN-US^FG_PRICE(12/30/2015)&lt;/Q&gt;&lt;R&gt;1&lt;/R&gt;&lt;C&gt;1&lt;/C&gt;&lt;D xsi:type="xsd:double"&gt;12.79&lt;/D&gt;&lt;/FQL&gt;&lt;FQL&gt;&lt;Q&gt;DYN-US^FG_PRICE(12/31/2017)&lt;/Q&gt;&lt;R&gt;1&lt;/R&gt;&lt;C&gt;1&lt;/C&gt;&lt;D xsi:type="xsd:double"&gt;11.85&lt;/D&gt;&lt;/FQL&gt;&lt;FQL&gt;&lt;Q&gt;CBRE-US^FG_PRICE(12/30/2015)&lt;/Q&gt;&lt;R&gt;1&lt;/R&gt;&lt;C&gt;1&lt;/C&gt;&lt;D xsi:type="xsd:double"&gt;34.64&lt;/D&gt;&lt;/FQL&gt;&lt;FQL&gt;&lt;Q&gt;CBRE-US^FG_PRICE(12/31/2017)&lt;/Q&gt;&lt;R&gt;1&lt;/R&gt;&lt;C&gt;1&lt;/C&gt;&lt;D xsi:type="xsd:double"&gt;43.31&lt;/D&gt;&lt;/FQL&gt;&lt;FQL&gt;&lt;Q&gt;WP-US^FG_PRICE(12/30/2015)&lt;/Q&gt;&lt;R&gt;1&lt;/R&gt;&lt;C&gt;1&lt;/C&gt;&lt;D xsi:type="xsd:double"&gt;47.55&lt;/D&gt;&lt;/FQL&gt;&lt;FQL&gt;&lt;Q&gt;WP-US^FG_PRICE(12/31/2017)&lt;/Q&gt;&lt;R&gt;1&lt;/R&gt;&lt;C&gt;1&lt;/C&gt;&lt;D xsi:type="xsd:double"&gt;73.55&lt;/D&gt;&lt;/FQL&gt;&lt;FQL&gt;&lt;Q&gt;ITT-US^FG_PRICE(12/30/2015)&lt;/Q&gt;&lt;R&gt;1&lt;/R&gt;&lt;C&gt;1&lt;/C&gt;&lt;D xsi:type="xsd:double"&gt;36.68&lt;/D&gt;&lt;/FQL&gt;&lt;FQL&gt;&lt;Q&gt;ITT-US^FG_PRICE(12/31/2017)&lt;/Q&gt;&lt;R&gt;1&lt;/R&gt;&lt;C&gt;1&lt;/C&gt;&lt;D xsi:type="xsd:double"&gt;53.37&lt;/D&gt;&lt;/FQL&gt;&lt;FQL&gt;&lt;Q&gt;TDS-US^FG_PRICE(12/30/2015)&lt;/Q&gt;&lt;R&gt;1&lt;/R&gt;&lt;C&gt;1&lt;/C&gt;&lt;D xsi:type="xsd:double"&gt;26.24&lt;/D&gt;&lt;/FQL&gt;&lt;FQL&gt;&lt;Q&gt;TDS-US^FG_PRICE(12/31/2017)&lt;/Q&gt;&lt;R&gt;1&lt;/R&gt;&lt;C&gt;1&lt;/C&gt;&lt;D xsi:type="xsd:double"&gt;27.8&lt;/D&gt;&lt;/FQL&gt;&lt;FQL&gt;&lt;Q&gt;TRIP-US^FG_PRICE(12/30/2015)&lt;/Q&gt;&lt;R&gt;1&lt;/R&gt;&lt;C&gt;1&lt;/C&gt;&lt;D xsi:type="xsd:double"&gt;86.15&lt;/D&gt;&lt;/FQL&gt;&lt;FQL&gt;&lt;Q&gt;TRIP-US^FG_PRICE(12/31/2017)&lt;/Q&gt;&lt;R&gt;1&lt;/R&gt;&lt;C&gt;1&lt;/C&gt;&lt;D xsi:type="xsd:double"&gt;34.46&lt;/D&gt;&lt;/FQL&gt;&lt;FQL&gt;&lt;Q&gt;ALLY-US^FG_PRICE(12/30/2015)&lt;/Q&gt;&lt;R&gt;1&lt;/R&gt;&lt;C&gt;1&lt;/C&gt;&lt;D xsi:type="xsd:double"&gt;18.64&lt;/D&gt;&lt;/FQL&gt;&lt;FQL&gt;&lt;Q&gt;ALLY-US^FG_PRICE(12/31/2017)&lt;/Q&gt;&lt;R&gt;1&lt;/R&gt;&lt;C&gt;1&lt;/C&gt;&lt;D xsi:type="xsd:double"&gt;29.16&lt;/D&gt;&lt;/FQL&gt;&lt;FQL&gt;&lt;Q&gt;EXPE-US^FG_PRICE(12/30/2015)&lt;/Q&gt;&lt;R&gt;1&lt;/R&gt;&lt;C&gt;1&lt;/C&gt;&lt;D xsi:type="xsd:double"&gt;126.27&lt;/D&gt;&lt;/FQL&gt;&lt;FQL&gt;&lt;Q&gt;EXPE-US^FG_PRICE(12/31/2017)&lt;/Q&gt;&lt;R&gt;1&lt;/R&gt;&lt;C&gt;1&lt;/C&gt;&lt;D xsi:type="xsd:double"&gt;119.77&lt;/D&gt;&lt;/FQL&gt;&lt;FQL&gt;&lt;Q&gt;LPLA-US^FG_PRICE(12/30/2015)&lt;/Q&gt;&lt;R&gt;1&lt;/R&gt;&lt;C&gt;1&lt;/C&gt;&lt;D xsi:type="xsd:double"&gt;42.96&lt;/D&gt;&lt;/FQL&gt;&lt;FQL&gt;&lt;Q&gt;LPLA-US^FG_PRICE(12/31/2017)&lt;/Q&gt;&lt;R&gt;1&lt;/R&gt;&lt;C&gt;1&lt;/C&gt;&lt;D xsi:type="xsd:double"&gt;57.14&lt;/D&gt;&lt;/FQL&gt;&lt;FQL&gt;&lt;Q&gt;GRPN-US^FG_PRICE(12/30/2015)&lt;/Q&gt;&lt;R&gt;1&lt;/R&gt;&lt;C&gt;1&lt;/C&gt;&lt;D xsi:type="xsd:double"&gt;3.13&lt;/D&gt;&lt;/FQL&gt;&lt;FQL&gt;&lt;Q&gt;GRPN-US^FG_PRICE(12/31/2017)&lt;/Q&gt;&lt;R&gt;1&lt;/R&gt;&lt;C&gt;1&lt;/C&gt;&lt;D xsi:type="xsd:double"&gt;5.1&lt;/D&gt;&lt;/FQL&gt;&lt;FQL&gt;&lt;Q&gt;PSX-US^FG_PRICE(12/30/2015)&lt;/Q&gt;&lt;R&gt;1&lt;/R&gt;&lt;C&gt;1&lt;/C&gt;&lt;D xsi:type="xsd:double"&gt;82.01&lt;/D&gt;&lt;/FQL&gt;&lt;FQL&gt;&lt;Q&gt;PSX-US^FG_PRICE(12/31/2017)&lt;/Q&gt;&lt;R&gt;1&lt;/R&gt;&lt;C&gt;1&lt;/C&gt;&lt;D xsi:type="xsd:double"&gt;101.15&lt;/D&gt;&lt;/FQL&gt;&lt;FQL&gt;&lt;Q&gt;ZNGA-US^FG_PRICE(12/30/2015)&lt;/Q&gt;&lt;R&gt;1&lt;/R&gt;&lt;C&gt;1&lt;/C&gt;&lt;D xsi:type="xsd:double"&gt;2.68&lt;/D&gt;&lt;/FQL&gt;&lt;FQL&gt;&lt;Q&gt;ZNGA-US^FG_PRICE(12/31/2017)&lt;/Q&gt;&lt;R&gt;1&lt;/R&gt;&lt;C&gt;1&lt;/C&gt;&lt;D xsi:type="xsd:double"&gt;4&lt;/D&gt;&lt;/FQL&gt;&lt;FQL&gt;&lt;Q&gt;LPI-US^FG_PRICE(12/30/2015)&lt;/Q&gt;&lt;R&gt;1&lt;/R&gt;&lt;C&gt;1&lt;/C&gt;&lt;D xsi:type="xsd:double"&gt;7.85&lt;/D&gt;&lt;/FQL&gt;&lt;FQL&gt;&lt;Q&gt;LPI-US^FG_PRICE(12/31/2017)&lt;/Q&gt;&lt;R&gt;1&lt;/R&gt;&lt;C&gt;1&lt;/C&gt;&lt;D xsi:type="xsd:double"&gt;10.61&lt;/D&gt;&lt;/FQL&gt;&lt;FQL&gt;&lt;Q&gt;PBYI-US^FG_PRICE(12/30/2015)&lt;/Q&gt;&lt;R&gt;1&lt;/R&gt;&lt;C&gt;1&lt;/C&gt;&lt;D xsi:type="xsd:double"&gt;76.53&lt;/D&gt;&lt;/FQL&gt;&lt;FQL&gt;&lt;Q&gt;PBYI-US^FG_PRICE(12/31/2017)&lt;/Q&gt;&lt;R&gt;1&lt;/R&gt;&lt;C&gt;1&lt;/C&gt;&lt;D xsi:type="xsd:double"&gt;98.85&lt;/D&gt;&lt;/FQL&gt;&lt;FQL&gt;&lt;Q&gt;AMT-US^FG_PRICE(12/30/2015)&lt;/Q&gt;&lt;R&gt;1&lt;/R&gt;&lt;C&gt;1&lt;/C&gt;&lt;D xsi:type="xsd:double"&gt;98.1&lt;/D&gt;&lt;/FQL&gt;&lt;FQL&gt;&lt;Q&gt;AMT-US^FG_PRICE(12/31/2017)&lt;/Q&gt;&lt;R&gt;1&lt;/R&gt;&lt;C&gt;1&lt;/C&gt;&lt;D xsi:type="xsd:double"&gt;142.67&lt;/D&gt;&lt;/FQL&gt;&lt;FQL&gt;&lt;Q&gt;INGR-US^FG_PRICE(12/30/2015)&lt;/Q&gt;&lt;R&gt;1&lt;/R&gt;&lt;C&gt;1&lt;/C&gt;&lt;D xsi:type="xsd:double"&gt;98.05&lt;/D&gt;&lt;/FQL&gt;&lt;FQL&gt;&lt;Q&gt;INGR-US^FG_PRICE(12/31/2017)&lt;/Q&gt;&lt;R&gt;1&lt;/R&gt;&lt;C&gt;1&lt;/C&gt;&lt;D xsi:type="xsd:double"&gt;139.8&lt;/D&gt;&lt;/FQL&gt;&lt;FQL&gt;&lt;Q&gt;LMCA.XX1-US^FG_PRICE(12/30/2015)&lt;/Q&gt;&lt;R&gt;1&lt;/R&gt;&lt;C&gt;1&lt;/C&gt;&lt;D xsi:type="xsd:double"&gt;39.29&lt;/D&gt;&lt;/FQL&gt;&lt;FQL&gt;&lt;Q&gt;LMCA.XX1-US^FG_PRICE(12/31/2017)&lt;/Q&gt;&lt;R&gt;0&lt;/R&gt;&lt;C&gt;0&lt;/C&gt;&lt;/FQL&gt;&lt;FQL&gt;&lt;Q&gt;ICPT-US^FG_PRICE(12/30/2015)&lt;/Q&gt;&lt;R&gt;1&lt;/R&gt;&lt;C&gt;1&lt;/C&gt;&lt;D xsi:t</t>
        </r>
      </text>
    </comment>
    <comment ref="A6" authorId="0" shapeId="0">
      <text>
        <r>
          <rPr>
            <b/>
            <sz val="9"/>
            <color indexed="81"/>
            <rFont val="Tahoma"/>
            <charset val="1"/>
          </rPr>
          <t>ype="xsd:double"&gt;150.06&lt;/D&gt;&lt;/FQL&gt;&lt;FQL&gt;&lt;Q&gt;ICPT-US^FG_PRICE(12/31/2017)&lt;/Q&gt;&lt;R&gt;1&lt;/R&gt;&lt;C&gt;1&lt;/C&gt;&lt;D xsi:type="xsd:double"&gt;58.42&lt;/D&gt;&lt;/FQL&gt;&lt;FQL&gt;&lt;Q&gt;ESRX-US^FG_PRICE(12/30/2015)&lt;/Q&gt;&lt;R&gt;1&lt;/R&gt;&lt;C&gt;1&lt;/C&gt;&lt;D xsi:type="xsd:double"&gt;87.87&lt;/D&gt;&lt;/FQL&gt;&lt;FQL&gt;&lt;Q&gt;ESRX-US^FG_PRICE(12/31/2017)&lt;/Q&gt;&lt;R&gt;1&lt;/R&gt;&lt;C&gt;1&lt;/C&gt;&lt;D xsi:type="xsd:double"&gt;74.64&lt;/D&gt;&lt;/FQL&gt;&lt;FQL&gt;&lt;Q&gt;FB-US^FG_PRICE(12/30/2015)&lt;/Q&gt;&lt;R&gt;1&lt;/R&gt;&lt;C&gt;1&lt;/C&gt;&lt;D xsi:type="xsd:double"&gt;106.22&lt;/D&gt;&lt;/FQL&gt;&lt;FQL&gt;&lt;Q&gt;FB-US^FG_PRICE(12/31/2017)&lt;/Q&gt;&lt;R&gt;1&lt;/R&gt;&lt;C&gt;1&lt;/C&gt;&lt;D xsi:type="xsd:double"&gt;176.46&lt;/D&gt;&lt;/FQL&gt;&lt;FQL&gt;&lt;Q&gt;DUK-US^FG_PRICE(12/30/2015)&lt;/Q&gt;&lt;R&gt;1&lt;/R&gt;&lt;C&gt;1&lt;/C&gt;&lt;D xsi:type="xsd:double"&gt;72.19&lt;/D&gt;&lt;/FQL&gt;&lt;FQL&gt;&lt;Q&gt;DUK-US^FG_PRICE(12/31/2017)&lt;/Q&gt;&lt;R&gt;1&lt;/R&gt;&lt;C&gt;1&lt;/C&gt;&lt;D xsi:type="xsd:double"&gt;84.11&lt;/D&gt;&lt;/FQL&gt;&lt;FQL&gt;&lt;Q&gt;IQV-US^FG_PRICE(12/30/2015)&lt;/Q&gt;&lt;R&gt;1&lt;/R&gt;&lt;C&gt;1&lt;/C&gt;&lt;D xsi:type="xsd:double"&gt;69.59&lt;/D&gt;&lt;/FQL&gt;&lt;FQL&gt;&lt;Q&gt;IQV-US^FG_PRICE(12/31/2017)&lt;/Q&gt;&lt;R&gt;1&lt;/R&gt;&lt;C&gt;1&lt;/C&gt;&lt;D xsi:type="xsd:double"&gt;97.9&lt;/D&gt;&lt;/FQL&gt;&lt;FQL&gt;&lt;Q&gt;ADT.XX11-US^FG_PRICE(12/30/2015)&lt;/Q&gt;&lt;R&gt;1&lt;/R&gt;&lt;C&gt;1&lt;/C&gt;&lt;D xsi:type="xsd:double"&gt;33.69&lt;/D&gt;&lt;/FQL&gt;&lt;FQL&gt;&lt;Q&gt;ADT.XX11-US^FG_PRICE(12/31/2017)&lt;/Q&gt;&lt;R&gt;0&lt;/R&gt;&lt;C&gt;0&lt;/C&gt;&lt;/FQL&gt;&lt;FQL&gt;&lt;Q&gt;NOW-US^FG_PRICE(12/30/2015)&lt;/Q&gt;&lt;R&gt;1&lt;/R&gt;&lt;C&gt;1&lt;/C&gt;&lt;D xsi:type="xsd:double"&gt;87.38&lt;/D&gt;&lt;/FQL&gt;&lt;FQL&gt;&lt;Q&gt;NOW-US^FG_PRICE(12/31/2017)&lt;/Q&gt;&lt;R&gt;1&lt;/R&gt;&lt;C&gt;1&lt;/C&gt;&lt;D xsi:type="xsd:double"&gt;130.39&lt;/D&gt;&lt;/FQL&gt;&lt;FQL&gt;&lt;Q&gt;WPC-US^FG_PRICE(12/30/2015)&lt;/Q&gt;&lt;R&gt;1&lt;/R&gt;&lt;C&gt;1&lt;/C&gt;&lt;D xsi:type="xsd:double"&gt;59.62&lt;/D&gt;&lt;/FQL&gt;&lt;FQL&gt;&lt;Q&gt;WPC-US^FG_PRICE(12/31/2017)&lt;/Q&gt;&lt;R&gt;1&lt;/R&gt;&lt;C&gt;1&lt;/C&gt;&lt;D xsi:type="xsd:double"&gt;68.9&lt;/D&gt;&lt;/FQL&gt;&lt;FQL&gt;&lt;Q&gt;WWAV-US^FG_PRICE(12/30/2015)&lt;/Q&gt;&lt;R&gt;1&lt;/R&gt;&lt;C&gt;1&lt;/C&gt;&lt;D xsi:type="xsd:double"&gt;38.76&lt;/D&gt;&lt;/FQL&gt;&lt;FQL&gt;&lt;Q&gt;WWAV-US^FG_PRICE(12/31/2017)&lt;/Q&gt;&lt;R&gt;0&lt;/R&gt;&lt;C&gt;0&lt;/C&gt;&lt;/FQL&gt;&lt;FQL&gt;&lt;Q&gt;RDC-US^FG_PRICE(12/30/2015)&lt;/Q&gt;&lt;R&gt;1&lt;/R&gt;&lt;C&gt;1&lt;/C&gt;&lt;D xsi:type="xsd:double"&gt;16.78&lt;/D&gt;&lt;/FQL&gt;&lt;FQL&gt;&lt;Q&gt;RDC-US^FG_PRICE(12/31/2017)&lt;/Q&gt;&lt;R&gt;1&lt;/R&gt;&lt;C&gt;1&lt;/C&gt;&lt;D xsi:type="xsd:double"&gt;15.66&lt;/D&gt;&lt;/FQL&gt;&lt;FQL&gt;&lt;Q&gt;BPOP-US^FG_PRICE(12/30/2015)&lt;/Q&gt;&lt;R&gt;1&lt;/R&gt;&lt;C&gt;1&lt;/C&gt;&lt;D xsi:type="xsd:double"&gt;28.53&lt;/D&gt;&lt;/FQL&gt;&lt;FQL&gt;&lt;Q&gt;BPOP-US^FG_PRICE(12/31/2017)&lt;/Q&gt;&lt;R&gt;1&lt;/R&gt;&lt;C&gt;1&lt;/C&gt;&lt;D xsi:type="xsd:double"&gt;35.49&lt;/D&gt;&lt;/FQL&gt;&lt;FQL&gt;&lt;Q&gt;TILE-US^FG_PRICE(12/30/2015)&lt;/Q&gt;&lt;R&gt;1&lt;/R&gt;&lt;C&gt;1&lt;/C&gt;&lt;D xsi:type="xsd:double"&gt;19.67&lt;/D&gt;&lt;/FQL&gt;&lt;FQL&gt;&lt;Q&gt;TILE-US^FG_PRICE(12/31/2017)&lt;/Q&gt;&lt;R&gt;1&lt;/R&gt;&lt;C&gt;1&lt;/C&gt;&lt;D xsi:type="xsd:double"&gt;25.15&lt;/D&gt;&lt;/FQL&gt;&lt;FQL&gt;&lt;Q&gt;PANW-US^FG_PRICE(12/30/2015)&lt;/Q&gt;&lt;R&gt;1&lt;/R&gt;&lt;C&gt;1&lt;/C&gt;&lt;D xsi:type="xsd:double"&gt;176.79&lt;/D&gt;&lt;/FQL&gt;&lt;FQL&gt;&lt;Q&gt;PANW-US^FG_PRICE(12/31/2017)&lt;/Q&gt;&lt;R&gt;1&lt;/R&gt;&lt;C&gt;1&lt;/C&gt;&lt;D xsi:type="xsd:double"&gt;144.94&lt;/D&gt;&lt;/FQL&gt;&lt;FQL&gt;&lt;Q&gt;TROX-US^FG_PRICE(12/30/2015)&lt;/Q&gt;&lt;R&gt;1&lt;/R&gt;&lt;C&gt;1&lt;/C&gt;&lt;D xsi:type="xsd:double"&gt;4.17&lt;/D&gt;&lt;/FQL&gt;&lt;FQL&gt;&lt;Q&gt;TROX-US^FG_PRICE(12/31/2017)&lt;/Q&gt;&lt;R&gt;1&lt;/R&gt;&lt;C&gt;1&lt;/C&gt;&lt;D xsi:type="xsd:double"&gt;20.51&lt;/D&gt;&lt;/FQL&gt;&lt;FQL&gt;&lt;Q&gt;MDLZ-US^FG_PRICE(12/30/2015)&lt;/Q&gt;&lt;R&gt;1&lt;/R&gt;&lt;C&gt;1&lt;/C&gt;&lt;D xsi:type="xsd:double"&gt;45.51&lt;/D&gt;&lt;/FQL&gt;&lt;FQL&gt;&lt;Q&gt;MDLZ-US^FG_PRICE(12/31/2017)&lt;/Q&gt;&lt;R&gt;1&lt;/R&gt;&lt;C&gt;1&lt;/C&gt;&lt;D xsi:type="xsd:double"&gt;42.8&lt;/D&gt;&lt;/FQL&gt;&lt;FQL&gt;&lt;Q&gt;DATA-US^FG_PRICE(12/30/2015)&lt;/Q&gt;&lt;R&gt;1&lt;/R&gt;&lt;C&gt;1&lt;/C&gt;&lt;D xsi:type="xsd:double"&gt;94.75&lt;/D&gt;&lt;/FQL&gt;&lt;FQL&gt;&lt;Q&gt;DATA-US^FG_PRICE(12/31/2017)&lt;/Q&gt;&lt;R&gt;1&lt;/R&gt;&lt;C&gt;1&lt;/C&gt;&lt;D xsi:type="xsd:double"&gt;69.2&lt;/D&gt;&lt;/FQL&gt;&lt;FQL&gt;&lt;Q&gt;THC-US^FG_PRICE(12/30/2015)&lt;/Q&gt;&lt;R&gt;1&lt;/R&gt;&lt;C&gt;1&lt;/C&gt;&lt;D xsi:type="xsd:double"&gt;30.28&lt;/D&gt;&lt;/FQL&gt;&lt;FQL&gt;&lt;Q&gt;THC-US^FG_PRICE(12/31/2017)&lt;/Q&gt;&lt;R&gt;1&lt;/R&gt;&lt;C&gt;1&lt;/C&gt;&lt;D xsi:type="xsd:double"&gt;15.16&lt;/D&gt;&lt;/FQL&gt;&lt;FQL&gt;&lt;Q&gt;STRZA-US^FG_PRICE(12/30/2015)&lt;/Q&gt;&lt;R&gt;1&lt;/R&gt;&lt;C&gt;1&lt;/C&gt;&lt;D xsi:type="xsd:double"&gt;34&lt;/D&gt;&lt;/FQL&gt;&lt;FQL&gt;&lt;Q&gt;STRZA-US^FG_PRICE(12/31/2017)&lt;/Q&gt;&lt;R&gt;0&lt;/R&gt;&lt;C&gt;0&lt;/C&gt;&lt;/FQL&gt;&lt;FQL&gt;&lt;Q&gt;LVNTA-US^FG_PRICE(12/30/2015)&lt;/Q&gt;&lt;R&gt;1&lt;/R&gt;&lt;C&gt;1&lt;/C&gt;&lt;D xsi:type="xsd:double"&gt;36.205425&lt;/D&gt;&lt;/FQL&gt;&lt;FQL&gt;&lt;Q&gt;LVNTA-US^FG_PRICE(12/31/2017)&lt;/Q&gt;&lt;R&gt;1&lt;/R&gt;&lt;C&gt;1&lt;/C&gt;&lt;D xsi:type="xsd:double"&gt;54.24&lt;/D&gt;&lt;/FQL&gt;&lt;FQL&gt;&lt;Q&gt;MATX-US^FG_PRICE(12/30/2015)&lt;/Q&gt;&lt;R&gt;1&lt;/R&gt;&lt;C&gt;1&lt;/C&gt;&lt;D xsi:type="xsd:double"&gt;43.11&lt;/D&gt;&lt;/FQL&gt;&lt;FQL&gt;&lt;Q&gt;MATX-US^FG_PRICE(12/31/2017)&lt;/Q&gt;&lt;R&gt;1&lt;/R&gt;&lt;C&gt;1&lt;/C&gt;&lt;D xsi:type="xsd:double"&gt;29.84&lt;/D&gt;&lt;/FQL&gt;&lt;FQL&gt;&lt;Q&gt;WDAY-US^FG_PRICE(12/30/2015)&lt;/Q&gt;&lt;R&gt;1&lt;/R&gt;&lt;C&gt;1&lt;/C&gt;&lt;D xsi:type="xsd:double"&gt;80.28&lt;/D&gt;&lt;/FQL&gt;&lt;FQL&gt;&lt;Q&gt;WDAY-US^FG_PRICE(12/31/2017)&lt;/Q&gt;&lt;R&gt;1&lt;/R&gt;&lt;C&gt;1&lt;/C&gt;&lt;D xsi:type="xsd:double"&gt;101.74&lt;/D&gt;&lt;/FQL&gt;&lt;FQL&gt;&lt;Q&gt;SANM-US^FG_PRICE(12/30/2015)&lt;/Q&gt;&lt;R&gt;1&lt;/R&gt;&lt;C&gt;1&lt;/C&gt;&lt;D xsi:type="xsd:double"&gt;21.12&lt;/D&gt;&lt;/FQL&gt;&lt;FQL&gt;&lt;Q&gt;SANM-US^FG_PRICE(12/31/2017)&lt;/Q&gt;&lt;R&gt;1&lt;/R&gt;&lt;C&gt;1&lt;/C&gt;&lt;D xsi:type="xsd:double"&gt;33&lt;/D&gt;&lt;/FQL&gt;&lt;FQL&gt;&lt;Q&gt;ABBV-US^FG_PRICE(12/30/2015)&lt;/Q&gt;&lt;R&gt;1&lt;/R&gt;&lt;C&gt;1&lt;/C&gt;&lt;D xsi:type="xsd:double"&gt;59.8&lt;/D&gt;&lt;/FQL&gt;&lt;FQL&gt;&lt;Q&gt;ABBV-US^FG_PRICE(12/31/2017)&lt;/Q&gt;&lt;R&gt;1&lt;/R&gt;&lt;C&gt;1&lt;/C&gt;&lt;D xsi:type="xsd:double"&gt;96.71&lt;/D&gt;&lt;/FQL&gt;&lt;FQL&gt;&lt;Q&gt;TMUS-US^FG_PRICE(12/30/2015)&lt;/Q&gt;&lt;R&gt;1&lt;/R&gt;&lt;C&gt;1&lt;/C&gt;&lt;D xsi:type="xsd:double"&gt;39.74&lt;/D&gt;&lt;/FQL&gt;&lt;FQL&gt;&lt;Q&gt;TMUS-US^FG_PRICE(12/31/2017)&lt;/Q&gt;&lt;R&gt;1&lt;/R&gt;&lt;C&gt;1&lt;/C&gt;&lt;D xsi:type="xsd:double"&gt;63.51&lt;/D&gt;&lt;/FQL&gt;&lt;FQL&gt;&lt;Q&gt;PTC-US^FG_PRICE(12/30/2015)&lt;/Q&gt;&lt;R&gt;1&lt;/R&gt;&lt;C&gt;1&lt;/C&gt;&lt;D xsi:type="xsd:double"&gt;35.04&lt;/D&gt;&lt;/FQL&gt;&lt;FQL&gt;&lt;Q&gt;PTC-US^FG_PRICE(12/31/2017)&lt;/Q&gt;&lt;R&gt;1&lt;/R&gt;&lt;C&gt;1&lt;/C&gt;&lt;D xsi:type="xsd:double"&gt;60.77&lt;/D&gt;&lt;/FQL&gt;&lt;FQL&gt;&lt;Q&gt;ZTS-US^FG_PRICE(12/30/2015)&lt;/Q&gt;&lt;R&gt;1&lt;/R&gt;&lt;C&gt;1&lt;/C&gt;&lt;D xsi:type="xsd:double"&gt;48.26&lt;/D&gt;&lt;/FQL&gt;&lt;FQL&gt;&lt;Q&gt;ZTS-US^FG_PRICE(12/31/2017)&lt;/Q&gt;&lt;R&gt;1&lt;/R&gt;&lt;C&gt;1&lt;/C&gt;&lt;D xsi:type="xsd:double"&gt;72.04&lt;/D&gt;&lt;/FQL&gt;&lt;FQL&gt;&lt;Q&gt;NCLH-US^FG_PRICE(12/30/2015)&lt;/Q&gt;&lt;R&gt;1&lt;/R&gt;&lt;C&gt;1&lt;/C&gt;&lt;D xsi:type="xsd:double"&gt;59.51&lt;/D&gt;&lt;/FQL&gt;&lt;FQL&gt;&lt;Q&gt;NCLH-US^FG_PRICE(12/31/2017)&lt;/Q&gt;&lt;R&gt;1&lt;/R&gt;&lt;C&gt;1&lt;/C&gt;&lt;D xsi:type="xsd:double"&gt;53.25&lt;/D&gt;&lt;/FQL&gt;&lt;FQL&gt;&lt;Q&gt;HAWK-US^FG_PRICE(12/30/2015)&lt;/Q&gt;&lt;R&gt;1&lt;/R&gt;&lt;C&gt;1&lt;/C&gt;&lt;D xsi:type="xsd:double"&gt;45.25&lt;/D&gt;&lt;/FQL&gt;&lt;FQL&gt;&lt;Q&gt;HAWK-US^FG_PRICE(12/31/2017)&lt;/Q&gt;&lt;R&gt;1&lt;/R&gt;&lt;C&gt;1&lt;/C&gt;&lt;D xsi:type="xsd:double"&gt;35.65&lt;/D&gt;&lt;/FQL&gt;&lt;FQL&gt;&lt;Q&gt;LB-US^FG_PRICE(12/30/2015)&lt;/Q&gt;&lt;R&gt;1&lt;/R&gt;&lt;C&gt;1&lt;/C&gt;&lt;D xsi:type="xsd:double"&gt;96.67&lt;/D&gt;&lt;/FQL&gt;&lt;FQL&gt;&lt;Q&gt;LB-US^FG_PRICE(12/31/2017)&lt;/Q&gt;&lt;R&gt;1&lt;/R&gt;&lt;C&gt;1&lt;/C&gt;&lt;D xsi:type="xsd:double"&gt;60.22&lt;/D&gt;&lt;/FQL&gt;&lt;FQL&gt;&lt;Q&gt;SUNEQ-US^FG_PRICE(12/30/2015)&lt;/Q&gt;&lt;R&gt;1&lt;/R&gt;&lt;C&gt;1&lt;/C&gt;&lt;D xsi:type="xsd:double"&gt;5.07&lt;/D&gt;&lt;/FQL&gt;&lt;FQL&gt;&lt;Q&gt;SUNEQ-US^FG_PRICE(12/31/2017)&lt;/Q&gt;&lt;R&gt;0&lt;/R&gt;&lt;C&gt;0&lt;/C&gt;&lt;/FQL&gt;&lt;FQL&gt;&lt;Q&gt;FOSL-US^FG_PRICE(12/30/2015)&lt;/Q&gt;&lt;R&gt;1&lt;/R&gt;&lt;C&gt;1&lt;/C&gt;&lt;D xsi:type="xsd:double"&gt;37.13&lt;/D&gt;&lt;/FQL&gt;&lt;FQL&gt;&lt;Q&gt;FOSL-US^FG_PRICE(12/31/2017)&lt;/Q&gt;&lt;R&gt;1&lt;/R&gt;&lt;C&gt;1&lt;/C&gt;&lt;D xsi:type="xsd:double"&gt;7.77&lt;/D&gt;&lt;/FQL&gt;&lt;FQL&gt;&lt;Q&gt;NWSA-US^FG_PRICE(12/30/2015)&lt;/Q&gt;&lt;R&gt;1&lt;/R&gt;&lt;C&gt;1&lt;/C&gt;&lt;D xsi:type="xsd:double"&gt;13.52&lt;/D&gt;&lt;/FQL&gt;&lt;FQL&gt;&lt;Q&gt;NWSA-US^FG_PRICE(12/31/2017)&lt;/Q&gt;&lt;R&gt;1&lt;/R&gt;&lt;C&gt;1&lt;/C&gt;&lt;D xsi:type="xsd:double"&gt;16.21&lt;/D&gt;&lt;/FQL&gt;&lt;FQL&gt;&lt;Q&gt;FOXA-US^FG_PRICE(12/30/2015)&lt;/Q&gt;&lt;R&gt;1&lt;/R&gt;&lt;C&gt;1&lt;/C&gt;&lt;D xsi:type="xsd:double"&gt;27.3&lt;/D&gt;&lt;/FQL&gt;&lt;FQL&gt;&lt;Q&gt;FOXA-US^FG_PRICE(12/31/2017)&lt;/Q&gt;&lt;R&gt;1&lt;/R&gt;&lt;C&gt;1&lt;/C&gt;&lt;D xsi:type="xsd:double"&gt;34.53&lt;/D&gt;&lt;/FQL&gt;&lt;FQL&gt;&lt;Q&gt;S-US^FG_PRICE(12/30/2015)&lt;/Q&gt;&lt;R&gt;1&lt;/R&gt;&lt;C&gt;1&lt;/C&gt;&lt;D xsi:type="xsd:double"&gt;3.63&lt;/D&gt;&lt;/FQL&gt;&lt;FQL&gt;&lt;Q&gt;S-US^FG_PRICE(12/31/2017)&lt;/Q&gt;&lt;R&gt;1&lt;/R&gt;&lt;C&gt;1&lt;/C&gt;&lt;D xsi:type="xsd:double"&gt;5.89&lt;/D&gt;&lt;/FQL&gt;&lt;FQL&gt;&lt;Q&gt;SFM-US^FG_PRICE(12/30/2015)&lt;/Q&gt;&lt;R&gt;1&lt;/R&gt;&lt;C&gt;1&lt;/C&gt;&lt;D xsi:type="xsd:double"&gt;26.63&lt;/D&gt;&lt;/FQL&gt;&lt;FQL&gt;&lt;Q&gt;SFM-US^FG_PRICE(12/31/2017)&lt;/Q&gt;&lt;R&gt;1&lt;/R&gt;&lt;C&gt;1&lt;/C&gt;&lt;D xsi:type="xsd:double"&gt;24.35&lt;/D&gt;&lt;/FQL&gt;&lt;FQL&gt;&lt;Q&gt;EVHC.XX1-US^FG_PRICE(12/30/2015)&lt;/Q&gt;&lt;R&gt;1&lt;/R&gt;&lt;C&gt;1&lt;/C&gt;&lt;D xsi:type="xsd:double"&gt;25.98&lt;/D&gt;&lt;/FQL&gt;&lt;FQL&gt;&lt;Q&gt;EVHC.XX1-US^FG_PRICE(12/31/2017)&lt;/Q&gt;&lt;R&gt;0&lt;/R&gt;&lt;C&gt;0&lt;/C&gt;&lt;/FQL&gt;&lt;FQL&gt;&lt;Q&gt;AAL-US^FG_PRICE(12/30/2015)&lt;/Q&gt;&lt;R&gt;1&lt;/R&gt;&lt;C&gt;1&lt;/C&gt;&lt;D xsi:type="xsd:double"&gt;42.8&lt;/D&gt;&lt;/FQL&gt;&lt;FQL&gt;&lt;Q&gt;AAL-US^FG_PRICE(12/31/2017)&lt;/Q&gt;&lt;R&gt;1&lt;/R&gt;&lt;C&gt;1&lt;/C&gt;&lt;D xsi:type="xsd:double"&gt;52.03&lt;/D&gt;&lt;/FQL&gt;&lt;FQL&gt;&lt;Q&gt;FEYE-US^FG_PRICE(12/30/2015)&lt;/Q&gt;&lt;R&gt;1&lt;/R&gt;&lt;C&gt;1&lt;/C&gt;&lt;D xsi:type="xsd:double"&gt;20.97&lt;/D&gt;&lt;/FQL&gt;&lt;FQL&gt;&lt;Q&gt;FEYE-US^FG_PRICE(12/31/2017)&lt;/Q&gt;&lt;R&gt;1&lt;/R&gt;&lt;C&gt;1&lt;/C&gt;&lt;D xsi:type="xsd:double"&gt;14.2&lt;/D&gt;&lt;/FQL&gt;&lt;FQL&gt;&lt;Q&gt;DF-US^FG_PRICE(12/30/2015)&lt;/Q&gt;&lt;R&gt;1&lt;/R&gt;&lt;C&gt;1&lt;/C&gt;&lt;D xsi:type="xsd:double"&gt;17.66&lt;/D&gt;&lt;/FQL&gt;&lt;FQL&gt;&lt;Q&gt;DF-US^FG_PRICE(12/31/2017)&lt;/Q&gt;&lt;R&gt;1&lt;/R&gt;&lt;C&gt;1&lt;/C&gt;&lt;D xsi:type="xsd:double"&gt;11.56&lt;/D&gt;&lt;/FQL&gt;&lt;FQL&gt;&lt;Q&gt;FCE.A-US^FG_PRICE(12/30/2015)&lt;/Q&gt;&lt;R&gt;1&lt;/R&gt;&lt;C&gt;1&lt;/C&gt;&lt;D xsi:type="xsd:double"&gt;21.29&lt;/D&gt;&lt;/FQL&gt;&lt;FQL&gt;&lt;Q&gt;FCE.A-US^FG_PRICE(12/31/2017)&lt;/Q&gt;&lt;R&gt;1&lt;/R&gt;&lt;C&gt;1&lt;/C&gt;&lt;D xsi:type="xsd:double"&gt;24.1&lt;/D&gt;&lt;/FQL&gt;&lt;FQL&gt;&lt;Q&gt;HUBB-US^FG_PRICE(12/30/2015)&lt;/Q&gt;&lt;R&gt;1&lt;/R&gt;&lt;C&gt;1&lt;/C&gt;&lt;D xsi:type="xsd:double"&gt;103.3&lt;/D&gt;&lt;/FQL&gt;&lt;FQL&gt;&lt;Q&gt;HUBB-US^FG_PRICE(12/31/2017)&lt;/Q&gt;&lt;R&gt;1&lt;/R&gt;&lt;C&gt;1&lt;/C&gt;&lt;D xsi:type="xsd:double"&gt;135.34&lt;/D&gt;&lt;/FQL&gt;&lt;FQL&gt;&lt;Q&gt;IONS-US^FG_PRICE(12/30/2015)&lt;/Q&gt;&lt;R&gt;1&lt;/R&gt;&lt;C&gt;1&lt;/C&gt;&lt;D xsi:type="xsd:double"&gt;61.32&lt;/D&gt;&lt;/FQL&gt;&lt;FQL&gt;&lt;Q&gt;IONS-US^FG_PRICE(12/31/2017)&lt;/Q&gt;&lt;R&gt;1&lt;/R&gt;&lt;C&gt;1&lt;/C&gt;&lt;D xsi:type="xsd:double"&gt;50.3&lt;/D&gt;&lt;/FQL&gt;&lt;FQL&gt;&lt;Q&gt;LDOS-US^FG_PRICE(12/30/2015)&lt;/Q&gt;&lt;R&gt;1&lt;/R&gt;&lt;C&gt;1&lt;/C&gt;&lt;D xsi:type="xsd:double"&gt;57.24&lt;/D&gt;&lt;/FQL&gt;&lt;FQL&gt;&lt;Q&gt;LDOS-US^FG_PRICE(12/31/2017)&lt;/Q&gt;&lt;R&gt;1&lt;/R&gt;&lt;C&gt;1&lt;/C&gt;&lt;D xsi:type="xsd:double"&gt;64.57&lt;/D&gt;&lt;/FQL&gt;&lt;FQL&gt;&lt;Q&gt;KODK-US^FG_PRICE(12/30/2015)&lt;/Q&gt;&lt;R&gt;1&lt;/R&gt;&lt;C&gt;1&lt;/C&gt;&lt;D xsi:type="xsd:double"&gt;12.73&lt;/D&gt;&lt;/FQL&gt;&lt;FQL&gt;&lt;Q&gt;KODK-US^FG_PRICE(12/31/2017)&lt;/Q&gt;&lt;R&gt;1&lt;/R&gt;&lt;C&gt;1&lt;/C&gt;&lt;D xsi:type="xsd:double"&gt;3.1&lt;/D&gt;&lt;/FQL&gt;&lt;FQL&gt;&lt;Q&gt;AR-US^FG_PRICE(12/30/2015)&lt;/Q&gt;&lt;R&gt;1&lt;/R&gt;&lt;C&gt;1&lt;/C&gt;&lt;D xsi:type="xsd:double"&gt;21.51&lt;/D&gt;&lt;/FQL&gt;&lt;FQL&gt;&lt;Q&gt;AR-US^FG_PRICE(12/31/2017)&lt;/Q&gt;&lt;R&gt;1&lt;/R&gt;&lt;C&gt;1&lt;/C&gt;&lt;D xsi:type="xsd:double"&gt;19&lt;/D&gt;&lt;/FQL&gt;&lt;FQL&gt;&lt;Q&gt;TWTR-US^FG_PRICE(12/30/2015)&lt;/Q&gt;&lt;R&gt;1&lt;/R&gt;&lt;C&gt;1&lt;/C&gt;&lt;D xsi:type="xsd:double"&gt;22.23&lt;/D&gt;&lt;/FQL&gt;&lt;FQL&gt;&lt;Q&gt;TWTR-US^FG_PRICE(12/31/2017)&lt;/Q&gt;&lt;R&gt;1&lt;/R&gt;&lt;C&gt;1&lt;/C&gt;&lt;D xsi:type="xsd:double"&gt;24.01&lt;/D&gt;&lt;/FQL&gt;&lt;FQL&gt;&lt;Q&gt;ICE-US^FG_PRICE(12/30/2015)&lt;/Q&gt;&lt;R&gt;1&lt;/R&gt;&lt;C&gt;1&lt;/C&gt;&lt;D xsi:type="xsd:double"&gt;51.385998&lt;/D&gt;&lt;/FQL&gt;&lt;FQL&gt;&lt;Q&gt;ICE-US^FG_PRICE(12/31/2017)&lt;/Q&gt;&lt;R&gt;1&lt;/R&gt;&lt;C&gt;1&lt;/C&gt;&lt;D xsi:type="xsd:double"&gt;70.56&lt;/D&gt;&lt;/FQL&gt;&lt;FQL&gt;&lt;Q&gt;BRX-US^FG_PRICE(12/30/2015)&lt;/Q&gt;&lt;R&gt;1&lt;/R&gt;&lt;C&gt;1&lt;/C&gt;&lt;D xsi:type="xsd:double"&gt;26.04&lt;/D&gt;&lt;/FQL&gt;&lt;FQL&gt;&lt;Q&gt;BRX-US^FG_PRICE(12/31/2017)&lt;/Q&gt;&lt;R&gt;1&lt;/R&gt;&lt;C&gt;1&lt;/C&gt;&lt;D xsi:type="xsd:double"&gt;18.66&lt;/D&gt;&lt;/FQL&gt;&lt;FQL&gt;&lt;Q&gt;SIRI-US^FG_PRICE(12/30/2015)&lt;/Q&gt;&lt;R&gt;1&lt;/R&gt;&lt;C&gt;1&lt;/C&gt;&lt;D xsi:type="xsd:double"&gt;4.07&lt;/D&gt;&lt;/FQL&gt;&lt;FQL&gt;&lt;Q&gt;SIRI-US^FG_PRICE(12/31/2017)&lt;/Q&gt;&lt;R&gt;1&lt;/R&gt;&lt;C&gt;1&lt;/C&gt;&lt;D xsi:type="xsd:double"&gt;5.36&lt;/D&gt;&lt;/FQL&gt;&lt;FQL&gt;&lt;Q&gt;GHC-US^FG_PRICE(12/30/2015)&lt;/Q&gt;&lt;R&gt;1&lt;/R&gt;&lt;C&gt;1&lt;/C&gt;&lt;D xsi:type="xsd:double"&gt;493.54&lt;/D&gt;&lt;/FQL&gt;&lt;FQL&gt;&lt;Q&gt;GHC-US^FG_PRICE(12/31/2017)&lt;/Q&gt;&lt;R&gt;1&lt;/R&gt;&lt;C&gt;1&lt;/C&gt;&lt;D xsi:type="xsd:double"&gt;558.35&lt;/D&gt;&lt;/FQL&gt;&lt;FQL&gt;&lt;Q&gt;HLT-US^FG_PRICE(12/30/2015)&lt;/Q&gt;&lt;R&gt;1&lt;/R&gt;&lt;C&gt;1&lt;/C&gt;&lt;D xsi:type="xsd:double"&gt;44.316673&lt;/D&gt;&lt;/FQL&gt;&lt;FQL&gt;&lt;Q&gt;HLT-US^FG_PRICE(12/31/2017)&lt;/Q&gt;&lt;R&gt;1&lt;/R&gt;&lt;C&gt;1&lt;/C&gt;&lt;D xsi:type="xsd:double"&gt;79.86&lt;/D&gt;&lt;/FQL&gt;&lt;FQL&gt;&lt;Q&gt;ARMK-US^FG_PRICE(12/30/2015)&lt;/Q&gt;&lt;R&gt;1&lt;/R&gt;&lt;C&gt;1&lt;/C&gt;&lt;D xsi:type="xsd:double"&gt;32.39&lt;/D&gt;&lt;/FQL&gt;&lt;FQL&gt;&lt;Q&gt;ARMK-US^FG_PRICE(12/31/2017)&lt;/Q&gt;&lt;R&gt;1&lt;/R&gt;&lt;C&gt;1&lt;/C&gt;&lt;D xsi:type="xsd:double"&gt;42.74&lt;/D&gt;&lt;/FQL&gt;&lt;FQL&gt;&lt;Q&gt;OGS-US^FG_PRICE(12/30/2015)&lt;/Q&gt;&lt;R&gt;1&lt;/R&gt;&lt;C&gt;1&lt;/C&gt;&lt;D xsi:type="xsd:double"&gt;51.34&lt;/D&gt;&lt;/FQL&gt;&lt;FQL&gt;&lt;Q&gt;OGS-US^FG_PRICE(12/31/2017)&lt;/Q&gt;&lt;R&gt;1&lt;/R&gt;&lt;C&gt;1&lt;/C&gt;&lt;D xsi:type="xsd:double"&gt;73.26&lt;/D&gt;&lt;/FQL&gt;&lt;FQL&gt;&lt;Q&gt;KN-US^FG_PRICE(12/30/2015)&lt;/Q&gt;&lt;R&gt;1&lt;/R&gt;&lt;C&gt;1&lt;/C&gt;&lt;D xsi:type="xsd:double"&gt;13.71&lt;/D&gt;&lt;/FQL&gt;&lt;FQL&gt;&lt;Q&gt;KN-US^FG_PRICE(12/31/2017)&lt;/Q&gt;&lt;R&gt;1&lt;/R&gt;&lt;C&gt;1&lt;/C&gt;&lt;D xsi:type="xsd:double"&gt;14.66&lt;/D&gt;&lt;/FQL&gt;&lt;FQL&gt;&lt;Q&gt;GMCR-US^FG_PRICE(12/30/2015)&lt;/Q&gt;&lt;R&gt;1&lt;/R&gt;&lt;C&gt;1&lt;/C&gt;&lt;D xsi:type="xsd:double"&gt;90.11&lt;/D&gt;&lt;/FQL&gt;&lt;FQL&gt;&lt;Q&gt;GMCR-US^FG_PRICE(12/31/2017)&lt;/Q&gt;&lt;R&gt;0&lt;/R&gt;&lt;C&gt;0&lt;/C&gt;&lt;/FQL&gt;&lt;FQL&gt;&lt;Q&gt;VOYA-US^FG_PRICE(12/30/2015)&lt;/Q&gt;&lt;R&gt;1&lt;/R&gt;&lt;C&gt;1&lt;/C&gt;&lt;D xsi:type="xsd:double"&gt;37.27&lt;/D&gt;&lt;/FQL&gt;&lt;FQL&gt;&lt;Q&gt;VOYA-US^FG_PRICE(12/31/2017)&lt;/Q&gt;&lt;R&gt;1&lt;/R&gt;&lt;C&gt;1&lt;/C&gt;&lt;D xsi:type="xsd:double"&gt;49.47&lt;/D&gt;&lt;/FQL&gt;&lt;FQL&gt;&lt;Q&gt;LE-US^FG_PRICE(12/30/2015)&lt;/Q&gt;&lt;R&gt;1&lt;/R&gt;&lt;C&gt;1&lt;/C&gt;&lt;D xsi:type="xsd:double"&gt;23.51&lt;/D&gt;&lt;/FQL&gt;&lt;FQL&gt;&lt;Q&gt;LE-US^FG_PRICE(12/31/2017)&lt;/Q&gt;&lt;R&gt;1&lt;/R&gt;&lt;C&gt;1&lt;/C&gt;&lt;D xsi:type="xsd:double"&gt;19.55&lt;/D&gt;&lt;/FQL&gt;&lt;FQL&gt;&lt;Q&gt;NAVI-US^FG_PRICE(12/30/2015)&lt;/Q&gt;&lt;R&gt;1&lt;/R&gt;&lt;C&gt;1&lt;/C&gt;&lt;D xsi:type="xsd:double"&gt;11.33&lt;/D&gt;&lt;/FQL&gt;&lt;FQL&gt;&lt;Q&gt;NAVI-US^FG_PRICE(12/31/2017)&lt;/Q&gt;&lt;R&gt;1&lt;/R&gt;&lt;C&gt;1&lt;/C&gt;&lt;D xsi:type="xsd:double"&gt;13.32&lt;/D&gt;&lt;/FQL&gt;&lt;FQL&gt;&lt;Q&gt;ALM-GB^FG_PRICE(12/30/2015)&lt;/Q&gt;&lt;R&gt;1&lt;/R&gt;&lt;C&gt;1&lt;/C&gt;&lt;D xsi:type="xsd:double"&gt;3.8930001&lt;/D&gt;&lt;/FQL&gt;&lt;FQL&gt;&lt;Q&gt;ALM-GB^FG_PRICE(12/31/2017)&lt;/Q&gt;&lt;R&gt;1&lt;/R&gt;&lt;C&gt;1&lt;/C&gt;&lt;D xsi:type="xsd:double"&gt;1.65&lt;/D&gt;&lt;/FQL&gt;&lt;FQL&gt;&lt;Q&gt;DNOW-US^FG_PRICE(12/30/2015)&lt;/Q&gt;&lt;R&gt;1&lt;/R&gt;&lt;C&gt;1&lt;/C&gt;&lt;D xsi:type="xsd:double"&gt;16.02&lt;/D&gt;&lt;/FQL&gt;&lt;FQL&gt;&lt;Q&gt;DNOW-US^FG_PRICE(12/31/2017)&lt;/Q&gt;&lt;R&gt;1&lt;/R&gt;&lt;C&gt;1&lt;/C&gt;&lt;D xsi:type="xsd:double"&gt;11.03&lt;/D&gt;&lt;/FQL&gt;&lt;FQL&gt;&lt;Q&gt;SNV-US^FG_PRICE(12/30/2015)&lt;/Q&gt;&lt;R&gt;1&lt;/R&gt;&lt;C&gt;1&lt;/C&gt;&lt;D xsi:type="xsd:double"&gt;32.71&lt;/D&gt;&lt;/FQL&gt;&lt;FQL&gt;&lt;Q&gt;SNV-US^FG_PRICE(12/31/2017)&lt;/Q&gt;&lt;R&gt;1&lt;/R&gt;&lt;C&gt;1&lt;/C&gt;&lt;D xsi:type="xsd:double"&gt;47.94&lt;/D&gt;&lt;/FQL&gt;&lt;FQL&gt;&lt;Q&gt;TIME-US^FG_PRICE(12/30/2015)&lt;/Q&gt;&lt;R&gt;1&lt;/R&gt;&lt;C&gt;1&lt;/C&gt;&lt;D xsi:type="xsd:double"&gt;15.51&lt;/D&gt;&lt;/FQL&gt;&lt;FQL&gt;&lt;Q&gt;TIME-US^FG_PRICE(12/31/2017)&lt;/Q&gt;&lt;R&gt;1&lt;/R&gt;&lt;C&gt;1&lt;/C&gt;&lt;D xsi:type="xsd:double"&gt;18.45&lt;/D&gt;&lt;/FQL&gt;&lt;FQL&gt;&lt;Q&gt;RYAM-US^FG_PRICE(12/30/2015)&lt;/Q&gt;&lt;R&gt;1&lt;/R&gt;&lt;C&gt;1&lt;/C&gt;&lt;D xsi:type="xsd:double"&gt;9.66&lt;/D&gt;&lt;/FQL&gt;&lt;FQL&gt;&lt;Q&gt;RYAM-US^FG_PRICE(12/31/2017)&lt;/Q&gt;&lt;R&gt;1&lt;/R&gt;&lt;C&gt;1&lt;/C&gt;&lt;D xsi:type="xsd:double"&gt;20.45&lt;/D&gt;&lt;/FQL&gt;&lt;FQL&gt;&lt;Q&gt;OR-CA^FG_PRICE(12/30/2015)&lt;/Q&gt;&lt;R&gt;1&lt;/R&gt;&lt;C&gt;1&lt;/C&gt;&lt;D xsi:type="xsd:double"&gt;13.88&lt;/D&gt;&lt;/FQL&gt;&lt;FQL&gt;&lt;Q&gt;OR-CA^FG_PRICE(12/31/2017)&lt;/Q&gt;&lt;R&gt;1&lt;/R&gt;&lt;C&gt;1&lt;/C&gt;&lt;D xsi:type="xsd:double"&gt;14.52&lt;/D&gt;&lt;/FQL&gt;&lt;FQL&gt;&lt;Q&gt;VRTV-US^FG_PRICE(12/30/2015)&lt;/Q&gt;&lt;R&gt;1&lt;/R&gt;&lt;C&gt;1&lt;/C&gt;&lt;D xsi:type="xsd:double"&gt;38.64&lt;/D&gt;&lt;/FQL&gt;&lt;FQL&gt;&lt;Q&gt;VRTV-US^FG_PRICE(12/31/2017)&lt;/Q&gt;&lt;R&gt;1&lt;/R&gt;&lt;C&gt;1&lt;/C&gt;&lt;D xsi:type="xsd:double"&gt;28.9&lt;/D&gt;&lt;/FQL&gt;&lt;FQL&gt;&lt;Q&gt;FNF-US^FG_PRICE(12/30/2015)&lt;/Q&gt;&lt;R&gt;1&lt;/R&gt;&lt;C&gt;1&lt;/C&gt;&lt;D xsi:type="xsd:double"&gt;25.012459&lt;/D&gt;&lt;/FQL&gt;&lt;FQL&gt;&lt;Q&gt;FNF-US^FG_PRICE(12/31/2017)&lt;/Q&gt;&lt;R&gt;1&lt;/R&gt;&lt;C&gt;1&lt;/C&gt;&lt;D xsi:type="xsd:double"&gt;39.24&lt;/D&gt;&lt;/FQL&gt;&lt;FQL&gt;&lt;Q&gt;PSG-CA^FG_PRICE(12/30/2015)&lt;/Q&gt;&lt;R&gt;1&lt;/R&gt;&lt;C&gt;1&lt;/C&gt;&lt;D xsi:type="xsd:double"&gt;13.53&lt;/D&gt;&lt;/FQL&gt;&lt;FQL&gt;&lt;Q&gt;PSG-CA^FG_PRICE(12/31/2017)&lt;/Q&gt;&lt;R&gt;0&lt;/R&gt;&lt;C&gt;0&lt;/C&gt;&lt;/FQL&gt;&lt;FQL&gt;&lt;Q&gt;GEO-US^FG_PRICE(12/30/2015)&lt;/Q&gt;&lt;R&gt;1&lt;/R&gt;&lt;C&gt;1&lt;/C&gt;&lt;D xsi:type="xsd:double"&gt;19.013334&lt;/D&gt;&lt;/FQL&gt;&lt;FQL&gt;&lt;Q&gt;GEO-US^FG_PRICE(12/31/2017)&lt;/Q&gt;&lt;R&gt;1&lt;/R&gt;&lt;C&gt;1&lt;/C&gt;&lt;D xsi:type="xsd:double"&gt;23.6&lt;/D&gt;&lt;/FQL&gt;&lt;FQL&gt;&lt;Q&gt;SYF-US^FG_PRICE(12/30/2015)&lt;/Q&gt;&lt;R&gt;1&lt;/R&gt;&lt;C&gt;1&lt;/C&gt;&lt;D xsi:type="xsd:double"&gt;30.43&lt;/D&gt;&lt;/FQL&gt;&lt;FQL&gt;&lt;Q&gt;SYF-US^FG_PRICE(12/31/2017)&lt;/Q&gt;&lt;R&gt;1&lt;/R&gt;&lt;C&gt;1&lt;/C&gt;&lt;D xsi:type="xsd:double"&gt;38.61&lt;/D&gt;&lt;/FQL&gt;&lt;FQL&gt;&lt;Q&gt;EQC-US^FG_PRICE(12/30/2015)&lt;/Q&gt;&lt;R&gt;1&lt;/R&gt;&lt;C&gt;1&lt;/C&gt;&lt;D xsi:type="xsd:double"&gt;27.94&lt;/D&gt;&lt;/FQL&gt;&lt;FQL&gt;&lt;Q&gt;EQC-US^FG_PRICE(12/31/2017)&lt;/Q&gt;&lt;R&gt;1&lt;/R&gt;&lt;C&gt;1&lt;/C&gt;&lt;D xsi:type="xsd:double"&gt;30.51&lt;/D&gt;&lt;/FQL&gt;&lt;FQL&gt;&lt;Q&gt;OSGB-US^FG_PRICE(12/30/2015)&lt;/Q&gt;&lt;R&gt;1&lt;/R&gt;&lt;C&gt;1&lt;/C&gt;&lt;D xsi:type="xsd:double"&gt;3.3&lt;/D&gt;&lt;/FQL&gt;&lt;FQL&gt;&lt;Q&gt;OSGB-US^FG_PRICE(12/31/2017)&lt;/Q&gt;&lt;R&gt;0&lt;/R&gt;&lt;C&gt;0&lt;/C&gt;&lt;/FQL&gt;&lt;FQL&gt;&lt;Q&gt;CFG-US^FG_PRICE(12/30/2015)&lt;/Q&gt;&lt;R&gt;1&lt;/R&gt;&lt;C&gt;1&lt;/C&gt;&lt;D xsi:type="xsd:double"&gt;26.3&lt;/D&gt;&lt;/FQL&gt;&lt;FQL&gt;&lt;Q&gt;CFG-US^FG_PRICE(12/31/2017)&lt;/Q&gt;&lt;R&gt;1&lt;/R&gt;&lt;C&gt;1&lt;/C&gt;&lt;D xsi:type="xsd:double"&gt;41.98&lt;/D&gt;&lt;/FQL&gt;&lt;FQL&gt;&lt;Q&gt;CDK-US^FG_PRICE(12/30/2015)&lt;/Q&gt;&lt;R&gt;1&lt;/R&gt;&lt;C&gt;1&lt;/C&gt;&lt;D xsi:type="xsd:double"&gt;49.01&lt;/D&gt;&lt;/FQL&gt;&lt;FQL&gt;&lt;Q&gt;CDK-US^FG_PRICE(12/31/2017)&lt;/Q&gt;&lt;R&gt;1&lt;/R&gt;&lt;C&gt;1&lt;/C&gt;&lt;D xsi:type="xsd:double"&gt;71.28&lt;/D&gt;&lt;/FQL&gt;&lt;FQL&gt;&lt;Q&gt;KEYS-US^FG_PRICE(12/30/2015)&lt;/Q&gt;&lt;R&gt;1&lt;/R&gt;&lt;C&gt;1&lt;/C&gt;&lt;D xsi:type="xsd:double"&gt;28.58&lt;/D&gt;&lt;/FQL&gt;&lt;FQL&gt;&lt;Q&gt;KEYS-US^FG_PRICE(12/31/2017)&lt;/Q&gt;&lt;R&gt;1&lt;/R&gt;&lt;C&gt;1&lt;/C&gt;&lt;D xsi:type="xsd:double"&gt;41.6&lt;/D&gt;&lt;/FQL&gt;&lt;FQL&gt;&lt;Q&gt;QRVO-US^FG_PRICE(12/30/2015)&lt;/Q&gt;&lt;R&gt;1&lt;/R&gt;&lt;C&gt;1&lt;/C&gt;&lt;D xsi:type="xsd:double"&gt;51.66&lt;/D&gt;&lt;/FQL&gt;&lt;FQL&gt;&lt;Q&gt;QRVO-US^FG_PRICE(12/31/2017)&lt;/Q&gt;&lt;R&gt;1&lt;/R&gt;&lt;C&gt;1&lt;/C&gt;&lt;D xsi:type="xsd:double"&gt;66.6&lt;/D&gt;&lt;/FQL&gt;&lt;FQL&gt;&lt;Q&gt;HYH-US^FG_PRICE(12/30/2015)&lt;/Q&gt;&lt;R&gt;1&lt;/R&gt;&lt;C&gt;1&lt;/C&gt;&lt;D xsi:type="xsd:double"&gt;33.63&lt;/D&gt;&lt;/FQL&gt;&lt;FQL&gt;&lt;Q&gt;HYH-US^FG_PRICE(12/31/2017)&lt;/Q&gt;&lt;R&gt;1&lt;/R&gt;&lt;C&gt;1&lt;/C&gt;&lt;D xsi:type="xsd:double"&gt;46.18&lt;/D&gt;&lt;/FQL&gt;&lt;FQL&gt;&lt;Q&gt;INDV-GB^FG_PRICE(12/30/2015)&lt;/Q&gt;&lt;R&gt;1&lt;/R&gt;&lt;C&gt;1&lt;/C&gt;&lt;D xsi:type="xsd:double"&gt;1.8840001&lt;/D&gt;&lt;/FQL&gt;&lt;FQL&gt;&lt;Q&gt;INDV-GB^FG_PRICE(12/31/2017)&lt;/Q&gt;&lt;R&gt;1&lt;/R&gt;&lt;C&gt;1&lt;/C&gt;&lt;D xsi:type="xsd:double"&gt;4.082&lt;/D&gt;&lt;/FQL&gt;&lt;FQL&gt;&lt;Q&gt;LBRDK-US^FG_PRICE(12/30/2015)&lt;/Q&gt;&lt;R&gt;1&lt;/R&gt;&lt;C&gt;1&lt;/C&gt;&lt;D xsi:type="xsd:double"&gt;52.09&lt;/D&gt;&lt;/FQL&gt;&lt;FQL&gt;&lt;Q&gt;LBRDK-US^FG_PRICE(12/31/2017)&lt;/Q&gt;&lt;R&gt;1&lt;/R&gt;&lt;C&gt;1&lt;/C&gt;&lt;D xsi:type="xsd:double"&gt;85.16&lt;/D&gt;&lt;/FQL&gt;&lt;FQL&gt;&lt;Q&gt;AXTA-US^FG_PRICE(12/30/2015)&lt;/Q&gt;&lt;R&gt;1&lt;/R&gt;&lt;C&gt;1&lt;/C&gt;&lt;D xsi:type="xsd:double"&gt;26.65&lt;/D&gt;&lt;/FQL&gt;&lt;FQL&gt;&lt;Q&gt;AXTA-US^FG_PRICE(12/31/2017)&lt;/Q&gt;&lt;R&gt;1&lt;/R&gt;&lt;C&gt;1&lt;/C&gt;&lt;D xsi:type="xsd:double"&gt;32.36&lt;/D&gt;&lt;/FQL&gt;&lt;FQL&gt;&lt;Q&gt;TECH-US^FG_PRICE(12/30/2015)&lt;/Q&gt;&lt;R&gt;1&lt;/R&gt;&lt;C&gt;1&lt;/C&gt;&lt;D xsi:type="xsd:double"&gt;91.21&lt;/D&gt;&lt;/FQL&gt;&lt;FQL&gt;&lt;Q&gt;TECH-US^FG_PRICE(12/31/2017)&lt;/Q&gt;&lt;R&gt;1&lt;/R&gt;&lt;C&gt;1&lt;/C&gt;&lt;D xsi:type="xsd:double"&gt;129.55&lt;/D&gt;&lt;/FQL&gt;&lt;FQL&gt;&lt;Q&gt;ANTM-US^FG_PRICE(12/30/2015)&lt;/Q&gt;&lt;R&gt;1&lt;/R&gt;&lt;C&gt;1&lt;/C&gt;&lt;D xsi:type="xsd:double"&gt;140.96&lt;/D&gt;&lt;/FQL&gt;&lt;FQL&gt;&lt;Q&gt;ANTM-US^FG_PRICE(12/31/2017)&lt;/Q&gt;&lt;R&gt;1&lt;/R&gt;&lt;C&gt;1&lt;/C&gt;&lt;D xsi:type="xsd:double"&gt;225.01&lt;/D&gt;&lt;/FQL&gt;&lt;FQL&gt;&lt;Q&gt;LAMR-US^FG_PRICE(12/30/2015)&lt;/Q&gt;&lt;R&gt;1&lt;/R&gt;&lt;C&gt;1&lt;/C&gt;&lt;D xsi:type="xsd:double"&gt;60.07&lt;/D&gt;&lt;/FQL&gt;&lt;FQL&gt;&lt;Q&gt;LAMR-US^FG_PRICE(12/31/2017)&lt;/Q&gt;&lt;R&gt;1&lt;/R&gt;&lt;C&gt;1&lt;/C&gt;&lt;D xsi:type="xsd:double"&gt;74.24&lt;/D&gt;&lt;/FQL&gt;&lt;FQL&gt;&lt;Q&gt;KLXI-US^FG_PRICE(12/30/2015)&lt;/Q&gt;&lt;R&gt;1&lt;/R&gt;&lt;C&gt;1&lt;/C&gt;&lt;D xsi:type="xsd:double"&gt;30.9&lt;/D&gt;&lt;/FQL&gt;&lt;FQL&gt;&lt;Q&gt;KLXI-US^FG_PRICE(12/31/2017)&lt;/Q&gt;&lt;R&gt;1&lt;/R&gt;&lt;C&gt;1&lt;/C&gt;&lt;D xsi:type="xsd:double"&gt;68.25&lt;/D&gt;&lt;/FQL&gt;&lt;FQL&gt;&lt;Q&gt;CCI-US^FG_PRICE(12/30/2015)&lt;/Q&gt;&lt;R&gt;1&lt;/R&gt;&lt;C&gt;1&lt;/C&gt;&lt;D xsi:type="xsd:double"&gt;87.02&lt;/D&gt;&lt;/FQL&gt;&lt;FQL&gt;&lt;Q&gt;CCI-US^FG_PRICE(12/31/2017)&lt;/Q&gt;&lt;R&gt;1&lt;/R&gt;&lt;C&gt;1&lt;/C&gt;&lt;D xsi:type="xsd:double"&gt;111.01&lt;/D&gt;&lt;/FQL&gt;&lt;FQL&gt;&lt;Q&gt;WBA-US^FG_PRICE(12/30/2015)&lt;/Q&gt;&lt;R&gt;1&lt;/R&gt;&lt;C&gt;1&lt;/C&gt;&lt;D xsi:type="xsd:double"&gt;86.39&lt;/D&gt;&lt;/FQL&gt;&lt;FQL&gt;&lt;Q&gt;WBA-US^FG_PRICE(12/31/2017)&lt;/Q&gt;&lt;R&gt;1&lt;/R&gt;&lt;C&gt;1&lt;/C&gt;&lt;D xsi:type="xsd:double"&gt;72.62&lt;/D&gt;&lt;/FQL&gt;&lt;FQL&gt;&lt;Q&gt;UE-US^FG_PRICE(12/30/2015)&lt;/Q&gt;&lt;R&gt;1&lt;/R&gt;&lt;C&gt;1&lt;/C&gt;&lt;D xsi:type="xsd:double"&gt;23.76&lt;/D&gt;&lt;/FQL&gt;&lt;FQL&gt;&lt;Q&gt;UE-US^FG_PRICE(12/31/2017)&lt;/Q&gt;&lt;R&gt;1&lt;/R&gt;&lt;C&gt;1&lt;/C&gt;&lt;D xsi:type="xsd:double"&gt;25.49&lt;/D&gt;&lt;/FQL&gt;&lt;FQL&gt;&lt;Q&gt;WPG-US^FG_PRICE(12/30/2015)&lt;/Q&gt;&lt;R&gt;1&lt;/R&gt;&lt;C&gt;1&lt;/C&gt;&lt;D xsi:type="xsd:double"&gt;10.63&lt;/D&gt;&lt;/FQL&gt;&lt;FQL&gt;&lt;Q&gt;WPG-US^FG_PRICE(12/31/2017)&lt;/Q&gt;&lt;R&gt;1&lt;/R&gt;&lt;C&gt;1&lt;/C&gt;&lt;D xsi:type="xsd:double"&gt;7.12&lt;/D&gt;&lt;/FQL&gt;&lt;FQL&gt;&lt;Q&gt;IRM-US^FG_PRICE(12/30/2015)&lt;/Q&gt;&lt;R&gt;1&lt;/R&gt;&lt;C&gt;1&lt;/C&gt;&lt;D xsi:type="xsd:double"&gt;27.58&lt;/D&gt;&lt;/FQL&gt;&lt;FQL&gt;&lt;Q&gt;IRM-US^FG_PRICE(12/31/2017)&lt;/Q&gt;&lt;R&gt;1&lt;/R&gt;&lt;C&gt;1&lt;/C&gt;&lt;D xsi:type="xsd:double"&gt;37.73&lt;/D&gt;&lt;/FQL&gt;&lt;FQL&gt;&lt;Q&gt;OA-US^FG_PRICE(12/30/2015)&lt;/Q&gt;&lt;R&gt;1&lt;/R&gt;&lt;C&gt;1&lt;/C&gt;&lt;D xsi:type="xsd:double"&gt;90.53&lt;/D&gt;&lt;/FQL&gt;&lt;FQL&gt;&lt;Q&gt;OA-US^FG_PRICE(12/31/2017)&lt;/Q&gt;&lt;R&gt;1&lt;/R&gt;&lt;C&gt;1&lt;/C&gt;&lt;D xsi:type="xsd:double"&gt;131.5&lt;/D&gt;&lt;/FQL&gt;&lt;FQL&gt;&lt;Q&gt;EQIX-US^FG_PRICE(12/30/2015)&lt;/Q&gt;&lt;R&gt;1&lt;/R&gt;&lt;C&gt;1&lt;/C&gt;&lt;D xsi:type="xsd:double"&gt;302.69&lt;/D&gt;&lt;/FQL&gt;&lt;FQL&gt;&lt;Q&gt;EQIX-US^FG_PRICE(12/31/2017)&lt;/Q&gt;&lt;R&gt;1&lt;/R&gt;&lt;C&gt;1&lt;/C&gt;&lt;D xsi:type="xsd:double"&gt;453.22&lt;/D&gt;&lt;/FQL&gt;&lt;FQL&gt;&lt;Q&gt;ES-US^FG_PRICE(12/30/2015)&lt;/Q&gt;&lt;R&gt;1&lt;/R&gt;&lt;C&gt;1&lt;/C&gt;&lt;D xsi:type="xsd:double"&gt;51.85&lt;/D&gt;&lt;/FQL&gt;&lt;FQL&gt;&lt;Q&gt;ES-US^FG_PRICE(12/31/2017)&lt;/Q&gt;&lt;R&gt;1&lt;/R&gt;&lt;C&gt;1&lt;/C&gt;&lt;D xsi:type="xsd:double"&gt;63.18&lt;/D&gt;&lt;/FQL&gt;&lt;FQL&gt;&lt;Q&gt;ZG-US^FG_PRICE(12/30/2015)&lt;/Q&gt;&lt;R&gt;1&lt;/R&gt;&lt;C&gt;1&lt;/C&gt;&lt;D xsi:type="xsd:double"&gt;26.42&lt;/D&gt;&lt;/FQL&gt;&lt;FQL&gt;&lt;Q&gt;ZG-US^FG_PRICE(12/31/2017)&lt;/Q&gt;&lt;R&gt;1&lt;/R&gt;&lt;C&gt;1&lt;/C&gt;&lt;D xsi:type="xsd:double"&gt;40.74&lt;/D&gt;&lt;/FQL&gt;&lt;FQL&gt;&lt;Q&gt;UNIT-US^FG_PRICE(12/30/2015)&lt;/Q&gt;&lt;R&gt;1&lt;/R&gt;&lt;C&gt;1&lt;/C&gt;&lt;D xsi:type="xsd:double"&gt;18.65&lt;/D&gt;&lt;/FQL&gt;&lt;FQL&gt;&lt;Q&gt;UNIT-US^FG_PRICE(12/31/2017)&lt;/Q&gt;&lt;R&gt;1&lt;/R&gt;&lt;C&gt;1&lt;/C&gt;&lt;D xsi:type="xsd:double"&gt;17.79&lt;/D&gt;&lt;/FQL&gt;&lt;FQL&gt;&lt;Q&gt;CIM-US^FG_PRICE(12/30/2015)&lt;/Q&gt;&lt;R&gt;1&lt;/R&gt;&lt;C&gt;1&lt;/C&gt;&lt;D xsi:type="xsd:double"&gt;13.7&lt;/D&gt;&lt;/FQL&gt;&lt;FQL&gt;&lt;Q&gt;CIM-US^FG_PRICE(12/31/2017)&lt;/Q&gt;&lt;R&gt;1&lt;/R&gt;&lt;C&gt;1&lt;/C&gt;&lt;D xsi:type="xsd:double"&gt;18.48&lt;/D&gt;&lt;/FQL&gt;&lt;FQL&gt;&lt;Q&gt;WIN-US^FG_PRICE(12/30/2015)&lt;/Q&gt;&lt;R&gt;1&lt;/R&gt;&lt;C&gt;1&lt;/C&gt;&lt;D xsi:type="xsd:double"&gt;6.48&lt;/D&gt;&lt;/FQL&gt;&lt;FQL&gt;&lt;Q&gt;WIN-US^FG_PRICE(12/31/2017)&lt;/Q&gt;&lt;R&gt;1&lt;/R&gt;&lt;C&gt;1&lt;/C&gt;&lt;D xsi:type="xsd:double"&gt;1.85&lt;/D&gt;&lt;/FQL&gt;&lt;FQL&gt;&lt;Q&gt;EPC-US^FG_PRICE(12/30/2015)&lt;/Q&gt;&lt;R&gt;1&lt;/R&gt;&lt;C&gt;1&lt;/C&gt;&lt;D xsi:type="xsd:double"&gt;79.03&lt;/D&gt;&lt;/FQL&gt;&lt;FQL&gt;&lt;Q&gt;EPC-US^FG_PRICE(12/31/2017)&lt;/Q&gt;&lt;R&gt;1&lt;/R&gt;&lt;C&gt;1&lt;/C&gt;&lt;D xsi:type="xsd:double"&gt;59.39&lt;/D&gt;&lt;/FQL&gt;&lt;FQL&gt;&lt;Q&gt;TLN-US^FG_PRICE(12/30/2015)&lt;/Q&gt;&lt;R&gt;1&lt;/R&gt;&lt;C&gt;1&lt;/C&gt;&lt;D xsi:type="xsd:double"&gt;6.32&lt;/D&gt;&lt;/FQL&gt;&lt;FQL&gt;&lt;Q&gt;TLN-US^FG_PRICE(12/31/2017)&lt;/Q&gt;&lt;R&gt;0&lt;/R&gt;&lt;C&gt;0&lt;/C&gt;&lt;/FQL&gt;&lt;FQL&gt;&lt;Q&gt;XRAY-US^FG_PRICE(12/30/2015)&lt;/Q&gt;&lt;R&gt;1&lt;/R&gt;&lt;C&gt;1&lt;/C&gt;&lt;D xsi:type="xsd:double"&gt;61.41&lt;/D&gt;&lt;/FQL&gt;&lt;FQL&gt;&lt;Q&gt;XRAY-US^FG_PRICE(12/31/2017)&lt;/Q&gt;&lt;R&gt;1&lt;/R&gt;&lt;C&gt;1&lt;/C&gt;&lt;D xsi:type="xsd:double"&gt;65.83&lt;/D&gt;&lt;/FQL&gt;&lt;FQL&gt;&lt;Q&gt;WRK-US^FG_PRICE(12/30/2015)&lt;/Q&gt;&lt;R&gt;1&lt;/R&gt;&lt;C&gt;1&lt;/C&gt;&lt;D xsi:type="xsd:double"&gt;41.276466&lt;/D&gt;&lt;/FQL&gt;&lt;FQL&gt;&lt;Q&gt;WRK-US^FG_PRICE(12/31/2017)&lt;/Q&gt;&lt;R&gt;1&lt;/R&gt;&lt;C&gt;1&lt;/C&gt;&lt;D xsi:type="xsd:double"&gt;63.21&lt;/D&gt;&lt;/FQL&gt;&lt;FQL&gt;&lt;Q&gt;AROC-US^FG_PRICE(12/30/2015)&lt;/Q&gt;&lt;R&gt;1&lt;/R&gt;&lt;C&gt;1&lt;/C&gt;&lt;D xsi:type="xsd:double"&gt;7.21&lt;/D&gt;&lt;/FQL&gt;&lt;FQL&gt;&lt;Q&gt;AROC-US^FG_PRICE(12/31/2017)&lt;/Q&gt;&lt;R&gt;1&lt;/R&gt;&lt;C&gt;1&lt;/C&gt;&lt;D xsi:type="xsd:double"&gt;10.5&lt;/D&gt;&lt;/FQL&gt;&lt;FQL&gt;&lt;Q&gt;KHC-US^FG_PRICE(12/30/2015)&lt;/Q&gt;&lt;R&gt;1&lt;/R&gt;&lt;C&gt;1&lt;/C&gt;&lt;D xsi:type="xsd:double"&gt;73.75&lt;/D&gt;&lt;/FQL&gt;&lt;FQL&gt;&lt;Q&gt;KHC-US^FG_PRICE(12/31/2017)&lt;/Q&gt;&lt;R&gt;1&lt;/R&gt;&lt;C&gt;1&lt;/C&gt;&lt;D xsi:type="xsd:double"&gt;77.76&lt;/D&gt;&lt;/FQL&gt;&lt;FQL&gt;&lt;Q&gt;OPTT-US^FG_PRICE(12/30/2015)&lt;/Q&gt;&lt;R&gt;1&lt;/R&gt;&lt;C&gt;1&lt;/C&gt;&lt;D xsi:type="xsd:double"&gt;2.27&lt;/D&gt;&lt;/FQL&gt;&lt;FQL&gt;&lt;Q&gt;OPTT-US^FG_PRICE(12/31/2017)&lt;/Q&gt;&lt;R&gt;1&lt;/R&gt;&lt;C&gt;1&lt;/C&gt;&lt;D xsi:type="xsd:double"&gt;1.1&lt;/D&gt;&lt;/FQL&gt;&lt;FQL&gt;&lt;Q&gt;VER-US^FG_PRICE(12/30/2015)&lt;/Q&gt;&lt;R&gt;1&lt;/R&gt;&lt;C&gt;1&lt;/C&gt;&lt;D xsi:type="xsd:double"&gt;7.96&lt;/D&gt;&lt;/FQL&gt;&lt;FQL&gt;&lt;Q&gt;VER-US^FG_PRICE(12/31/2017)&lt;/Q&gt;&lt;R&gt;1&lt;/R&gt;&lt;C&gt;1&lt;/C&gt;&lt;D xsi:type="xsd:double"&gt;7.79&lt;/D&gt;&lt;/FQL&gt;&lt;FQL&gt;&lt;Q&gt;GOOGL-US^FG_PRICE(12/30/2015)&lt;/Q&gt;&lt;R&gt;1&lt;/R&gt;&lt;C&gt;1&lt;/C&gt;&lt;D xsi:type="xsd:double"&gt;790.3&lt;/D&gt;&lt;/FQL&gt;&lt;FQL&gt;&lt;Q&gt;GOOGL-US^FG_PRICE(12/31/2017)&lt;/Q&gt;&lt;R&gt;1&lt;/R&gt;&lt;C&gt;1&lt;/C&gt;&lt;D xsi:type="xsd:double"&gt;1053.4&lt;/D&gt;&lt;/FQL&gt;&lt;FQL&gt;&lt;Q&gt;WELL-US^FG_PRICE(12/30/2015)&lt;/Q&gt;&lt;R&gt;1&lt;/R&gt;&lt;C&gt;1&lt;/C&gt;&lt;D xsi:type="xsd:double"&gt;68.32&lt;/D&gt;&lt;/FQL&gt;&lt;FQL&gt;&lt;Q&gt;WELL-US^FG_PRICE(12/31/2017)&lt;/Q&gt;&lt;R&gt;1&lt;/R&gt;&lt;C&gt;1&lt;/C&gt;&lt;D xsi:type="xsd:double"&gt;63.77&lt;/D&gt;&lt;/FQL&gt;&lt;FQL&gt;&lt;Q&gt;PYPL-US^FG_PRICE(12/30/2015)&lt;/Q&gt;&lt;R&gt;1&lt;/R&gt;&lt;C&gt;1&lt;/C&gt;&lt;D xsi:type="xsd:double"&gt;36.48&lt;/D&gt;&lt;/FQL&gt;&lt;FQL&gt;&lt;Q&gt;PYPL-US^FG_PRICE(12/31/2017)&lt;/Q&gt;&lt;R&gt;1&lt;/R&gt;&lt;C&gt;1&lt;/C&gt;&lt;D xsi:type="xsd:double"&gt;73.62&lt;/D&gt;&lt;/FQL&gt;&lt;FQL&gt;&lt;Q&gt;HPQ-US^FG_PRICE(12/30/2015)&lt;/Q&gt;&lt;R&gt;1&lt;/R&gt;&lt;C&gt;1&lt;/C&gt;&lt;D xsi:type="xsd:double"&gt;11.84&lt;/D&gt;&lt;/FQL&gt;&lt;FQL&gt;&lt;Q&gt;HPQ-US^FG_PRICE(12/31/2017)&lt;/Q&gt;&lt;R&gt;1&lt;/R&gt;&lt;C&gt;1&lt;/C&gt;&lt;D xsi:type="xsd:double"&gt;21.01&lt;/D&gt;&lt;/FQL&gt;&lt;FQL&gt;&lt;Q&gt;ACIIQ-US^FG_PRICE(12/30/2015)&lt;/Q&gt;&lt;R&gt;1&lt;/R&gt;&lt;C&gt;1&lt;/C&gt;&lt;D xsi:type="xsd:double"&gt;0.9271&lt;/D&gt;&lt;/FQL&gt;&lt;FQL&gt;&lt;Q&gt;ACIIQ-US^FG_PRICE(12/31/2017)&lt;/Q&gt;&lt;R&gt;0&lt;/R&gt;&lt;C&gt;0&lt;/C&gt;&lt;/FQL&gt;&lt;FQL&gt;&lt;Q&gt;VIAV-US^FG_PRICE(12/30/2015)&lt;/Q&gt;&lt;R&gt;1&lt;/R&gt;&lt;C&gt;1&lt;/C&gt;&lt;D xsi:type="xsd:double"&gt;6.09&lt;/D&gt;&lt;/FQL&gt;&lt;FQL&gt;&lt;Q&gt;VIAV-US^FG_PRICE(12/31/2017)&lt;/Q&gt;&lt;R&gt;1&lt;/R&gt;&lt;C&gt;1&lt;/C&gt;&lt;D xsi:type="xsd:double"&gt;8.74&lt;/D&gt;&lt;/FQL&gt;&lt;FQL&gt;&lt;Q&gt;WEC-US^FG_PRICE(12/30/2015)&lt;/Q&gt;&lt;R&gt;1&lt;/R&gt;&lt;C&gt;1&lt;/C&gt;&lt;D xsi:type="xsd:double"&gt;52.23&lt;/D&gt;&lt;/FQL&gt;&lt;FQL&gt;&lt;Q&gt;WEC-US^FG_PRICE(12/31/2017)&lt;/Q&gt;&lt;R&gt;1&lt;/R&gt;&lt;C&gt;1&lt;/C&gt;&lt;D xsi:type="xsd:double"&gt;66.43&lt;/D&gt;&lt;/FQL&gt;&lt;FQL&gt;&lt;Q&gt;MNST-US^FG_PRICE(12/30/2015)&lt;/Q&gt;&lt;R&gt;1&lt;/R&gt;&lt;C&gt;1&lt;/C&gt;&lt;D xsi:type="xsd:double"&gt;50.08&lt;/D&gt;&lt;/FQL&gt;&lt;FQL&gt;&lt;Q&gt;MNST-US^FG_PRICE(12/31/2017)&lt;/Q&gt;&lt;R&gt;1&lt;/R&gt;&lt;C&gt;1&lt;/C&gt;&lt;D xsi:type="xsd:double"&gt;63.29&lt;/D&gt;&lt;/FQL&gt;&lt;FQL&gt;&lt;Q&gt;TGNA-US^FG_PRICE(12/30/2015)&lt;/Q&gt;&lt;R&gt;1&lt;/R&gt;&lt;C&gt;1&lt;/C&gt;&lt;D xsi:type="xsd:double"&gt;16.465754&lt;/D&gt;&lt;/FQL&gt;&lt;FQL&gt;&lt;Q&gt;TGNA-US^FG_PRICE(12/31/2017)&lt;/Q&gt;&lt;R&gt;1&lt;/R&gt;&lt;C&gt;1&lt;/C&gt;&lt;D xsi:type="xsd:double"&gt;14.08&lt;/D&gt;&lt;/FQL&gt;&lt;FQL&gt;&lt;Q&gt;GCI-US^FG_PRICE(12/30/2015)&lt;/Q&gt;&lt;R&gt;1&lt;/R&gt;&lt;C&gt;1&lt;/C&gt;&lt;D xsi:type="xsd:double"&gt;16.35&lt;/D&gt;&lt;/FQL&gt;&lt;FQL&gt;&lt;Q&gt;GCI-US^FG_PRICE(12/31/2017)&lt;/Q&gt;&lt;R&gt;1&lt;/R&gt;&lt;C&gt;1&lt;/C&gt;&lt;D xsi:type="xsd:double"&gt;11.59&lt;/D&gt;&lt;/FQL&gt;&lt;FQL&gt;&lt;Q&gt;BWXT-US^FG_PRICE(12/30/2015)&lt;/Q&gt;&lt;R&gt;1&lt;/R&gt;&lt;C&gt;1&lt;/C&gt;&lt;D xsi:type="xsd:double"&gt;32.19&lt;/D&gt;&lt;/FQL&gt;&lt;FQL&gt;&lt;Q&gt;BWXT-US^FG_PRICE(12/31/2017)&lt;/Q&gt;&lt;R&gt;1&lt;/R&gt;&lt;C&gt;1&lt;/C&gt;&lt;D xsi:type="xsd:double"&gt;60.49&lt;/D&gt;&lt;/FQL&gt;&lt;FQL&gt;&lt;Q&gt;BTUUQ-US^FG_PRICE(12/30/2015)&lt;/Q&gt;&lt;R&gt;1&lt;/R&gt;&lt;C&gt;1&lt;/C&gt;&lt;D xsi:type="xsd:double"&gt;8.03&lt;/D&gt;&lt;/FQL&gt;&lt;FQL&gt;&lt;Q&gt;BTUUQ-US^FG_PRICE(12/31/2017)&lt;/Q&gt;&lt;R&gt;0&lt;/R&gt;&lt;C&gt;0&lt;/C&gt;&lt;/FQL&gt;&lt;FQL&gt;&lt;Q&gt;SPX^FF_ROE(ANN_R,12/30/2016)&lt;/Q&gt;&lt;R&gt;0&lt;/R&gt;&lt;C&gt;0&lt;/C&gt;&lt;/FQL&gt;&lt;FQL&gt;&lt;Q&gt;BRK.B-US^FF_ROE(ANN_R,12/30/2015)&lt;/Q&gt;&lt;R&gt;1&lt;/R&gt;&lt;C&gt;1&lt;/C&gt;&lt;D xsi:type="xsd:double"&gt;8.60148032723023&lt;/D&gt;&lt;/FQL&gt;&lt;FQL&gt;&lt;Q&gt;AMZN-US^FF_ROE(ANN_R,12/30/2015)&lt;/Q&gt;&lt;R&gt;1&lt;/R&gt;&lt;C&gt;1&lt;/C&gt;&lt;D xsi:type="xsd:double"&gt;-2.352711475569873&lt;/D&gt;&lt;/FQL&gt;&lt;FQL&gt;&lt;Q&gt;ABT-US^FF_ROE(ANN_R,12/30/2015)&lt;/Q&gt;&lt;R&gt;1&lt;/R&gt;&lt;C&gt;1&lt;/C&gt;&lt;D xsi:type="xsd:double"&gt;7.3238109514529848&lt;/D&gt;&lt;/FQL&gt;&lt;FQL&gt;&lt;Q&gt;AES-US^FF_ROE(ANN_R,12/30/2015)&lt;/Q&gt;&lt;R&gt;1&lt;/R&gt;&lt;C&gt;1&lt;/C&gt;&lt;D xsi:type="xsd:double"&gt;18.017812285910029&lt;/D&gt;&lt;/FQL&gt;&lt;FQL&gt;&lt;Q&gt;AAN-US^FF_ROE(ANN_R,12/30/2015)&lt;/Q&gt;&lt;R&gt;1&lt;/R&gt;&lt;C&gt;1&lt;/C&gt;&lt;D xsi:type="xsd:double"&gt;6.6201421291618656&lt;/D&gt;&lt;/FQL&gt;&lt;FQL&gt;&lt;Q&gt;ANF-US^FF_ROE(ANN_R,12/30/2015)&lt;/Q&gt;&lt;R&gt;1&lt;/R&gt;&lt;C&gt;1&lt;/C&gt;&lt;D xsi:type="xsd:double"&gt;3.3227173430059169&lt;/D&gt;&lt;/FQL&gt;&lt;FQL&gt;&lt;Q&gt;IBM-US^FF_ROE(ANN_R,12/30/2015)&lt;/Q&gt;&lt;R&gt;1&lt;/R&gt;&lt;C&gt;1&lt;/C&gt;&lt;D xsi:type="xsd:double"&gt;90.888632429313333&lt;/D&gt;&lt;/FQL&gt;&lt;FQL&gt;&lt;Q&gt;AMD-US^FF_ROE(ANN_R,12/30/2015)&lt;/Q&gt;&lt;R&gt;1&lt;/R&gt;&lt;C&gt;1&lt;/C&gt;&lt;D xsi:type="xsd:double"&gt;-110.25991792065661&lt;/D&gt;&lt;/FQL&gt;&lt;FQL&gt;&lt;Q&gt;ADBE-US^FF_ROE(ANN_R,12/30/2015)&lt;/Q&gt;&lt;R&gt;1&lt;/R&gt;&lt;C&gt;1&lt;/C&gt;&lt;D xsi:type="xsd:double"&gt;9.1388377486892569&lt;/D&gt;&lt;/FQL&gt;&lt;FQL&gt;&lt;Q&gt;ARE-US^FF_ROE(ANN_R,12/30/2015)&lt;/Q&gt;&lt;R&gt;1&lt;/R&gt;&lt;C&gt;1&lt;/C&gt;&lt;D xsi:type="xsd:double"&gt;2.3285305481000691&lt;/D&gt;&lt;/FQL&gt;&lt;FQL&gt;&lt;Q&gt;AGCO-US^FF_ROE(ANN_R,12/30/2015)&lt;/Q&gt;&lt;R&gt;1&lt;/R&gt;&lt;C&gt;1&lt;/C&gt;&lt;D xsi:type="xsd:double"&gt;11.00459865660236&lt;/D&gt;&lt;/FQL&gt;&lt;FQL&gt;&lt;Q&gt;ARG-US^FF_ROE(ANN_R,12/30/2015)&lt;/Q&gt;&lt;R&gt;1&lt;/R&gt;&lt;C&gt;1&lt;/C&gt;&lt;D xsi:type="xsd:double"&gt;18.44009683798674&lt;/D&gt;&lt;/FQL&gt;&lt;FQL&gt;&lt;Q&gt;APD-US^FF_ROE(ANN_R,12/30/2015)&lt;/Q&gt;&lt;R&gt;1&lt;/R&gt;&lt;C&gt;1&lt;/C&gt;&lt;D xsi:type="xsd:double"&gt;17.487752141664622&lt;/D&gt;&lt;/FQL&gt;&lt;FQL&gt;&lt;Q&gt;EGN-US^FF_ROE(ANN_R,12/30/2015)&lt;/Q&gt;&lt;R&gt;1&lt;/R&gt;&lt;C&gt;1&lt;/C&gt;&lt;D xsi:type="xsd:double"&gt;3.17707600153875&lt;/D&gt;&lt;/FQL&gt;&lt;FQL&gt;&lt;Q&gt;Y-US^FF_ROE(ANN_R,12/30/2015)&lt;/Q&gt;&lt;R&gt;1&lt;/R&gt;&lt;C&gt;1&lt;/C&gt;&lt;D xsi:type="xsd:double"&gt;9.43571955212078&lt;/D&gt;&lt;/FQL&gt;&lt;FQL&gt;&lt;Q&gt;DD-US^FF_ROE(ANN_R,12/30/2015)&lt;/Q&gt;&lt;R&gt;1&lt;/R&gt;&lt;C&gt;1&lt;/C&gt;&lt;D xsi:type="xsd:double"&gt;21.21222376391756&lt;/D&gt;&lt;/FQL&gt;&lt;FQL&gt;&lt;Q&gt;BXP-US^FF_ROE(ANN_R,12/30/2015)&lt;/Q&gt;&lt;R&gt;1&lt;/R&gt;&lt;C&gt;1&lt;/C&gt;&lt;D xsi:type="xsd:double"&gt;7.75648730759086&lt;/D&gt;&lt;/FQL&gt;&lt;FQL&gt;&lt;Q&gt;ALL-US^FF_ROE(ANN_R,12/30/2015)&lt;/Q&gt;&lt;R&gt;1&lt;/R&gt;&lt;C&gt;1&lt;/C&gt;&lt;D xsi:type="xsd:double"&gt;13.018454229855649&lt;/D&gt;&lt;/FQL&gt;&lt;FQL&gt;&lt;Q&gt;THG-US^FF_ROE(ANN_R,12/30/2015)&lt;/Q&gt;&lt;R&gt;1&lt;/R&gt;&lt;C&gt;1&lt;/C&gt;&lt;D xsi:type="xsd:double"&gt;10.381539027305321&lt;/D&gt;&lt;/FQL&gt;&lt;FQL&gt;&lt;Q&gt;HON-US^FF_ROE(ANN_R,12/30/2015)&lt;/Q&gt;&lt;R&gt;1&lt;/R&gt;&lt;C&gt;1&lt;/C&gt;&lt;D xsi:type="xsd:double"&gt;24.137341988384009&lt;/D&gt;&lt;/FQL&gt;&lt;FQL&gt;&lt;Q&gt;AA-US^FF_ROE(ANN_R,12/30/2015)&lt;/Q&gt;&lt;R&gt;1&lt;/R&gt;&lt;C&gt;1&lt;/C&gt;&lt;D xsi:type="xsd:double"&gt;2.3407135682780909&lt;/D&gt;&lt;/FQL&gt;&lt;FQL&gt;&lt;Q&gt;AMGN-US^FF_ROE(ANN_R,12/30/2015)&lt;/Q&gt;&lt;R&gt;1&lt;/R&gt;&lt;C&gt;1&lt;/C&gt;&lt;D xsi:type="xsd:double"&gt;21.548230772444331&lt;/D&gt;&lt;/FQL&gt;&lt;FQL&gt;&lt;Q&gt;HES-US^FF_ROE(ANN_R,12/30/2015)&lt;/Q&gt;&lt;R&gt;1&lt;/R&gt;&lt;C&gt;1&lt;/C&gt;&lt;D xsi:type="xsd:double"&gt;7.2115077250932336&lt;/D&gt;&lt;/FQL&gt;&lt;FQL&gt;&lt;Q&gt;IEP-US^FF_ROE(ANN_R,12/30/2015)&lt;/Q&gt;&lt;R&gt;1&lt;/R&gt;&lt;C&gt;1&lt;/C&gt;&lt;D xsi:type="xsd:double"&gt;-6.2223733424005436&lt;/D&gt;&lt;/FQL&gt;&lt;FQL&gt;&lt;Q&gt;AXP-US^FF_ROE(ANN_R,12/30/2015)&lt;/Q&gt;&lt;R&gt;1&lt;/R&gt;&lt;C&gt;1&lt;/C&gt;&lt;D xsi:type="xsd:double"&gt;29.07217008140606&lt;/D&gt;&lt;/FQL&gt;&lt;FQL&gt;&lt;Q&gt;AEP-US^FF_ROE(ANN_R,12/30/2015)&lt;/Q&gt;&lt;R&gt;1&lt;/R&gt;&lt;C&gt;1&lt;/C&gt;&lt;D xsi:type="xsd:double"&gt;9.9316213341437471&lt;/D&gt;&lt;/FQL&gt;&lt;FQL&gt;&lt;Q&gt;AFL-US^FF_ROE(ANN_R,12/30/2015)&lt;/Q&gt;&lt;R&gt;1&lt;/R&gt;&lt;C&gt;1&lt;/C&gt;&lt;D xsi:type="xsd:double"&gt;17.902751236084569&lt;/D&gt;&lt;/FQL&gt;&lt;FQL&gt;&lt;Q&gt;AIG-US^FF_ROE(ANN_R,12/30/2015)&lt;/Q&gt;&lt;R&gt;1&lt;/R&gt;&lt;C&gt;1&lt;/C&gt;&lt;D xsi:type="xsd:double"&gt;7.3097102735233994&lt;/D&gt;&lt;/FQL&gt;&lt;FQL&gt;&lt;Q&gt;JAH-US^FF_ROE(ANN_R,12/30/2015)&lt;/Q&gt;&lt;R&gt;1&lt;/R&gt;&lt;C&gt;1&lt;/C&gt;&lt;D xsi:type="xsd:double"&gt;9.40104671447955&lt;/D&gt;&lt;/FQL&gt;&lt;FQL&gt;&lt;Q&gt;ANAT-US^FF_ROE(ANN_R,12/30/2015)&lt;/Q&gt;&lt;R&gt;1&lt;/R&gt;&lt;C&gt;1&lt;/C&gt;&lt;D xsi:type="xsd:double"&gt;5.7335378786051354&lt;/D&gt;&lt;/FQL&gt;&lt;FQL&gt;&lt;Q&gt;ADI-US^FF_ROE(ANN_R,12/30/2015)&lt;/Q&gt;&lt;R&gt;1&lt;/R&gt;&lt;C&gt;1&lt;/C&gt;&lt;D xsi:type="xsd:double"&gt;14.177361564445659&lt;/D&gt;&lt;/FQL&gt;&lt;FQL&gt;&lt;Q&gt;APC-US^FF_ROE(ANN_R,12/30/2015)&lt;/Q&gt;&lt;R&gt;1&lt;/R&gt;&lt;C&gt;1&lt;/C&gt;&lt;D xsi:type="xsd:double"&gt;-8.4363426482612667&lt;/D&gt;&lt;/FQL&gt;&lt;FQL&gt;&lt;Q&gt;ALXN-US^FF_ROE(ANN_R,12/30/2015)&lt;/Q&gt;&lt;R&gt;1&lt;/R&gt;&lt;C&gt;1&lt;/C&gt;&lt;D xsi:type="xsd:double"&gt;23.114032008954108&lt;/D&gt;&lt;/FQL&gt;&lt;FQL&gt;&lt;Q&gt;HLX-US^FF_ROE(ANN_R,12/30/2015)&lt;/Q&gt;&lt;R&gt;1&lt;/R&gt;&lt;C&gt;1&lt;/C&gt;&lt;D xsi:type="xsd:double"&gt;12.309434500915931&lt;/D&gt;&lt;/FQL&gt;&lt;FQL&gt;&lt;Q&gt;JLL-US^FF_ROE(ANN_R,12/30/2015)&lt;/Q&gt;&lt;R&gt;1&lt;/R&gt;&lt;C&gt;1&lt;/C&gt;&lt;D xsi:type="xsd:double"&gt;16.89485917556377&lt;/D&gt;&lt;/FQL&gt;&lt;FQL&gt;&lt;Q&gt;VLO-US^FF_ROE(ANN_R,12/30/2015)&lt;/Q&gt;&lt;R&gt;1&lt;/R&gt;&lt;C&gt;1&lt;/C&gt;&lt;D xsi:type="xsd:double"&gt;18.40695617510028&lt;/D&gt;&lt;/FQL&gt;&lt;FQL&gt;&lt;Q&gt;APOL-US^FF_ROE(ANN_R,12/30/2015)&lt;/Q&gt;&lt;R&gt;1&lt;/R&gt;&lt;C&gt;1&lt;/C&gt;&lt;D xsi:type="xsd:double"&gt;4.55459752809414&lt;/D&gt;&lt;/FQL&gt;&lt;FQL&gt;&lt;Q&gt;APA-US^FF_ROE(ANN_R,12/30/2015)&lt;/Q&gt;&lt;R&gt;1&lt;/R&gt;&lt;C&gt;1&lt;/C&gt;&lt;D xsi:type="xsd:double"&gt;-12.8596228068697&lt;/D&gt;&lt;/FQL&gt;&lt;FQL&gt;&lt;Q&gt;CMCSA-US^FF_ROE(ANN_R,12/30/2015)&lt;/Q&gt;&lt;R&gt;1&lt;/R&gt;&lt;C&gt;1&lt;/C&gt;&lt;D xsi:type="xsd:double"&gt;16.208113727576041&lt;/D&gt;&lt;/FQL&gt;&lt;FQL&gt;&lt;Q&gt;ATR-US^FF_ROE(ANN_R,12/30/2015)&lt;/Q&gt;&lt;R&gt;1&lt;/R&gt;&lt;C&gt;1&lt;/C&gt;&lt;D xsi:type="xsd:double"&gt;14.839011382939679&lt;/D&gt;&lt;/FQL&gt;&lt;FQL&gt;&lt;Q&gt;ANSS-US^FF_ROE(ANN_R,12/30/2015)&lt;/Q&gt;&lt;R&gt;1&lt;/R&gt;&lt;C&gt;1&lt;/C&gt;&lt;D xsi:type="xsd:double"&gt;11.6998070857126&lt;/D&gt;&lt;/FQL&gt;&lt;FQL&gt;&lt;Q&gt;APOG-US^FF_ROE(ANN_R,12/30/2015)&lt;/Q&gt;&lt;R&gt;1&lt;/R&gt;&lt;C&gt;1&lt;/C&gt;&lt;D xsi:type="xsd:double"&gt;13.74386823124828&lt;/D&gt;&lt;/FQL&gt;&lt;FQL&gt;&lt;Q&gt;AAPL-US^FF_ROE(ANN_R,12/30/2015)&lt;/Q&gt;&lt;R&gt;1&lt;/R&gt;&lt;C&gt;1&lt;/C&gt;&lt;D xsi:type="xsd:double"&gt;46.248191873608718&lt;/D&gt;&lt;/FQL&gt;&lt;FQL&gt;&lt;Q&gt;AMAT-US^FF_ROE(ANN_R,12/30/2015)&lt;/Q&gt;&lt;R&gt;1&lt;/R&gt;&lt;C&gt;1&lt;/C&gt;&lt;D xsi:type="xsd:double"&gt;17.789548478780439&lt;/D&gt;&lt;/FQL&gt;&lt;FQL&gt;&lt;Q&gt;ALB-US^FF_ROE(ANN_R,12/30/2015)&lt;/Q&gt;&lt;R&gt;1&lt;/R&gt;&lt;C&gt;1&lt;/C&gt;&lt;D xsi:type="xsd:double"&gt;13.58277984723583&lt;/D&gt;&lt;/FQL&gt;&lt;FQL&gt;&lt;Q&gt;ADM-US^FF_ROE(ANN_R,12/30/2015)&lt;/Q&gt;&lt;R&gt;1&lt;/R&gt;&lt;C&gt;1&lt;/C&gt;&lt;D xsi:type="xsd:double"&gt;11.31610077773024&lt;/D&gt;&lt;/FQL&gt;&lt;FQL&gt;&lt;Q&gt;AEO-US^FF_ROE(ANN_R,12/30/2015)&lt;/Q&gt;&lt;R&gt;1&lt;/R&gt;&lt;C&gt;1&lt;/C&gt;&lt;D xsi:type="xsd:double"&gt;7.700774179894915&lt;/D&gt;&lt;/FQL&gt;&lt;FQL&gt;&lt;Q&gt;PNW-US^FF_ROE(ANN_R,12/30/2015)&lt;/Q&gt;&lt;R&gt;1&lt;/R&gt;&lt;C&gt;1&lt;/C&gt;&lt;D xsi:type="xsd:double"&gt;9.2874729778673437&lt;/D&gt;&lt;/FQL&gt;&lt;FQL&gt;&lt;Q&gt;AEE-US^FF_ROE(ANN_R,12/30/2015)&lt;/Q&gt;&lt;R&gt;1&lt;/R&gt;&lt;C&gt;1&lt;/C&gt;&lt;D xsi:type="xsd:double"&gt;8.8556988760654747&lt;/D&gt;&lt;/FQL&gt;&lt;FQL&gt;&lt;Q&gt;ARW-US^FF_ROE(ANN_R,12/30/2015)&lt;/Q&gt;&lt;R&gt;1&lt;/R&gt;&lt;C&gt;1&lt;/C&gt;&lt;D xsi:type="xsd:double"&gt;11.95183414080916&lt;/D&gt;&lt;/FQL&gt;&lt;FQL&gt;&lt;Q&gt;ADTN-US^FF_ROE(ANN_R,12/30/2015)&lt;/Q&gt;&lt;R&gt;1&lt;/R&gt;&lt;C&gt;1&lt;/C&gt;&lt;D xsi:type="xsd:double"&gt;7.7356562261890609&lt;/D&gt;&lt;/FQL&gt;&lt;FQL&gt;&lt;Q&gt;AVX-US^FF_ROE(ANN_R,12/30/2015)&lt;/Q&gt;&lt;R&gt;1&lt;/R&gt;&lt;C&gt;1&lt;/C&gt;&lt;D xsi:type="xsd:double"&gt;10.808135039122909&lt;/D&gt;&lt;/FQL&gt;&lt;FQL&gt;&lt;Q&gt;ASB-US^FF_ROE(ANN_R,12/30/2015)&lt;/Q&gt;&lt;R&gt;1&lt;/R&gt;&lt;C&gt;1&lt;/C&gt;&lt;D xsi:type="xsd:double"&gt;6.6333880402513126&lt;/D&gt;&lt;/FQL&gt;&lt;FQL&gt;&lt;Q&gt;AIV-US^FF_ROE(ANN_R,12/30/2015)&lt;/Q&gt;&lt;R&gt;1&lt;/R&gt;&lt;C&gt;1&lt;/C&gt;&lt;D xsi:type="xsd:double"&gt;1.779434327384575&lt;/D&gt;&lt;/FQL&gt;&lt;FQL&gt;&lt;Q&gt;GAS-US^FF_ROE(ANN_R,12/30/2015)&lt;/Q&gt;&lt;R&gt;1&lt;/R&gt;&lt;C&gt;1&lt;/C&gt;&lt;D xsi:type="xsd:double"&gt;15.28835690968444&lt;/D&gt;&lt;/FQL&gt;&lt;FQL&gt;&lt;Q&gt;ATML-US^FF_ROE(ANN_R,12/30/2015)&lt;/Q&gt;&lt;R&gt;1&lt;/R&gt;&lt;C&gt;1&lt;/C&gt;&lt;D xsi:type="xsd:double"&gt;3.5674849701896991&lt;/D&gt;&lt;/FQL&gt;&lt;FQL&gt;&lt;Q&gt;ATW-US^FF_ROE(ANN_R,12/30/2015)&lt;/Q&gt;&lt;R&gt;1&lt;/R&gt;&lt;C&gt;1&lt;/C&gt;&lt;D xsi:type="xsd:double"&gt;15.72222624045604&lt;/D&gt;&lt;/FQL&gt;&lt;FQL&gt;&lt;Q&gt;PNRA-US^FF_ROE(ANN_R,12/30/2015)&lt;/Q&gt;&lt;R&gt;1&lt;/R&gt;&lt;C&gt;1&lt;/C&gt;&lt;D xsi:type="xsd:double"&gt;24.969848392424911&lt;/D&gt;&lt;/FQL&gt;&lt;FQL&gt;&lt;Q&gt;ADSK-US^FF_ROE(ANN_R,12/30/2015)&lt;/Q&gt;&lt;R&gt;1&lt;/R&gt;&lt;C&gt;1&lt;/C&gt;&lt;D xsi:type="xsd:double"&gt;3.6512152119088541&lt;/D&gt;&lt;/FQL&gt;&lt;FQL&gt;&lt;Q&gt;ADP-US^FF_ROE(ANN_R,12/30/2015)&lt;/Q&gt;&lt;R&gt;1&lt;/R&gt;&lt;C&gt;1&lt;/C&gt;&lt;D xsi:type="xsd:double"&gt;23.983552144406591&lt;/D&gt;&lt;/FQL&gt;&lt;FQL&gt;&lt;Q&gt;AZO-US^FF_ROE(ANN_R,12/30/2015)&lt;/Q&gt;&lt;R&gt;0&lt;/R&gt;&lt;C&gt;0&lt;/C&gt;&lt;/FQL&gt;&lt;FQL&gt;&lt;Q&gt;AVY-US^FF_ROE(ANN_R,12/30/2015)&lt;/Q&gt;&lt;R&gt;1&lt;/R&gt;&lt;C&gt;1&lt;/C&gt;&lt;D xsi:type="xsd:double"&gt;19.62715441435104&lt;/D&gt;&lt;/FQL&gt;&lt;FQL&gt;&lt;Q&gt;AVT-US^FF_ROE(ANN_R,12/30/2015)&lt;/Q&gt;&lt;R&gt;1&lt;/R&gt;&lt;C&gt;1&lt;/C&gt;&lt;D xsi:type="xsd:double"&gt;11.94569646171877&lt;/D&gt;&lt;/FQL&gt;&lt;FQL&gt;&lt;Q&gt;ARIA-US^FF_ROE(ANN_R,12/30/2015)&lt;/Q&gt;&lt;R&gt;1&lt;/R&gt;&lt;C&gt;1&lt;/C&gt;&lt;D xsi:type="xsd:double"&gt;-122.1111603421474&lt;/D&gt;&lt;/FQL&gt;&lt;FQL&gt;&lt;Q&gt;AVP-US^FF_ROE(ANN_R,12/30/2015)&lt;/Q&gt;&lt;R&gt;1&lt;/R&gt;&lt;C&gt;1&lt;/C&gt;&lt;D xsi:type="xsd:double"&gt;-237.40510697032431&lt;/D&gt;&lt;/FQL&gt;&lt;FQL&gt;&lt;Q&gt;AKS-US^FF_ROE(ANN_R,12/30/2015)&lt;/Q&gt;&lt;R&gt;0&lt;/R&gt;&lt;C&gt;0&lt;/C&gt;&lt;/FQL&gt;&lt;FQL&gt;&lt;Q&gt;BHGE-US^FF_ROE(ANN_R,12/30/2015)&lt;/Q&gt;&lt;R&gt;1&lt;/R&gt;&lt;C&gt;1&lt;/C&gt;&lt;D xsi:type="xsd:double"&gt;9.4611701249380822&lt;/D&gt;&lt;/FQL&gt;&lt;FQL&gt;&lt;Q&gt;BLL-US^FF_ROE(ANN_R,12/30/2015)&lt;/Q&gt;&lt;R&gt;1&lt;/R&gt;&lt;C&gt;1&lt;/C&gt;&lt;D xsi:type="xsd:double"&gt;42.095835199283478&lt;/D&gt;&lt;/FQL&gt;&lt;FQL&gt;&lt;Q&gt;BOH-US^FF_ROE(ANN_R,12/30/2015)&lt;/Q&gt;&lt;R&gt;1&lt;/R&gt;&lt;C&gt;1&lt;/C&gt;&lt;D xsi:type="xsd:double"&gt;15.775240413688611&lt;/D&gt;&lt;/FQL&gt;&lt;FQL&gt;&lt;Q&gt;BXS-US^FF_ROE(ANN_R,12/30/2015)&lt;/Q&gt;&lt;R&gt;1&lt;/R&gt;&lt;C&gt;1&lt;/C&gt;&lt;D xsi:type="xsd:double"&gt;7.4859202183644529&lt;/D&gt;&lt;/FQL&gt;&lt;FQL&gt;&lt;Q&gt;BCR-US^FF_ROE(ANN_R,12/30/2015)&lt;/Q&gt;&lt;R&gt;1&lt;/R&gt;&lt;C&gt;1&lt;/C&gt;&lt;D xsi:type="xsd:double"&gt;14.882741260178261&lt;/D&gt;&lt;/FQL&gt;&lt;FQL&gt;&lt;Q&gt;BKS-US^FF_ROE(ANN_R,12/30/2015)&lt;/Q&gt;&lt;R&gt;1&lt;/R&gt;&lt;C&gt;1&lt;/C&gt;&lt;D xsi:type="xsd:double"&gt;2.734767515779045&lt;/D&gt;&lt;/FQL&gt;&lt;FQL&gt;&lt;Q&gt;BAX-US^FF_ROE(ANN_R,12/30/2015)&lt;/Q&gt;&lt;R&gt;1&lt;/R&gt;&lt;C&gt;1&lt;/C&gt;&lt;D xsi:type="xsd:double"&gt;5.5116685762527888&lt;/D&gt;&lt;/FQL&gt;&lt;FQL&gt;&lt;Q&gt;BBBY-US^FF_ROE(ANN_R,12/30/2015)&lt;/Q&gt;&lt;R&gt;1&lt;/R&gt;&lt;C&gt;1&lt;/C&gt;&lt;D xsi:type="xsd:double"&gt;28.64768627373541&lt;/D&gt;&lt;/FQL&gt;&lt;FQL&gt;&lt;Q&gt;BDX-US^FF_ROE(ANN_R,12/30/2015)&lt;/Q&gt;&lt;R&gt;1&lt;/R&gt;&lt;C&gt;1&lt;/C&gt;&lt;D xsi:type="xsd:double"&gt;11.37758860604076&lt;/D&gt;&lt;/FQL&gt;&lt;FQL&gt;&lt;Q&gt;AME-US^FF_ROE(ANN_R,12/30/2015)&lt;/Q&gt;&lt;R&gt;1&lt;/R&gt;&lt;C&gt;1&lt;/C&gt;&lt;D xsi:type="xsd:double"&gt;18.334038617358889&lt;/D&gt;&lt;/FQL&gt;&lt;FQL&gt;&lt;Q&gt;BEAV-US^FF_ROE(ANN_R,12/30/2015)&lt;/Q&gt;&lt;R&gt;1&lt;/R&gt;&lt;C&gt;1&lt;/C&gt;&lt;D xsi:type="xsd:double"&gt;4.4057572633909823&lt;/D&gt;&lt;/FQL&gt;&lt;FQL&gt;&lt;Q&gt;BMS-US^FF_ROE(ANN_R,12/30/2015)&lt;/Q&gt;&lt;R&gt;1&lt;/R&gt;&lt;C&gt;1&lt;/C&gt;&lt;D xsi:type="xsd:double"&gt;15.337738148694591&lt;/D&gt;&lt;/FQL&gt;&lt;FQL&gt;&lt;Q&gt;VZ-US^FF_ROE(ANN_R,12/30/2015)&lt;/Q&gt;&lt;R&gt;1&lt;/R&gt;&lt;C&gt;1&lt;/C&gt;&lt;D xsi:type="xsd:double"&gt;37.646184534751832&lt;/D&gt;&lt;/FQL&gt;&lt;FQL&gt;&lt;Q&gt;WRB-US^FF_ROE(ANN_R,12/30/2015)&lt;/Q&gt;&lt;R&gt;1&lt;/R&gt;&lt;C&gt;1&lt;/C&gt;&lt;D xsi:type="xsd:double"&gt;14.53922146363761&lt;/D&gt;&lt;/FQL&gt;&lt;FQL&gt;&lt;Q&gt;BRK.A-US^FF_ROE(ANN_R,12/30/2015)&lt;/Q&gt;&lt;R&gt;1&lt;/R&gt;&lt;C&gt;1&lt;/C&gt;&lt;D xsi:type="xsd:double"&gt;8.60148032723023&lt;/D&gt;&lt;/FQL&gt;&lt;FQL&gt;&lt;Q&gt;BBY-US^FF_ROE(ANN_R,12/30/2015)&lt;/Q&gt;&lt;R&gt;1&lt;/R&gt;&lt;C&gt;1&lt;/C&gt;&lt;D xsi:type="xsd:double"&gt;27.74746687451286&lt;/D&gt;&lt;/FQL&gt;&lt;FQL&gt;&lt;Q&gt;SLG-US^FF_ROE(ANN_R,12/30/2015)&lt;/Q&gt;&lt;R&gt;1&lt;/R&gt;&lt;C&gt;1&lt;/C&gt;&lt;D xsi:type="xsd:double"&gt;4.9865409685496553&lt;/D&gt;&lt;/FQL&gt;&lt;FQL&gt;&lt;Q&gt;BIO-US^FF_ROE(ANN_R,12/30/2015)&lt;/Q&gt;&lt;R&gt;1&lt;/R&gt;&lt;C&gt;1&lt;/C&gt;&lt;D xsi:type="xsd:double"&gt;4.0643869898444072&lt;/D&gt;&lt;/FQL&gt;&lt;FQL&gt;&lt;Q&gt;YUM-US^FF_ROE(ANN_R,12/30/2015)&lt;/Q&gt;&lt;R&gt;1&lt;/R&gt;&lt;C&gt;1&lt;/C&gt;&lt;D xsi:type="xsd:double"&gt;56.611904120657151&lt;/D&gt;&lt;/FQL&gt;&lt;FQL&gt;&lt;Q&gt;FE-US^FF_ROE(ANN_R,12/30/2015)&lt;/Q&gt;&lt;R&gt;1&lt;/R&gt;&lt;C&gt;1&lt;/C&gt;&lt;D xsi:type="xsd:double"&gt;1.6964001274291181&lt;/D&gt;&lt;/FQL&gt;&lt;FQL&gt;&lt;Q&gt;SLM-US^FF_ROE(ANN_R,12/30/2015)&lt;/Q&gt;&lt;R&gt;1&lt;/R&gt;&lt;C&gt;1&lt;/C&gt;&lt;D xsi:type="xsd:double"&gt;5.2020916683875811&lt;/D&gt;&lt;/FQL&gt;&lt;FQL&gt;&lt;Q&gt;ACAS-US^FF_ROE(ANN_R,12/30/2015)&lt;/Q&gt;&lt;R&gt;1&lt;/R&gt;&lt;C&gt;1&lt;/C&gt;&lt;D xsi:type="xsd:double"&gt;8.1902245706737133&lt;/D&gt;&lt;/FQL&gt;&lt;FQL&gt;&lt;Q&gt;HRB-US^FF_ROE(ANN_R,12/30/2015)&lt;/Q&gt;&lt;R&gt;1&lt;/R&gt;&lt;C&gt;1&lt;/C&gt;&lt;D xsi:type="xsd:double"&gt;28.675042734941869&lt;/D&gt;&lt;/FQL&gt;&lt;FQL&gt;&lt;Q&gt;CHH-US^FF_ROE(ANN_R,12/30/2015)&lt;/Q&gt;&lt;R&gt;0&lt;/R&gt;&lt;C&gt;0&lt;/C&gt;&lt;/FQL&gt;&lt;FQL&gt;&lt;Q&gt;BA-US^FF_ROE(ANN_R,12/30/2015)&lt;/Q&gt;&lt;R&gt;1&lt;/R&gt;&lt;C&gt;1&lt;/C&gt;&lt;D xsi:type="xsd:double"&gt;46.219201359388272&lt;/D&gt;&lt;/FQL&gt;&lt;FQL&gt;&lt;Q&gt;BOKF-US^FF_ROE(ANN_R,12/30/2015)&lt;/Q&gt;&lt;R&gt;1&lt;/R&gt;&lt;C&gt;1&lt;/C&gt;&lt;D xsi:type="xsd:double"&gt;9.1485469995704047&lt;/D&gt;&lt;/FQL&gt;&lt;FQL&gt;&lt;Q&gt;RHI-US^FF_ROE(ANN_R,12/30/2015)&lt;/Q&gt;&lt;R&gt;1&lt;/R&gt;&lt;C&gt;1&lt;/C&gt;&lt;D xsi:type="xsd:double"&gt;32.211407101128138&lt;/D&gt;&lt;/FQL&gt;&lt;FQL&gt;&lt;Q&gt;BWA-US^FF_ROE(ANN_R,12/30/2015)&lt;/Q&gt;&lt;R&gt;1&lt;/R&gt;&lt;C&gt;1&lt;/C&gt;&lt;D xsi:type="xsd:double"&gt;18.275554564708511&lt;/D&gt;&lt;/FQL&gt;&lt;FQL&gt;&lt;Q&gt;BSX-US^FF_ROE(ANN_R,12/30/2015)&lt;/Q&gt;&lt;R&gt;1&lt;/R&gt;&lt;C&gt;1&lt;/C&gt;&lt;D xsi:type="xsd:double"&gt;-1.83133271775931&lt;/D&gt;&lt;/FQL&gt;&lt;FQL&gt;&lt;Q&gt;NLY-US^FF_ROE(ANN_R,12/30/2015)&lt;/Q&gt;&lt;R&gt;1&lt;/R&gt;&lt;C&gt;1&lt;/C&gt;&lt;D xsi:type="xsd:double"&gt;-6.5446324420272273&lt;/D&gt;&lt;/FQL&gt;&lt;FQL&gt;&lt;Q&gt;CHRW-US^FF_ROE(ANN_R,12/30/2015)&lt;/Q&gt;&lt;R&gt;1&lt;/R&gt;&lt;C&gt;1&lt;/C&gt;&lt;D xsi:type="xsd:double"&gt;45.271271163449249&lt;/D&gt;&lt;/FQL&gt;&lt;FQL&gt;&lt;Q&gt;DRQ-US^FF_ROE(ANN_R,12/30/2015)&lt;/Q&gt;&lt;R&gt;1&lt;/R&gt;&lt;C&gt;1&lt;/C&gt;&lt;D xsi:type="xsd:double"&gt;16.78282091178469&lt;/D&gt;&lt;/FQL&gt;&lt;FQL&gt;&lt;Q&gt;BYD-US^FF_ROE(ANN_R,12/30/2015)&lt;/Q&gt;&lt;R&gt;1&lt;/R&gt;&lt;C&gt;1&lt;/C&gt;&lt;D xsi:type="xsd:double"&gt;-11.682730852929&lt;/D&gt;&lt;/FQL&gt;&lt;FQL&gt;&lt;Q&gt;MTD-US^FF_ROE(ANN_R,12/30/2015)&lt;/Q&gt;&lt;R&gt;1&lt;/R&gt;&lt;C&gt;1&lt;/C&gt;&lt;D xsi:type="xsd:double"&gt;40.883765540323708&lt;/D&gt;&lt;/FQL&gt;&lt;FQL&gt;&lt;Q&gt;BMY-US^FF_ROE(ANN_R,12/30/2015)&lt;/Q&gt;&lt;R&gt;1&lt;/R&gt;&lt;C&gt;1&lt;/C&gt;&lt;D xsi:type="xsd:double"&gt;13.35732853429314&lt;/D&gt;&lt;/FQL&gt;&lt;FQ</t>
        </r>
      </text>
    </comment>
    <comment ref="A7" authorId="0" shapeId="0">
      <text>
        <r>
          <rPr>
            <b/>
            <sz val="9"/>
            <color indexed="81"/>
            <rFont val="Tahoma"/>
            <charset val="1"/>
          </rPr>
          <t>L&gt;&lt;Q&gt;AMG-US^FF_ROE(ANN_R,12/30/2015)&lt;/Q&gt;&lt;R&gt;1&lt;/R&gt;&lt;C&gt;1&lt;/C&gt;&lt;D xsi:type="xsd:double"&gt;18.9910106695791&lt;/D&gt;&lt;/FQL&gt;&lt;FQL&gt;&lt;Q&gt;OKE-US^FF_ROE(ANN_R,12/30/2015)&lt;/Q&gt;&lt;R&gt;1&lt;/R&gt;&lt;C&gt;1&lt;/C&gt;&lt;D xsi:type="xsd:double"&gt;21.823734473369321&lt;/D&gt;&lt;/FQL&gt;&lt;FQL&gt;&lt;Q&gt;AVB-US^FF_ROE(ANN_R,12/30/2015)&lt;/Q&gt;&lt;R&gt;1&lt;/R&gt;&lt;C&gt;1&lt;/C&gt;&lt;D xsi:type="xsd:double"&gt;7.2990069398749178&lt;/D&gt;&lt;/FQL&gt;&lt;FQL&gt;&lt;Q&gt;AFG-US^FF_ROE(ANN_R,12/30/2015)&lt;/Q&gt;&lt;R&gt;1&lt;/R&gt;&lt;C&gt;1&lt;/C&gt;&lt;D xsi:type="xsd:double"&gt;9.5378771892804384&lt;/D&gt;&lt;/FQL&gt;&lt;FQL&gt;&lt;Q&gt;URI-US^FF_ROE(ANN_R,12/30/2015)&lt;/Q&gt;&lt;R&gt;1&lt;/R&gt;&lt;C&gt;1&lt;/C&gt;&lt;D xsi:type="xsd:double"&gt;29.62150301700494&lt;/D&gt;&lt;/FQL&gt;&lt;FQL&gt;&lt;Q&gt;SRE-US^FF_ROE(ANN_R,12/30/2015)&lt;/Q&gt;&lt;R&gt;1&lt;/R&gt;&lt;C&gt;1&lt;/C&gt;&lt;D xsi:type="xsd:double"&gt;10.387056404755519&lt;/D&gt;&lt;/FQL&gt;&lt;FQL&gt;&lt;Q&gt;FDX-US^FF_ROE(ANN_R,12/30/2015)&lt;/Q&gt;&lt;R&gt;1&lt;/R&gt;&lt;C&gt;1&lt;/C&gt;&lt;D xsi:type="xsd:double"&gt;6.92434753881731&lt;/D&gt;&lt;/FQL&gt;&lt;FQL&gt;&lt;Q&gt;VRSN-US^FF_ROE(ANN_R,12/30/2015)&lt;/Q&gt;&lt;R&gt;0&lt;/R&gt;&lt;C&gt;0&lt;/C&gt;&lt;/FQL&gt;&lt;FQL&gt;&lt;Q&gt;CECO-US^FF_ROE(ANN_R,12/30/2015)&lt;/Q&gt;&lt;R&gt;1&lt;/R&gt;&lt;C&gt;1&lt;/C&gt;&lt;D xsi:type="xsd:double"&gt;-20.680385777080961&lt;/D&gt;&lt;/FQL&gt;&lt;FQL&gt;&lt;Q&gt;APH-US^FF_ROE(ANN_R,12/30/2015)&lt;/Q&gt;&lt;R&gt;1&lt;/R&gt;&lt;C&gt;1&lt;/C&gt;&lt;D xsi:type="xsd:double"&gt;24.592030149946879&lt;/D&gt;&lt;/FQL&gt;&lt;FQL&gt;&lt;Q&gt;BF.B-US^FF_ROE(ANN_R,12/30/2015)&lt;/Q&gt;&lt;R&gt;1&lt;/R&gt;&lt;C&gt;1&lt;/C&gt;&lt;D xsi:type="xsd:double"&gt;34.74726949453899&lt;/D&gt;&lt;/FQL&gt;&lt;FQL&gt;&lt;Q&gt;PWR-US^FF_ROE(ANN_R,12/30/2015)&lt;/Q&gt;&lt;R&gt;1&lt;/R&gt;&lt;C&gt;1&lt;/C&gt;&lt;D xsi:type="xsd:double"&gt;6.7974059116017864&lt;/D&gt;&lt;/FQL&gt;&lt;FQL&gt;&lt;Q&gt;MTZ-US^FF_ROE(ANN_R,12/30/2015)&lt;/Q&gt;&lt;R&gt;1&lt;/R&gt;&lt;C&gt;1&lt;/C&gt;&lt;D xsi:type="xsd:double"&gt;11.33233013080218&lt;/D&gt;&lt;/FQL&gt;&lt;FQL&gt;&lt;Q&gt;WDR-US^FF_ROE(ANN_R,12/30/2015)&lt;/Q&gt;&lt;R&gt;1&lt;/R&gt;&lt;C&gt;1&lt;/C&gt;&lt;D xsi:type="xsd:double"&gt;42.530944886271868&lt;/D&gt;&lt;/FQL&gt;&lt;FQL&gt;&lt;Q&gt;CSX-US^FF_ROE(ANN_R,12/30/2015)&lt;/Q&gt;&lt;R&gt;1&lt;/R&gt;&lt;C&gt;1&lt;/C&gt;&lt;D xsi:type="xsd:double"&gt;17.80448347584932&lt;/D&gt;&lt;/FQL&gt;&lt;FQL&gt;&lt;Q&gt;CVC-US^FF_ROE(ANN_R,12/30/2015)&lt;/Q&gt;&lt;R&gt;0&lt;/R&gt;&lt;C&gt;0&lt;/C&gt;&lt;/FQL&gt;&lt;FQL&gt;&lt;Q&gt;COG-US^FF_ROE(ANN_R,12/30/2015)&lt;/Q&gt;&lt;R&gt;1&lt;/R&gt;&lt;C&gt;1&lt;/C&gt;&lt;D xsi:type="xsd:double"&gt;4.8060708457020223&lt;/D&gt;&lt;/FQL&gt;&lt;FQL&gt;&lt;Q&gt;CBT-US^FF_ROE(ANN_R,12/30/2015)&lt;/Q&gt;&lt;R&gt;1&lt;/R&gt;&lt;C&gt;1&lt;/C&gt;&lt;D xsi:type="xsd:double"&gt;-20.804953560371519&lt;/D&gt;&lt;/FQL&gt;&lt;FQL&gt;&lt;Q&gt;CPB-US^FF_ROE(ANN_R,12/30/2015)&lt;/Q&gt;&lt;R&gt;1&lt;/R&gt;&lt;C&gt;1&lt;/C&gt;&lt;D xsi:type="xsd:double"&gt;46.143572621035062&lt;/D&gt;&lt;/FQL&gt;&lt;FQL&gt;&lt;Q&gt;CCC-US^FF_ROE(ANN_R,12/30/2015)&lt;/Q&gt;&lt;R&gt;1&lt;/R&gt;&lt;C&gt;1&lt;/C&gt;&lt;D xsi:type="xsd:double"&gt;12.01248695220553&lt;/D&gt;&lt;/FQL&gt;&lt;FQL&gt;&lt;Q&gt;CPT-US^FF_ROE(ANN_R,12/30/2015)&lt;/Q&gt;&lt;R&gt;1&lt;/R&gt;&lt;C&gt;1&lt;/C&gt;&lt;D xsi:type="xsd:double"&gt;10.51006893235652&lt;/D&gt;&lt;/FQL&gt;&lt;FQL&gt;&lt;Q&gt;KRO-US^FF_ROE(ANN_R,12/30/2015)&lt;/Q&gt;&lt;R&gt;1&lt;/R&gt;&lt;C&gt;1&lt;/C&gt;&lt;D xsi:type="xsd:double"&gt;11.5604241929845&lt;/D&gt;&lt;/FQL&gt;&lt;FQL&gt;&lt;Q&gt;WLL-US^FF_ROE(ANN_R,12/30/2015)&lt;/Q&gt;&lt;R&gt;1&lt;/R&gt;&lt;C&gt;1&lt;/C&gt;&lt;D xsi:type="xsd:double"&gt;1.3609853729825909&lt;/D&gt;&lt;/FQL&gt;&lt;FQL&gt;&lt;Q&gt;STZ-US^FF_ROE(ANN_R,12/30/2015)&lt;/Q&gt;&lt;R&gt;1&lt;/R&gt;&lt;C&gt;1&lt;/C&gt;&lt;D xsi:type="xsd:double"&gt;15.611979166666661&lt;/D&gt;&lt;/FQL&gt;&lt;FQL&gt;&lt;Q&gt;CAH-US^FF_ROE(ANN_R,12/30/2015)&lt;/Q&gt;&lt;R&gt;1&lt;/R&gt;&lt;C&gt;1&lt;/C&gt;&lt;D xsi:type="xsd:double"&gt;19.151457691396061&lt;/D&gt;&lt;/FQL&gt;&lt;FQL&gt;&lt;Q&gt;CSL-US^FF_ROE(ANN_R,12/30/2015)&lt;/Q&gt;&lt;R&gt;1&lt;/R&gt;&lt;C&gt;1&lt;/C&gt;&lt;D xsi:type="xsd:double"&gt;11.92527021545656&lt;/D&gt;&lt;/FQL&gt;&lt;FQL&gt;&lt;Q&gt;CRS-US^FF_ROE(ANN_R,12/30/2015)&lt;/Q&gt;&lt;R&gt;1&lt;/R&gt;&lt;C&gt;1&lt;/C&gt;&lt;D xsi:type="xsd:double"&gt;4.1410501024662576&lt;/D&gt;&lt;/FQL&gt;&lt;FQL&gt;&lt;Q&gt;CAT-US^FF_ROE(ANN_R,12/30/2015)&lt;/Q&gt;&lt;R&gt;1&lt;/R&gt;&lt;C&gt;1&lt;/C&gt;&lt;D xsi:type="xsd:double"&gt;19.676757994515&lt;/D&gt;&lt;/FQL&gt;&lt;FQL&gt;&lt;Q&gt;CHKP-US^FF_ROE(ANN_R,12/30/2015)&lt;/Q&gt;&lt;R&gt;1&lt;/R&gt;&lt;C&gt;1&lt;/C&gt;&lt;D xsi:type="xsd:double"&gt;18.22105912214613&lt;/D&gt;&lt;/FQL&gt;&lt;FQL&gt;&lt;Q&gt;CELG-US^FF_ROE(ANN_R,12/30/2015)&lt;/Q&gt;&lt;R&gt;1&lt;/R&gt;&lt;C&gt;1&lt;/C&gt;&lt;D xsi:type="xsd:double"&gt;33.016087893220629&lt;/D&gt;&lt;/FQL&gt;&lt;FQL&gt;&lt;Q&gt;CTXS-US^FF_ROE(ANN_R,12/30/2015)&lt;/Q&gt;&lt;R&gt;1&lt;/R&gt;&lt;C&gt;1&lt;/C&gt;&lt;D xsi:type="xsd:double"&gt;9.1644743596558254&lt;/D&gt;&lt;/FQL&gt;&lt;FQL&gt;&lt;Q&gt;CHK-US^FF_ROE(ANN_R,12/30/2015)&lt;/Q&gt;&lt;R&gt;1&lt;/R&gt;&lt;C&gt;1&lt;/C&gt;&lt;D xsi:type="xsd:double"&gt;8.7786491580035264&lt;/D&gt;&lt;/FQL&gt;&lt;FQL&gt;&lt;Q&gt;CTL-US^FF_ROE(ANN_R,12/30/2015)&lt;/Q&gt;&lt;R&gt;1&lt;/R&gt;&lt;C&gt;1&lt;/C&gt;&lt;D xsi:type="xsd:double"&gt;4.7929471658285223&lt;/D&gt;&lt;/FQL&gt;&lt;FQL&gt;&lt;Q&gt;CERN-US^FF_ROE(ANN_R,12/30/2015)&lt;/Q&gt;&lt;R&gt;1&lt;/R&gt;&lt;C&gt;1&lt;/C&gt;&lt;D xsi:type="xsd:double"&gt;15.60622855540665&lt;/D&gt;&lt;/FQL&gt;&lt;FQL&gt;&lt;Q&gt;JPM-US^FF_ROE(ANN_R,12/30/2015)&lt;/Q&gt;&lt;R&gt;1&lt;/R&gt;&lt;C&gt;1&lt;/C&gt;&lt;D xsi:type="xsd:double"&gt;9.5740621577990765&lt;/D&gt;&lt;/FQL&gt;&lt;FQL&gt;&lt;Q&gt;EXP-US^FF_ROE(ANN_R,12/30/2015)&lt;/Q&gt;&lt;R&gt;1&lt;/R&gt;&lt;C&gt;1&lt;/C&gt;&lt;D xsi:type="xsd:double"&gt;20.28704320956825&lt;/D&gt;&lt;/FQL&gt;&lt;FQL&gt;&lt;Q&gt;CLI-US^FF_ROE(ANN_R,12/30/2015)&lt;/Q&gt;&lt;R&gt;1&lt;/R&gt;&lt;C&gt;1&lt;/C&gt;&lt;D xsi:type="xsd:double"&gt;1.7487466101850551&lt;/D&gt;&lt;/FQL&gt;&lt;FQL&gt;&lt;Q&gt;EAT-US^FF_ROE(ANN_R,12/30/2015)&lt;/Q&gt;&lt;R&gt;0&lt;/R&gt;&lt;C&gt;0&lt;/C&gt;&lt;/FQL&gt;&lt;FQL&gt;&lt;Q&gt;CB.XX2-US^FF_ROE(ANN_R,12/30/2015)&lt;/Q&gt;&lt;R&gt;1&lt;/R&gt;&lt;C&gt;1&lt;/C&gt;&lt;D xsi:type="xsd:double"&gt;12.96576420831661&lt;/D&gt;&lt;/FQL&gt;&lt;FQL&gt;&lt;Q&gt;CHD-US^FF_ROE(ANN_R,12/30/2015)&lt;/Q&gt;&lt;R&gt;1&lt;/R&gt;&lt;C&gt;1&lt;/C&gt;&lt;D xsi:type="xsd:double"&gt;18.80594302330864&lt;/D&gt;&lt;/FQL&gt;&lt;FQL&gt;&lt;Q&gt;CI-US^FF_ROE(ANN_R,12/30/2015)&lt;/Q&gt;&lt;R&gt;1&lt;/R&gt;&lt;C&gt;1&lt;/C&gt;&lt;D xsi:type="xsd:double"&gt;19.699170610561829&lt;/D&gt;&lt;/FQL&gt;&lt;FQL&gt;&lt;Q&gt;CHS-US^FF_ROE(ANN_R,12/30/2015)&lt;/Q&gt;&lt;R&gt;1&lt;/R&gt;&lt;C&gt;1&lt;/C&gt;&lt;D xsi:type="xsd:double"&gt;6.7947519436246324&lt;/D&gt;&lt;/FQL&gt;&lt;FQL&gt;&lt;Q&gt;CINF-US^FF_ROE(ANN_R,12/30/2015)&lt;/Q&gt;&lt;R&gt;1&lt;/R&gt;&lt;C&gt;1&lt;/C&gt;&lt;D xsi:type="xsd:double"&gt;8.3049909040575809&lt;/D&gt;&lt;/FQL&gt;&lt;FQL&gt;&lt;Q&gt;CTAS-US^FF_ROE(ANN_R,12/30/2015)&lt;/Q&gt;&lt;R&gt;1&lt;/R&gt;&lt;C&gt;1&lt;/C&gt;&lt;D xsi:type="xsd:double"&gt;19.596088830108169&lt;/D&gt;&lt;/FQL&gt;&lt;FQL&gt;&lt;Q&gt;FTR-US^FF_ROE(ANN_R,12/30/2015)&lt;/Q&gt;&lt;R&gt;1&lt;/R&gt;&lt;C&gt;1&lt;/C&gt;&lt;D xsi:type="xsd:double"&gt;3.366973683152866&lt;/D&gt;&lt;/FQL&gt;&lt;FQL&gt;&lt;Q&gt;CSCO-US^FF_ROE(ANN_R,12/30/2015)&lt;/Q&gt;&lt;R&gt;1&lt;/R&gt;&lt;C&gt;1&lt;/C&gt;&lt;D xsi:type="xsd:double"&gt;15.43763751375138&lt;/D&gt;&lt;/FQL&gt;&lt;FQL&gt;&lt;Q&gt;CLH-US^FF_ROE(ANN_R,12/30/2015)&lt;/Q&gt;&lt;R&gt;1&lt;/R&gt;&lt;C&gt;1&lt;/C&gt;&lt;D xsi:type="xsd:double"&gt;-2.0688622645161052&lt;/D&gt;&lt;/FQL&gt;&lt;FQL&gt;&lt;Q&gt;CLF-US^FF_ROE(ANN_R,12/30/2015)&lt;/Q&gt;&lt;R&gt;1&lt;/R&gt;&lt;C&gt;1&lt;/C&gt;&lt;D xsi:type="xsd:double"&gt;-311.50877495580181&lt;/D&gt;&lt;/FQL&gt;&lt;FQL&gt;&lt;Q&gt;CMP-US^FF_ROE(ANN_R,12/30/2015)&lt;/Q&gt;&lt;R&gt;1&lt;/R&gt;&lt;C&gt;1&lt;/C&gt;&lt;D xsi:type="xsd:double"&gt;35.833747309157147&lt;/D&gt;&lt;/FQL&gt;&lt;FQL&gt;&lt;Q&gt;CLX-US^FF_ROE(ANN_R,12/30/2015)&lt;/Q&gt;&lt;R&gt;1&lt;/R&gt;&lt;C&gt;1&lt;/C&gt;&lt;D xsi:type="xsd:double"&gt;445.58823529411768&lt;/D&gt;&lt;/FQL&gt;&lt;FQL&gt;&lt;Q&gt;CNA-US^FF_ROE(ANN_R,12/30/2015)&lt;/Q&gt;&lt;R&gt;1&lt;/R&gt;&lt;C&gt;1&lt;/C&gt;&lt;D xsi:type="xsd:double"&gt;6.9731830853194081&lt;/D&gt;&lt;/FQL&gt;&lt;FQL&gt;&lt;Q&gt;KO-US^FF_ROE(ANN_R,12/30/2015)&lt;/Q&gt;&lt;R&gt;1&lt;/R&gt;&lt;C&gt;1&lt;/C&gt;&lt;D xsi:type="xsd:double"&gt;22.35837021403934&lt;/D&gt;&lt;/FQL&gt;&lt;FQL&gt;&lt;Q&gt;CPRT-US^FF_ROE(ANN_R,12/30/2015)&lt;/Q&gt;&lt;R&gt;1&lt;/R&gt;&lt;C&gt;1&lt;/C&gt;&lt;D xsi:type="xsd:double"&gt;22.3360906683713&lt;/D&gt;&lt;/FQL&gt;&lt;FQL&gt;&lt;Q&gt;CL-US^FF_ROE(ANN_R,12/30/2015)&lt;/Q&gt;&lt;R&gt;1&lt;/R&gt;&lt;C&gt;1&lt;/C&gt;&lt;D xsi:type="xsd:double"&gt;126.37681159420291&lt;/D&gt;&lt;/FQL&gt;&lt;FQL&gt;&lt;Q&gt;MAR-US^FF_ROE(ANN_R,12/30/2015)&lt;/Q&gt;&lt;R&gt;0&lt;/R&gt;&lt;C&gt;0&lt;/C&gt;&lt;/FQL&gt;&lt;FQL&gt;&lt;Q&gt;CMA-US^FF_ROE(ANN_R,12/30/2015)&lt;/Q&gt;&lt;R&gt;1&lt;/R&gt;&lt;C&gt;1&lt;/C&gt;&lt;D xsi:type="xsd:double"&gt;8.05221573342494&lt;/D&gt;&lt;/FQL&gt;&lt;FQL&gt;&lt;Q&gt;NRG-US^FF_ROE(ANN_R,12/30/2015)&lt;/Q&gt;&lt;R&gt;1&lt;/R&gt;&lt;C&gt;1&lt;/C&gt;&lt;D xsi:type="xsd:double"&gt;1.346463022508039&lt;/D&gt;&lt;/FQL&gt;&lt;FQL&gt;&lt;Q&gt;CBSH-US^FF_ROE(ANN_R,12/30/2015)&lt;/Q&gt;&lt;R&gt;1&lt;/R&gt;&lt;C&gt;1&lt;/C&gt;&lt;D xsi:type="xsd:double"&gt;11.382135664475809&lt;/D&gt;&lt;/FQL&gt;&lt;FQL&gt;&lt;Q&gt;CMC-US^FF_ROE(ANN_R,12/30/2015)&lt;/Q&gt;&lt;R&gt;1&lt;/R&gt;&lt;C&gt;1&lt;/C&gt;&lt;D xsi:type="xsd:double"&gt;7.2631291659721473&lt;/D&gt;&lt;/FQL&gt;&lt;FQL&gt;&lt;Q&gt;CRK-US^FF_ROE(ANN_R,12/30/2015)&lt;/Q&gt;&lt;R&gt;1&lt;/R&gt;&lt;C&gt;1&lt;/C&gt;&lt;D xsi:type="xsd:double"&gt;-6.3333949778217029&lt;/D&gt;&lt;/FQL&gt;&lt;FQL&gt;&lt;Q&gt;CA-US^FF_ROE(ANN_R,12/30/2015)&lt;/Q&gt;&lt;R&gt;1&lt;/R&gt;&lt;C&gt;1&lt;/C&gt;&lt;D xsi:type="xsd:double"&gt;14.32782492184011&lt;/D&gt;&lt;/FQL&gt;&lt;FQL&gt;&lt;Q&gt;DXC-US^FF_ROE(ANN_R,12/30/2015)&lt;/Q&gt;&lt;R&gt;1&lt;/R&gt;&lt;C&gt;1&lt;/C&gt;&lt;D xsi:type="xsd:double"&gt;-6.0437956204379564&lt;/D&gt;&lt;/FQL&gt;&lt;FQL&gt;&lt;Q&gt;CAG-US^FF_ROE(ANN_R,12/30/2015)&lt;/Q&gt;&lt;R&gt;1&lt;/R&gt;&lt;C&gt;1&lt;/C&gt;&lt;D xsi:type="xsd:double"&gt;33.000441891294741&lt;/D&gt;&lt;/FQL&gt;&lt;FQL&gt;&lt;Q&gt;ED-US^FF_ROE(ANN_R,12/30/2015)&lt;/Q&gt;&lt;R&gt;1&lt;/R&gt;&lt;C&gt;1&lt;/C&gt;&lt;D xsi:type="xsd:double"&gt;8.7990008460577744&lt;/D&gt;&lt;/FQL&gt;&lt;FQL&gt;&lt;Q&gt;TPX-US^FF_ROE(ANN_R,12/30/2015)&lt;/Q&gt;&lt;R&gt;1&lt;/R&gt;&lt;C&gt;1&lt;/C&gt;&lt;D xsi:type="xsd:double"&gt;67.78711484593839&lt;/D&gt;&lt;/FQL&gt;&lt;FQL&gt;&lt;Q&gt;BIG-US^FF_ROE(ANN_R,12/30/2015)&lt;/Q&gt;&lt;R&gt;1&lt;/R&gt;&lt;C&gt;1&lt;/C&gt;&lt;D xsi:type="xsd:double"&gt;16.163555151844172&lt;/D&gt;&lt;/FQL&gt;&lt;FQL&gt;&lt;Q&gt;CMS-US^FF_ROE(ANN_R,12/30/2015)&lt;/Q&gt;&lt;R&gt;1&lt;/R&gt;&lt;C&gt;1&lt;/C&gt;&lt;D xsi:type="xsd:double"&gt;13.391353172375069&lt;/D&gt;&lt;/FQL&gt;&lt;FQL&gt;&lt;Q&gt;CAM-US^FF_ROE(ANN_R,12/30/2015)&lt;/Q&gt;&lt;R&gt;1&lt;/R&gt;&lt;C&gt;1&lt;/C&gt;&lt;D xsi:type="xsd:double"&gt;15.08599980782166&lt;/D&gt;&lt;/FQL&gt;&lt;FQL&gt;&lt;Q&gt;COO-US^FF_ROE(ANN_R,12/30/2015)&lt;/Q&gt;&lt;R&gt;1&lt;/R&gt;&lt;C&gt;1&lt;/C&gt;&lt;D xsi:type="xsd:double"&gt;7.7719290172752169&lt;/D&gt;&lt;/FQL&gt;&lt;FQL&gt;&lt;Q&gt;GLW-US^FF_ROE(ANN_R,12/30/2015)&lt;/Q&gt;&lt;R&gt;1&lt;/R&gt;&lt;C&gt;1&lt;/C&gt;&lt;D xsi:type="xsd:double"&gt;11.567347511756861&lt;/D&gt;&lt;/FQL&gt;&lt;FQL&gt;&lt;Q&gt;CR-US^FF_ROE(ANN_R,12/30/2015)&lt;/Q&gt;&lt;R&gt;1&lt;/R&gt;&lt;C&gt;1&lt;/C&gt;&lt;D xsi:type="xsd:double"&gt;17.019960946454422&lt;/D&gt;&lt;/FQL&gt;&lt;FQL&gt;&lt;Q&gt;CREE-US^FF_ROE(ANN_R,12/30/2015)&lt;/Q&gt;&lt;R&gt;1&lt;/R&gt;&lt;C&gt;1&lt;/C&gt;&lt;D xsi:type="xsd:double"&gt;-2.3476945486320719&lt;/D&gt;&lt;/FQL&gt;&lt;FQL&gt;&lt;Q&gt;GRA-US^FF_ROE(ANN_R,12/30/2015)&lt;/Q&gt;&lt;R&gt;1&lt;/R&gt;&lt;C&gt;1&lt;/C&gt;&lt;D xsi:type="xsd:double"&gt;59.643820831084717&lt;/D&gt;&lt;/FQL&gt;&lt;FQL&gt;&lt;Q&gt;SEE-US^FF_ROE(ANN_R,12/30/2015)&lt;/Q&gt;&lt;R&gt;1&lt;/R&gt;&lt;C&gt;1&lt;/C&gt;&lt;D xsi:type="xsd:double"&gt;20.102668599866771&lt;/D&gt;&lt;/FQL&gt;&lt;FQL&gt;&lt;Q&gt;BRCM-US^FF_ROE(ANN_R,12/30/2015)&lt;/Q&gt;&lt;R&gt;1&lt;/R&gt;&lt;C&gt;1&lt;/C&gt;&lt;D xsi:type="xsd:double"&gt;7.4847893468028932&lt;/D&gt;&lt;/FQL&gt;&lt;FQL&gt;&lt;Q&gt;CDZI-US^FF_ROE(ANN_R,12/30/2015)&lt;/Q&gt;&lt;R&gt;0&lt;/R&gt;&lt;C&gt;0&lt;/C&gt;&lt;/FQL&gt;&lt;FQL&gt;&lt;Q&gt;CRR-US^FF_ROE(ANN_R,12/30/2015)&lt;/Q&gt;&lt;R&gt;1&lt;/R&gt;&lt;C&gt;1&lt;/C&gt;&lt;D xsi:type="xsd:double"&gt;7.1488317049106467&lt;/D&gt;&lt;/FQL&gt;&lt;FQL&gt;&lt;Q&gt;CFR-US^FF_ROE(ANN_R,12/30/2015)&lt;/Q&gt;&lt;R&gt;1&lt;/R&gt;&lt;C&gt;1&lt;/C&gt;&lt;D xsi:type="xsd:double"&gt;10.32420822862238&lt;/D&gt;&lt;/FQL&gt;&lt;FQL&gt;&lt;Q&gt;CMI-US^FF_ROE(ANN_R,12/30/2015)&lt;/Q&gt;&lt;R&gt;1&lt;/R&gt;&lt;C&gt;1&lt;/C&gt;&lt;D xsi:type="xsd:double"&gt;21.639688052952351&lt;/D&gt;&lt;/FQL&gt;&lt;FQL&gt;&lt;Q&gt;CY-US^FF_ROE(ANN_R,12/30/2015)&lt;/Q&gt;&lt;R&gt;1&lt;/R&gt;&lt;C&gt;1&lt;/C&gt;&lt;D xsi:type="xsd:double"&gt;9.177569806532162&lt;/D&gt;&lt;/FQL&gt;&lt;FQL&gt;&lt;Q&gt;FII-US^FF_ROE(ANN_R,12/30/2015)&lt;/Q&gt;&lt;R&gt;1&lt;/R&gt;&lt;C&gt;1&lt;/C&gt;&lt;D xsi:type="xsd:double"&gt;24.397994918395771&lt;/D&gt;&lt;/FQL&gt;&lt;FQL&gt;&lt;Q&gt;LLL-US^FF_ROE(ANN_R,12/30/2015)&lt;/Q&gt;&lt;R&gt;1&lt;/R&gt;&lt;C&gt;1&lt;/C&gt;&lt;D xsi:type="xsd:double"&gt;11.177927131234521&lt;/D&gt;&lt;/FQL&gt;&lt;FQL&gt;&lt;Q&gt;WCN.XX2-US^FF_ROE(ANN_R,12/30/2015)&lt;/Q&gt;&lt;R&gt;1&lt;/R&gt;&lt;C&gt;1&lt;/C&gt;&lt;D xsi:type="xsd:double"&gt;10.88787003949882&lt;/D&gt;&lt;/FQL&gt;&lt;FQL&gt;&lt;Q&gt;DHI-US^FF_ROE(ANN_R,12/30/2015)&lt;/Q&gt;&lt;R&gt;1&lt;/R&gt;&lt;C&gt;1&lt;/C&gt;&lt;D xsi:type="xsd:double"&gt;13.63657005840092&lt;/D&gt;&lt;/FQL&gt;&lt;FQL&gt;&lt;Q&gt;DHR-US^FF_ROE(ANN_R,12/30/2015)&lt;/Q&gt;&lt;R&gt;1&lt;/R&gt;&lt;C&gt;1&lt;/C&gt;&lt;D xsi:type="xsd:double"&gt;11.35579961279101&lt;/D&gt;&lt;/FQL&gt;&lt;FQL&gt;&lt;Q&gt;MCO-US^FF_ROE(ANN_R,12/30/2015)&lt;/Q&gt;&lt;R&gt;1&lt;/R&gt;&lt;C&gt;1&lt;/C&gt;&lt;D xsi:type="xsd:double"&gt;1325.335120643432&lt;/D&gt;&lt;/FQL&gt;&lt;FQL&gt;&lt;Q&gt;CVA-US^FF_ROE(ANN_R,12/30/2015)&lt;/Q&gt;&lt;R&gt;1&lt;/R&gt;&lt;C&gt;1&lt;/C&gt;&lt;D xsi:type="xsd:double"&gt;-0.2368265245707519&lt;/D&gt;&lt;/FQL&gt;&lt;FQL&gt;&lt;Q&gt;CTSH-US^FF_ROE(ANN_R,12/30/2015)&lt;/Q&gt;&lt;R&gt;1&lt;/R&gt;&lt;C&gt;1&lt;/C&gt;&lt;D xsi:type="xsd:double"&gt;20.74518497453623&lt;/D&gt;&lt;/FQL&gt;&lt;FQL&gt;&lt;Q&gt;TGT-US^FF_ROE(ANN_R,12/30/2015)&lt;/Q&gt;&lt;R&gt;1&lt;/R&gt;&lt;C&gt;1&lt;/C&gt;&lt;D xsi:type="xsd:double"&gt;16.203519915310309&lt;/D&gt;&lt;/FQL&gt;&lt;FQL&gt;&lt;Q&gt;DO-US^FF_ROE(ANN_R,12/30/2015)&lt;/Q&gt;&lt;R&gt;1&lt;/R&gt;&lt;C&gt;1&lt;/C&gt;&lt;D xsi:type="xsd:double"&gt;8.5161980855382673&lt;/D&gt;&lt;/FQL&gt;&lt;FQL&gt;&lt;Q&gt;DE-US^FF_ROE(ANN_R,12/30/2015)&lt;/Q&gt;&lt;R&gt;1&lt;/R&gt;&lt;C&gt;1&lt;/C&gt;&lt;D xsi:type="xsd:double"&gt;24.537517398456281&lt;/D&gt;&lt;/FQL&gt;&lt;FQL&gt;&lt;Q&gt;MS-US^FF_ROE(ANN_R,12/30/2015)&lt;/Q&gt;&lt;R&gt;1&lt;/R&gt;&lt;C&gt;1&lt;/C&gt;&lt;D xsi:type="xsd:double"&gt;5.082553116846098&lt;/D&gt;&lt;/FQL&gt;&lt;FQL&gt;&lt;Q&gt;RSG-US^FF_ROE(ANN_R,12/30/2015)&lt;/Q&gt;&lt;R&gt;1&lt;/R&gt;&lt;C&gt;1&lt;/C&gt;&lt;D xsi:type="xsd:double"&gt;6.9986197024692&lt;/D&gt;&lt;/FQL&gt;&lt;FQL&gt;&lt;Q&gt;DECK-US^FF_ROE(ANN_R,12/30/2015)&lt;/Q&gt;&lt;R&gt;1&lt;/R&gt;&lt;C&gt;1&lt;/C&gt;&lt;D xsi:type="xsd:double"&gt;17.720954661937579&lt;/D&gt;&lt;/FQL&gt;&lt;FQL&gt;&lt;Q&gt;ATGE-US^FF_ROE(ANN_R,12/30/2015)&lt;/Q&gt;&lt;R&gt;1&lt;/R&gt;&lt;C&gt;1&lt;/C&gt;&lt;D xsi:type="xsd:double"&gt;8.61541086324399&lt;/D&gt;&lt;/FQL&gt;&lt;FQL&gt;&lt;Q&gt;DBD-US^FF_ROE(ANN_R,12/30/2015)&lt;/Q&gt;&lt;R&gt;1&lt;/R&gt;&lt;C&gt;1&lt;/C&gt;&lt;D xsi:type="xsd:double"&gt;20.2800859294131&lt;/D&gt;&lt;/FQL&gt;&lt;FQL&gt;&lt;Q&gt;DDS-US^FF_ROE(ANN_R,12/30/2015)&lt;/Q&gt;&lt;R&gt;1&lt;/R&gt;&lt;C&gt;1&lt;/C&gt;&lt;D xsi:type="xsd:double"&gt;16.545218993450529&lt;/D&gt;&lt;/FQL&gt;&lt;FQL&gt;&lt;Q&gt;DIS-US^FF_ROE(ANN_R,12/30/2015)&lt;/Q&gt;&lt;R&gt;1&lt;/R&gt;&lt;C&gt;1&lt;/C&gt;&lt;D xsi:type="xsd:double"&gt;18.7342847244728&lt;/D&gt;&lt;/FQL&gt;&lt;FQL&gt;&lt;Q&gt;DLTR-US^FF_ROE(ANN_R,12/30/2015)&lt;/Q&gt;&lt;R&gt;1&lt;/R&gt;&lt;C&gt;1&lt;/C&gt;&lt;D xsi:type="xsd:double"&gt;40.5453868795886&lt;/D&gt;&lt;/FQL&gt;&lt;FQL&gt;&lt;Q&gt;DCI-US^FF_ROE(ANN_R,12/30/2015)&lt;/Q&gt;&lt;R&gt;1&lt;/R&gt;&lt;C&gt;1&lt;/C&gt;&lt;D xsi:type="xsd:double"&gt;23.41941379162887&lt;/D&gt;&lt;/FQL&gt;&lt;FQL&gt;&lt;Q&gt;RRD-US^FF_ROE(ANN_R,12/30/2015)&lt;/Q&gt;&lt;R&gt;1&lt;/R&gt;&lt;C&gt;1&lt;/C&gt;&lt;D xsi:type="xsd:double"&gt;19.1579634464752&lt;/D&gt;&lt;/FQL&gt;&lt;FQL&gt;&lt;Q&gt;DOV-US^FF_ROE(ANN_R,12/30/2015)&lt;/Q&gt;&lt;R&gt;1&lt;/R&gt;&lt;C&gt;1&lt;/C&gt;&lt;D xsi:type="xsd:double"&gt;17.143195161201309&lt;/D&gt;&lt;/FQL&gt;&lt;FQL&gt;&lt;Q&gt;DWDP-US^FF_ROE(ANN_R,12/30/2015)&lt;/Q&gt;&lt;R&gt;1&lt;/R&gt;&lt;C&gt;1&lt;/C&gt;&lt;D xsi:type="xsd:double"&gt;15.186228989679851&lt;/D&gt;&lt;/FQL&gt;&lt;FQL&gt;&lt;Q&gt;OMC-US^FF_ROE(ANN_R,12/30/2015)&lt;/Q&gt;&lt;R&gt;1&lt;/R&gt;&lt;C&gt;1&lt;/C&gt;&lt;D xsi:type="xsd:double"&gt;33.691934581182757&lt;/D&gt;&lt;/FQL&gt;&lt;FQL&gt;&lt;Q&gt;DTE-US^FF_ROE(ANN_R,12/30/2015)&lt;/Q&gt;&lt;R&gt;1&lt;/R&gt;&lt;C&gt;1&lt;/C&gt;&lt;D xsi:type="xsd:double"&gt;11.1398325947809&lt;/D&gt;&lt;/FQL&gt;&lt;FQL&gt;&lt;Q&gt;DST-US^FF_ROE(ANN_R,12/30/2015)&lt;/Q&gt;&lt;R&gt;1&lt;/R&gt;&lt;C&gt;1&lt;/C&gt;&lt;D xsi:type="xsd:double"&gt;49.0290058672837&lt;/D&gt;&lt;/FQL&gt;&lt;FQL&gt;&lt;Q&gt;DRE-US^FF_ROE(ANN_R,12/30/2015)&lt;/Q&gt;&lt;R&gt;1&lt;/R&gt;&lt;C&gt;1&lt;/C&gt;&lt;D xsi:type="xsd:double"&gt;7.0404224485014906&lt;/D&gt;&lt;/FQL&gt;&lt;FQL&gt;&lt;Q&gt;CVG-US^FF_ROE(ANN_R,12/30/2015)&lt;/Q&gt;&lt;R&gt;1&lt;/R&gt;&lt;C&gt;1&lt;/C&gt;&lt;D xsi:type="xsd:double"&gt;9.2577876668785759&lt;/D&gt;&lt;/FQL&gt;&lt;FQL&gt;&lt;Q&gt;FLS-US^FF_ROE(ANN_R,12/30/2015)&lt;/Q&gt;&lt;R&gt;1&lt;/R&gt;&lt;C&gt;1&lt;/C&gt;&lt;D xsi:type="xsd:double"&gt;27.2932168068889&lt;/D&gt;&lt;/FQL&gt;&lt;FQL&gt;&lt;Q&gt;DRI-US^FF_ROE(ANN_R,12/30/2015)&lt;/Q&gt;&lt;R&gt;1&lt;/R&gt;&lt;C&gt;1&lt;/C&gt;&lt;D xsi:type="xsd:double"&gt;8.7475503295920181&lt;/D&gt;&lt;/FQL&gt;&lt;FQL&gt;&lt;Q&gt;EBAY-US^FF_ROE(ANN_R,12/30/2015)&lt;/Q&gt;&lt;R&gt;1&lt;/R&gt;&lt;C&gt;1&lt;/C&gt;&lt;D xsi:type="xsd:double"&gt;-3.972171836612862&lt;/D&gt;&lt;/FQL&gt;&lt;FQL&gt;&lt;Q&gt;EMC-US^FF_ROE(ANN_R,12/30/2015)&lt;/Q&gt;&lt;R&gt;1&lt;/R&gt;&lt;C&gt;1&lt;/C&gt;&lt;D xsi:type="xsd:double"&gt;12.28137656402018&lt;/D&gt;&lt;/FQL&gt;&lt;FQL&gt;&lt;Q&gt;BAC-US^FF_ROE(ANN_R,12/30/2015)&lt;/Q&gt;&lt;R&gt;1&lt;/R&gt;&lt;C&gt;1&lt;/C&gt;&lt;D xsi:type="xsd:double"&gt;2.0300069725048089&lt;/D&gt;&lt;/FQL&gt;&lt;FQL&gt;&lt;Q&gt;C-US^FF_ROE(ANN_R,12/30/2015)&lt;/Q&gt;&lt;R&gt;1&lt;/R&gt;&lt;C&gt;1&lt;/C&gt;&lt;D xsi:type="xsd:double"&gt;3.4743464793353338&lt;/D&gt;&lt;/FQL&gt;&lt;FQL&gt;&lt;Q&gt;EMN-US^FF_ROE(ANN_R,12/30/2015)&lt;/Q&gt;&lt;R&gt;1&lt;/R&gt;&lt;C&gt;1&lt;/C&gt;&lt;D xsi:type="xsd:double"&gt;20.503695592663561&lt;/D&gt;&lt;/FQL&gt;&lt;FQL&gt;&lt;Q&gt;ETFC-US^FF_ROE(ANN_R,12/30/2015)&lt;/Q&gt;&lt;R&gt;1&lt;/R&gt;&lt;C&gt;1&lt;/C&gt;&lt;D xsi:type="xsd:double"&gt;5.7277323409173659&lt;/D&gt;&lt;/FQL&gt;&lt;FQL&gt;&lt;Q&gt;EV-US^FF_ROE(ANN_R,12/30/2015)&lt;/Q&gt;&lt;R&gt;1&lt;/R&gt;&lt;C&gt;1&lt;/C&gt;&lt;D xsi:type="xsd:double"&gt;35.197077455209673&lt;/D&gt;&lt;/FQL&gt;&lt;FQL&gt;&lt;Q&gt;CDNS-US^FF_ROE(ANN_R,12/30/2015)&lt;/Q&gt;&lt;R&gt;1&lt;/R&gt;&lt;C&gt;1&lt;/C&gt;&lt;D xsi:type="xsd:double"&gt;12.76453711502567&lt;/D&gt;&lt;/FQL&gt;&lt;FQL&gt;&lt;Q&gt;DISH-US^FF_ROE(ANN_R,12/30/2015)&lt;/Q&gt;&lt;R&gt;1&lt;/R&gt;&lt;C&gt;1&lt;/C&gt;&lt;D xsi:type="xsd:double"&gt;63.1882863687335&lt;/D&gt;&lt;/FQL&gt;&lt;FQL&gt;&lt;Q&gt;ECL-US^FF_ROE(ANN_R,12/30/2015)&lt;/Q&gt;&lt;R&gt;1&lt;/R&gt;&lt;C&gt;1&lt;/C&gt;&lt;D xsi:type="xsd:double"&gt;16.409053082495461&lt;/D&gt;&lt;/FQL&gt;&lt;FQL&gt;&lt;Q&gt;PKI-US^FF_ROE(ANN_R,12/30/2015)&lt;/Q&gt;&lt;R&gt;1&lt;/R&gt;&lt;C&gt;1&lt;/C&gt;&lt;D xsi:type="xsd:double"&gt;7.985256859194731&lt;/D&gt;&lt;/FQL&gt;&lt;FQL&gt;&lt;Q&gt;EA-US^FF_ROE(ANN_R,12/30/2015)&lt;/Q&gt;&lt;R&gt;1&lt;/R&gt;&lt;C&gt;1&lt;/C&gt;&lt;D xsi:type="xsd:double"&gt;32.063026749725182&lt;/D&gt;&lt;/FQL&gt;&lt;FQL&gt;&lt;Q&gt;CRM-US^FF_ROE(ANN_R,12/30/2015)&lt;/Q&gt;&lt;R&gt;1&lt;/R&gt;&lt;C&gt;1&lt;/C&gt;&lt;D xsi:type="xsd:double"&gt;-7.4907185130572431&lt;/D&gt;&lt;/FQL&gt;&lt;FQL&gt;&lt;Q&gt;ERIE-US^FF_ROE(ANN_R,12/30/2015)&lt;/Q&gt;&lt;R&gt;1&lt;/R&gt;&lt;C&gt;1&lt;/C&gt;&lt;D xsi:type="xsd:double"&gt;23.382045929018791&lt;/D&gt;&lt;/FQL&gt;&lt;FQL&gt;&lt;Q&gt;EMR-US^FF_ROE(ANN_R,12/30/2015)&lt;/Q&gt;&lt;R&gt;1&lt;/R&gt;&lt;C&gt;1&lt;/C&gt;&lt;D xsi:type="xsd:double"&gt;27.659340659340661&lt;/D&gt;&lt;/FQL&gt;&lt;FQL&gt;&lt;Q&gt;ATO-US^FF_ROE(ANN_R,12/30/2015)&lt;/Q&gt;&lt;R&gt;1&lt;/R&gt;&lt;C&gt;1&lt;/C&gt;&lt;D xsi:type="xsd:double"&gt;10.01265875384431&lt;/D&gt;&lt;/FQL&gt;&lt;FQL&gt;&lt;Q&gt;ESS-US^FF_ROE(ANN_R,12/30/2015)&lt;/Q&gt;&lt;R&gt;1&lt;/R&gt;&lt;C&gt;1&lt;/C&gt;&lt;D xsi:type="xsd:double"&gt;3.0878553624785758&lt;/D&gt;&lt;/FQL&gt;&lt;FQL&gt;&lt;Q&gt;ETR-US^FF_ROE(ANN_R,12/30/2015)&lt;/Q&gt;&lt;R&gt;1&lt;/R&gt;&lt;C&gt;1&lt;/C&gt;&lt;D xsi:type="xsd:double"&gt;9.5839048660780684&lt;/D&gt;&lt;/FQL&gt;&lt;FQL&gt;&lt;Q&gt;EOG-US^FF_ROE(ANN_R,12/30/2015)&lt;/Q&gt;&lt;R&gt;1&lt;/R&gt;&lt;C&gt;1&lt;/C&gt;&lt;D xsi:type="xsd:double"&gt;17.599730717788191&lt;/D&gt;&lt;/FQL&gt;&lt;FQL&gt;&lt;Q&gt;EFX-US^FF_ROE(ANN_R,12/30/2015)&lt;/Q&gt;&lt;R&gt;1&lt;/R&gt;&lt;C&gt;1&lt;/C&gt;&lt;D xsi:type="xsd:double"&gt;16.32598649129044&lt;/D&gt;&lt;/FQL&gt;&lt;FQL&gt;&lt;Q&gt;EQR-US^FF_ROE(ANN_R,12/30/2015)&lt;/Q&gt;&lt;R&gt;1&lt;/R&gt;&lt;C&gt;1&lt;/C&gt;&lt;D xsi:type="xsd:double"&gt;3.9449201526926791&lt;/D&gt;&lt;/FQL&gt;&lt;FQL&gt;&lt;Q&gt;EQT-US^FF_ROE(ANN_R,12/30/2015)&lt;/Q&gt;&lt;R&gt;1&lt;/R&gt;&lt;C&gt;1&lt;/C&gt;&lt;D xsi:type="xsd:double"&gt;8.94898500197793&lt;/D&gt;&lt;/FQL&gt;&lt;FQL&gt;&lt;Q&gt;EL-US^FF_ROE(ANN_R,12/30/2015)&lt;/Q&gt;&lt;R&gt;1&lt;/R&gt;&lt;C&gt;1&lt;/C&gt;&lt;D xsi:type="xsd:double"&gt;29.04469132180153&lt;/D&gt;&lt;/FQL&gt;&lt;FQL&gt;&lt;Q&gt;EXPD-US^FF_ROE(ANN_R,12/30/2015)&lt;/Q&gt;&lt;R&gt;1&lt;/R&gt;&lt;C&gt;1&lt;/C&gt;&lt;D xsi:type="xsd:double"&gt;19.067533038499789&lt;/D&gt;&lt;/FQL&gt;&lt;FQL&gt;&lt;Q&gt;XOM-US^FF_ROE(ANN_R,12/30/2015)&lt;/Q&gt;&lt;R&gt;1&lt;/R&gt;&lt;C&gt;1&lt;/C&gt;&lt;D xsi:type="xsd:double"&gt;18.6680903094701&lt;/D&gt;&lt;/FQL&gt;&lt;FQL&gt;&lt;Q&gt;FMC-US^FF_ROE(ANN_R,12/30/2015)&lt;/Q&gt;&lt;R&gt;1&lt;/R&gt;&lt;C&gt;1&lt;/C&gt;&lt;D xsi:type="xsd:double"&gt;19.49316460675999&lt;/D&gt;&lt;/FQL&gt;&lt;FQL&gt;&lt;Q&gt;NEE-US^FF_ROE(ANN_R,12/30/2015)&lt;/Q&gt;&lt;R&gt;1&lt;/R&gt;&lt;C&gt;1&lt;/C&gt;&lt;D xsi:type="xsd:double"&gt;12.98872378543577&lt;/D&gt;&lt;/FQL&gt;&lt;FQL&gt;&lt;Q&gt;FDS-US^FF_ROE(ANN_R,12/30/2015)&lt;/Q&gt;&lt;R&gt;1&lt;/R&gt;&lt;C&gt;1&lt;/C&gt;&lt;D xsi:type="xsd:double"&gt;46.237433655648118&lt;/D&gt;&lt;/FQL&gt;&lt;FQL&gt;&lt;Q&gt;AIZ-US^FF_ROE(ANN_R,12/30/2015)&lt;/Q&gt;&lt;R&gt;1&lt;/R&gt;&lt;C&gt;1&lt;/C&gt;&lt;D xsi:type="xsd:double"&gt;9.4042348982794035&lt;/D&gt;&lt;/FQL&gt;&lt;FQL&gt;&lt;Q&gt;FAST-US^FF_ROE(ANN_R,12/30/2015)&lt;/Q&gt;&lt;R&gt;1&lt;/R&gt;&lt;C&gt;1&lt;/C&gt;&lt;D xsi:type="xsd:double"&gt;26.79834724996299&lt;/D&gt;&lt;/FQL&gt;&lt;FQL&gt;&lt;Q&gt;FNMA-US^FF_ROE(ANN_R,12/30/2015)&lt;/Q&gt;&lt;R&gt;1&lt;/R&gt;&lt;C&gt;1&lt;/C&gt;&lt;D xsi:type="xsd:double"&gt;214.93079192194239&lt;/D&gt;&lt;/FQL&gt;&lt;FQL&gt;&lt;Q&gt;FRT-US^FF_ROE(ANN_R,12/30/2015)&lt;/Q&gt;&lt;R&gt;1&lt;/R&gt;&lt;C&gt;1&lt;/C&gt;&lt;D xsi:type="xsd:double"&gt;10.42606519574875&lt;/D&gt;&lt;/FQL&gt;&lt;FQL&gt;&lt;Q&gt;FMCC-US^FF_ROE(ANN_R,12/30/2015)&lt;/Q&gt;&lt;R&gt;1&lt;/R&gt;&lt;C&gt;1&lt;/C&gt;&lt;D xsi:type="xsd:double"&gt;99.315510783933874&lt;/D&gt;&lt;/FQL&gt;&lt;FQL&gt;&lt;Q&gt;FITB-US^FF_ROE(ANN_R,12/30/2015)&lt;/Q&gt;&lt;R&gt;1&lt;/R&gt;&lt;C&gt;1&lt;/C&gt;&lt;D xsi:type="xsd:double"&gt;9.72364719510177&lt;/D&gt;&lt;/FQL&gt;&lt;FQL&gt;&lt;Q&gt;MTB-US^FF_ROE(ANN_R,12/30/2015)&lt;/Q&gt;&lt;R&gt;1&lt;/R&gt;&lt;C&gt;1&lt;/C&gt;&lt;D xsi:type="xsd:double"&gt;8.9200110923925582&lt;/D&gt;&lt;/FQL&gt;&lt;FQL&gt;&lt;Q&gt;FHN-US^FF_ROE(ANN_R,12/30/2015)&lt;/Q&gt;&lt;R&gt;1&lt;/R&gt;&lt;C&gt;1&lt;/C&gt;&lt;D xsi:type="xsd:double"&gt;9.9084956202622809&lt;/D&gt;&lt;/FQL&gt;&lt;FQL&gt;&lt;Q&gt;FISV-US^FF_ROE(ANN_R,12/30/2015)&lt;/Q&gt;&lt;R&gt;1&lt;/R&gt;&lt;C&gt;1&lt;/C&gt;&lt;D xsi:type="xsd:double"&gt;21.918604651162791&lt;/D&gt;&lt;/FQL&gt;&lt;FQL&gt;&lt;Q&gt;FLIR-US^FF_ROE(ANN_R,12/30/2015)&lt;/Q&gt;&lt;R&gt;1&lt;/R&gt;&lt;C&gt;1&lt;/C&gt;&lt;D xsi:type="xsd:double"&gt;12.42640358679839&lt;/D&gt;&lt;/FQL&gt;&lt;FQL&gt;&lt;Q&gt;M-US^FF_ROE(ANN_R,12/30/2015)&lt;/Q&gt;&lt;R&gt;1&lt;/R&gt;&lt;C&gt;1&lt;/C&gt;&lt;D xsi:type="xsd:double"&gt;26.249247441300419&lt;/D&gt;&lt;/FQL&gt;&lt;FQL&gt;&lt;Q&gt;BEN-US^FF_ROE(ANN_R,12/30/2015)&lt;/Q&gt;&lt;R&gt;1&lt;/R&gt;&lt;C&gt;1&lt;/C&gt;&lt;D xsi:type="xsd:double"&gt;17.274632765708581&lt;/D&gt;&lt;/FQL&gt;&lt;FQL&gt;&lt;Q&gt;FCN-US^FF_ROE(ANN_R,12/30/2015)&lt;/Q&gt;&lt;R&gt;1&lt;/R&gt;&lt;C&gt;1&lt;/C&gt;&lt;D xsi:type="xsd:double"&gt;5.4831573819175254&lt;/D&gt;&lt;/FQL&gt;&lt;FQL&gt;&lt;Q&gt;FCX-US^FF_ROE(ANN_R,12/30/2015)&lt;/Q&gt;&lt;R&gt;1&lt;/R&gt;&lt;C&gt;1&lt;/C&gt;&lt;D xsi:type="xsd:double"&gt;-6.6851941561918364&lt;/D&gt;&lt;/FQL&gt;&lt;FQL&gt;&lt;Q&gt;FTEK-US^FF_ROE(ANN_R,12/30/2015)&lt;/Q&gt;&lt;R&gt;1&lt;/R&gt;&lt;C&gt;1&lt;/C&gt;&lt;D xsi:type="xsd:double"&gt;-22.02903233824663&lt;/D&gt;&lt;/FQL&gt;&lt;FQL&gt;&lt;Q&gt;FCNCA-US^FF_ROE(ANN_R,12/30/2015)&lt;/Q&gt;&lt;R&gt;1&lt;/R&gt;&lt;C&gt;1&lt;/C&gt;&lt;D xsi:type="xsd:double"&gt;5.8167160586440438&lt;/D&gt;&lt;/FQL&gt;&lt;FQL&gt;&lt;Q&gt;FULT-US^FF_ROE(ANN_R,12/30/2015)&lt;/Q&gt;&lt;R&gt;1&lt;/R&gt;&lt;C&gt;1&lt;/C&gt;&lt;D xsi:type="xsd:double"&gt;7.77831310106871&lt;/D&gt;&lt;/FQL&gt;&lt;FQL&gt;&lt;Q&gt;AJG-US^FF_ROE(ANN_R,12/30/2015)&lt;/Q&gt;&lt;R&gt;1&lt;/R&gt;&lt;C&gt;1&lt;/C&gt;&lt;D xsi:type="xsd:double"&gt;11.41695986754219&lt;/D&gt;&lt;/FQL&gt;&lt;FQL&gt;&lt;Q&gt;GPS-US^FF_ROE(ANN_R,12/30/2015)&lt;/Q&gt;&lt;R&gt;1&lt;/R&gt;&lt;C&gt;1&lt;/C&gt;&lt;D xsi:type="xsd:double"&gt;41.7535153019024&lt;/D&gt;&lt;/FQL&gt;&lt;FQL&gt;&lt;Q&gt;GATX-US^FF_ROE(ANN_R,12/30/2015)&lt;/Q&gt;&lt;R&gt;1&lt;/R&gt;&lt;C&gt;1&lt;/C&gt;&lt;D xsi:type="xsd:double"&gt;15.12357063814091&lt;/D&gt;&lt;/FQL&gt;&lt;FQL&gt;&lt;Q&gt;GD-US^FF_ROE(ANN_R,12/30/2015)&lt;/Q&gt;&lt;R&gt;1&lt;/R&gt;&lt;C&gt;1&lt;/C&gt;&lt;D xsi:type="xsd:double"&gt;20.303835928598559&lt;/D&gt;&lt;/FQL&gt;&lt;FQL&gt;&lt;Q&gt;GNTX-US^FF_ROE(ANN_R,12/30/2015)&lt;/Q&gt;&lt;R&gt;1&lt;/R&gt;&lt;C&gt;1&lt;/C&gt;&lt;D xsi:type="xsd:double"&gt;19.910519035235939&lt;/D&gt;&lt;/FQL&gt;&lt;FQL&gt;&lt;Q&gt;GIS-US^FF_ROE(ANN_R,12/30/2015)&lt;/Q&gt;&lt;R&gt;1&lt;/R&gt;&lt;C&gt;1&lt;/C&gt;&lt;D xsi:type="xsd:double"&gt;21.181979794476&lt;/D&gt;&lt;/FQL&gt;&lt;FQL&gt;&lt;Q&gt;GPC-US^FF_ROE(ANN_R,12/30/2015)&lt;/Q&gt;&lt;R&gt;1&lt;/R&gt;&lt;C&gt;1&lt;/C&gt;&lt;D xsi:type="xsd:double"&gt;21.391024374458858&lt;/D&gt;&lt;/FQL&gt;&lt;FQL&gt;&lt;Q&gt;GILD-US^FF_ROE(ANN_R,12/30/2015)&lt;/Q&gt;&lt;R&gt;1&lt;/R&gt;&lt;C&gt;1&lt;/C&gt;&lt;D xsi:type="xsd:double"&gt;90.3225955732822&lt;/D&gt;&lt;/FQL&gt;&lt;FQL&gt;&lt;Q&gt;BGC-US^FF_ROE(ANN_R,12/30/2015)&lt;/Q&gt;&lt;R&gt;1&lt;/R&gt;&lt;C&gt;1&lt;/C&gt;&lt;D xsi:type="xsd:double"&gt;-72.458581077180611&lt;/D&gt;&lt;/FQL&gt;&lt;FQL&gt;&lt;Q&gt;IT-US^FF_ROE(ANN_R,12/30/2015)&lt;/Q&gt;&lt;R&gt;1&lt;/R&gt;&lt;C&gt;1&lt;/C&gt;&lt;D xsi:type="xsd:double"&gt;70.342802787437776&lt;/D&gt;&lt;/FQL&gt;&lt;FQL&gt;&lt;Q&gt;GSS-US^FF_ROE(ANN_R,12/30/2015)&lt;/Q&gt;&lt;R&gt;1&lt;/R&gt;&lt;C&gt;1&lt;/C&gt;&lt;D xsi:type="xsd:double"&gt;-200.53784833373649&lt;/D&gt;&lt;/FQL&gt;&lt;FQL&gt;&lt;Q&gt;GT-US^FF_ROE(ANN_R,12/30/2015)&lt;/Q&gt;&lt;R&gt;1&lt;/R&gt;&lt;C&gt;1&lt;/C&gt;&lt;D xsi:type="xsd:double"&gt;94.018404907975466&lt;/D&gt;&lt;/FQL&gt;&lt;FQL&gt;&lt;Q&gt;MCK-US^FF_ROE(ANN_R,12/30/2015)&lt;/Q&gt;&lt;R&gt;1&lt;/R&gt;&lt;C&gt;1&lt;/C&gt;&lt;D xsi:type="xsd:double"&gt;21.48520244507656&lt;/D&gt;&lt;/FQL&gt;&lt;FQL&gt;&lt;Q&gt;NVDA-US^FF_ROE(ANN_R,12/30/2015)&lt;/Q&gt;&lt;R&gt;1&lt;/R&gt;&lt;C&gt;1&lt;/C&gt;&lt;D xsi:type="xsd:double"&gt;14.211404064283929&lt;/D&gt;&lt;/FQL&gt;&lt;FQL&gt;&lt;Q&gt;GGG-US^FF_ROE(ANN_R,12/30/2015)&lt;/Q&gt;&lt;R&gt;1&lt;/R&gt;&lt;C&gt;1&lt;/C&gt;&lt;D xsi:type="xsd:double"&gt;36.666701885651541&lt;/D&gt;&lt;/FQL&gt;&lt;FQL&gt;&lt;Q&gt;GE-US^FF_ROE(ANN_R,12/30/2015)&lt;/Q&gt;&lt;R&gt;1&lt;/R&gt;&lt;C&gt;1&lt;/C&gt;&lt;D xsi:type="xsd:double"&gt;7.3599381582761616&lt;/D&gt;&lt;/FQL&gt;&lt;FQL&gt;&lt;Q&gt;GWW-US^FF_ROE(ANN_R,12/30/2015)&lt;/Q&gt;&lt;R&gt;1&lt;/R&gt;&lt;C&gt;1&lt;/C&gt;&lt;D xsi:type="xsd:double"&gt;24.525293677857569&lt;/D&gt;&lt;/FQL&gt;&lt;FQL&gt;&lt;Q&gt;GES-US^FF_ROE(ANN_R,12/30/2015)&lt;/Q&gt;&lt;R&gt;1&lt;/R&gt;&lt;C&gt;1&lt;/C&gt;&lt;D xsi:type="xsd:double"&gt;8.4284028235885433&lt;/D&gt;&lt;/FQL&gt;&lt;FQL&gt;&lt;Q&gt;GEF-US^FF_ROE(ANN_R,12/30/2015)&lt;/Q&gt;&lt;R&gt;1&lt;/R&gt;&lt;C&gt;1&lt;/C&gt;&lt;D xsi:type="xsd:double"&gt;6.6645038698614281&lt;/D&gt;&lt;/FQL&gt;&lt;FQL&gt;&lt;Q&gt;KWKAQ-US^FF_ROE(ANN_R,12/30/2015)&lt;/Q&gt;&lt;R&gt;0&lt;/R&gt;&lt;C&gt;0&lt;/C&gt;&lt;/FQL&gt;&lt;FQL&gt;&lt;Q&gt;NUAN-US^FF_ROE(ANN_R,12/30/2015)&lt;/Q&gt;&lt;R&gt;1&lt;/R&gt;&lt;C&gt;1&lt;/C&gt;&lt;D xsi:type="xsd:double"&gt;-4.7453769605986409&lt;/D&gt;&lt;/FQL&gt;&lt;FQL&gt;&lt;Q&gt;HAL-US^FF_ROE(ANN_R,12/30/2015)&lt;/Q&gt;&lt;R&gt;1&lt;/R&gt;&lt;C&gt;1&lt;/C&gt;&lt;D xsi:type="xsd:double"&gt;23.023318145269361&lt;/D&gt;&lt;/FQL&gt;&lt;FQL&gt;&lt;Q&gt;GS-US^FF_ROE(ANN_R,12/30/2015)&lt;/Q&gt;&lt;R&gt;1&lt;/R&gt;&lt;C&gt;1&lt;/C&gt;&lt;D xsi:type="xsd:double"&gt;10.513195753546981&lt;/D&gt;&lt;/FQL&gt;&lt;FQL&gt;&lt;Q&gt;SFG-US^FF_ROE(ANN_R,12/30/2015)&lt;/Q&gt;&lt;R&gt;1&lt;/R&gt;&lt;C&gt;1&lt;/C&gt;&lt;D xsi:type="xsd:double"&gt;10.14197844887388&lt;/D&gt;&lt;/FQL&gt;&lt;FQL&gt;&lt;Q&gt;HOG-US^FF_ROE(ANN_R,12/30/2015)&lt;/Q&gt;&lt;R&gt;1&lt;/R&gt;&lt;C&gt;1&lt;/C&gt;&lt;D xsi:type="xsd:double"&gt;28.540075542697029&lt;/D&gt;&lt;/FQL&gt;&lt;FQL&gt;&lt;Q&gt;HAR-US^FF_ROE(ANN_R,12/30/2015)&lt;/Q&gt;&lt;R&gt;1&lt;/R&gt;&lt;C&gt;1&lt;/C&gt;&lt;D xsi:type="xsd:double"&gt;16.446570363585451&lt;/D&gt;&lt;/FQL&gt;&lt;FQL&gt;&lt;Q&gt;HRS-US^FF_ROE(ANN_R,12/30/2015)&lt;/Q&gt;&lt;R&gt;1&lt;/R&gt;&lt;C&gt;1&lt;/C&gt;&lt;D xsi:type="xsd:double"&gt;12.751292360712229&lt;/D&gt;&lt;/FQL&gt;&lt;FQL&gt;&lt;Q&gt;HSC-US^FF_ROE(ANN_R,12/30/2015)&lt;/Q&gt;&lt;R&gt;1&lt;/R&gt;&lt;C&gt;1&lt;/C&gt;&lt;D xsi:type="xsd:double"&gt;-5.1142506283497644&lt;/D&gt;&lt;/FQL&gt;&lt;FQL&gt;&lt;Q&gt;LPNT-US^FF_ROE(ANN_R,12/30/2015)&lt;/Q&gt;&lt;R&gt;1&lt;/R&gt;&lt;C&gt;1&lt;/C&gt;&lt;D xsi:type="xsd:double"&gt;5.7781749032006777&lt;/D&gt;&lt;/FQL&gt;&lt;FQL&gt;&lt;Q&gt;CNX-US^FF_ROE(ANN_R,12/30/2015)&lt;/Q&gt;&lt;R&gt;1&lt;/R&gt;&lt;C&gt;1&lt;/C&gt;&lt;D xsi:type="xsd:double"&gt;3.26588876449859&lt;/D&gt;&lt;/FQL&gt;&lt;FQL&gt;&lt;Q&gt;HAS-US^FF_ROE(ANN_R,12/30/2015)&lt;/Q&gt;&lt;R&gt;1&lt;/R&gt;&lt;C&gt;1&lt;/C&gt;&lt;D xsi:type="xsd:double"&gt;26.424973006730919&lt;/D&gt;&lt;/FQL&gt;&lt;FQL&gt;&lt;Q&gt;HE-US^FF_ROE(ANN_R,12/30/2015)&lt;/Q&gt;&lt;R&gt;1&lt;/R&gt;&lt;C&gt;1&lt;/C&gt;&lt;D xsi:type="xsd:double"&gt;9.4901596951730163&lt;/D&gt;&lt;/FQL&gt;&lt;FQL&gt;&lt;Q&gt;HSIC-US^FF_ROE(ANN_R,12/30/2015)&lt;/Q&gt;&lt;R&gt;1&lt;/R&gt;&lt;C&gt;1&lt;/C&gt;&lt;D xsi:type="xsd:double"&gt;16.64920158655681&lt;/D&gt;&lt;/FQL&gt;&lt;FQL&gt;&lt;Q&gt;WCC-US^FF_ROE(ANN_R,12/30/2015)&lt;/Q&gt;&lt;R&gt;1&lt;/R&gt;&lt;C&gt;1&lt;/C&gt;&lt;D xsi:type="xsd:double"&gt;14.94024168659152&lt;/D&gt;&lt;/FQL&gt;&lt;FQL&gt;&lt;Q&gt;HCP-US^FF_ROE(ANN_R,12/30/2015)&lt;/Q&gt;&lt;R&gt;1&lt;/R&gt;&lt;C&gt;1&lt;/C&gt;&lt;D xsi:type="xsd:double"&gt;8.641198676688882&lt;/D&gt;&lt;/FQL&gt;&lt;FQL&gt;&lt;Q&gt;MFA-US^FF_ROE(ANN_R,12/30/2015)&lt;/Q&gt;&lt;R&gt;1&lt;/R&gt;&lt;C&gt;1&lt;/C&gt;&lt;D xsi:type="xsd:double"&gt;9.84624907986308&lt;/D&gt;&lt;/FQL&gt;&lt;FQL&gt;&lt;Q&gt;DNR-US^FF_ROE(ANN_R,12/30/2015)&lt;/Q&gt;&lt;R&gt;1&lt;/R&gt;&lt;C&gt;1&lt;/C&gt;&lt;D xsi:type="xsd:double"&gt;11.54885726482477&lt;/D&gt;&lt;/FQL&gt;&lt;FQL&gt;&lt;Q&gt;HNT-US^FF_ROE(ANN_R,12/30/2015)&lt;/Q&gt;&lt;R&gt;1&lt;/R&gt;&lt;C&gt;1&lt;/C&gt;&lt;D xsi:type="xsd:double"&gt;8.72543800495681&lt;/D&gt;&lt;/FQL&gt;&lt;FQL&gt;&lt;Q&gt;HP-US^FF_ROE(ANN_R,12/30/2015)&lt;/Q&gt;&lt;R&gt;1&lt;/R&gt;&lt;C&gt;1&lt;/C&gt;&lt;D xsi:type="xsd:double"&gt;8.5835633072477719&lt;/D&gt;&lt;/FQL&gt;&lt;FQL&gt;&lt;Q&gt;FNFG-US^FF_ROE(ANN_R,12/30/2015)&lt;/Q&gt;&lt;R&gt;1&lt;/R&gt;&lt;C&gt;1&lt;/C&gt;&lt;D xsi:type="xsd:double"&gt;-15.760510675764911&lt;/D&gt;&lt;/FQL&gt;&lt;FQL&gt;&lt;Q&gt;BRCD-US^FF_ROE(ANN_R,12/30/2015)&lt;/Q&gt;&lt;R&gt;1&lt;/R&gt;&lt;C&gt;1&lt;/C&gt;&lt;D xsi:type="xsd:double"&gt;13.77538754685733&lt;/D&gt;&lt;/FQL&gt;&lt;FQL&gt;&lt;Q&gt;HSY-US^FF_ROE(ANN_R,12/30/2015)&lt;/Q&gt;&lt;R&gt;1&lt;/R&gt;&lt;C&gt;1&lt;/C&gt;&lt;D xsi:type="xsd:double"&gt;55.355606857226533&lt;/D&gt;&lt;/FQL&gt;&lt;FQL&gt;&lt;Q&gt;HRC-US^FF_ROE(ANN_R,12/30/2015)&lt;/Q&gt;&lt;R&gt;1&lt;/R&gt;&lt;C&gt;1&lt;/C&gt;&lt;D xsi:type="xsd:double"&gt;4.8837923620354253&lt;/D&gt;&lt;/FQL&gt;&lt;FQL&gt;&lt;Q&gt;FFIV-US^FF_ROE(ANN_R,12/30/2015)&lt;/Q&gt;&lt;R&gt;1&lt;/R&gt;&lt;C&gt;1&lt;/C&gt;&lt;D xsi:type="xsd:double"&gt;27.17861772618258&lt;/D&gt;&lt;/FQL&gt;&lt;FQL&gt;&lt;Q&gt;CCK-US^FF_ROE(ANN_R,12/30/2015)&lt;/Q&gt;&lt;R&gt;1&lt;/R&gt;&lt;C&gt;1&lt;/C&gt;&lt;D xsi:type="xsd:double"&gt;629.26829268292681&lt;/D&gt;&lt;/FQL&gt;&lt;FQL&gt;&lt;Q&gt;RAI-US^FF_ROE(ANN_R,12/30/2015)&lt;/Q&gt;&lt;R&gt;1&lt;/R&gt;&lt;C&gt;1&lt;/C&gt;&lt;D xsi:type="xsd:double"&gt;29.827639591289088&lt;/D&gt;&lt;/FQL&gt;&lt;FQL&gt;&lt;Q&gt;SBAC-US^FF_ROE(ANN_R,12/30/2015)&lt;/Q&gt;&lt;R&gt;0&lt;/R&gt;&lt;C&gt;0&lt;/C&gt;&lt;/FQL&gt;&lt;FQL&gt;&lt;Q&gt;UTHR-US^FF_ROE(ANN_R,12/30/2015)&lt;/Q&gt;&lt;R&gt;1&lt;/R&gt;&lt;C&gt;1&lt;/C&gt;&lt;D xsi:type="xsd:double"&gt;26.953698074894369&lt;/D&gt;&lt;/FQL&gt;&lt;FQL&gt;&lt;Q&gt;JNPR-US^FF_ROE(ANN_R,12/30/2015)&lt;/Q&gt;&lt;R&gt;1&lt;/R&gt;&lt;C&gt;1&lt;/C&gt;&lt;D xsi:type="xsd:double"&gt;-5.4707764313125447&lt;/D&gt;&lt;/FQL&gt;&lt;FQL&gt;&lt;Q&gt;HOLX-US^FF_ROE(ANN_R,12/30/2015)&lt;/Q&gt;&lt;R&gt;1&lt;/R&gt;&lt;C&gt;1&lt;/C&gt;&lt;D xsi:type="xsd:double"&gt;6.3541113417990447&lt;/D&gt;&lt;/FQL&gt;&lt;FQL&gt;&lt;Q&gt;UNM-US^FF_ROE(ANN_R,12/30/2015)&lt;/Q&gt;&lt;R&gt;1&lt;/R&gt;&lt;C&gt;1&lt;/C&gt;&lt;D xsi:type="xsd:double"&gt;4.680751993481171&lt;/D&gt;&lt;/FQL&gt;&lt;FQL&gt;&lt;Q&gt;HD-US^FF_ROE(ANN_R,12/30/2015)&lt;/Q&gt;&lt;R&gt;1&lt;/R&gt;&lt;C&gt;1&lt;/C&gt;&lt;D xsi:type="xsd:double"&gt;58.093755722395173&lt;/D&gt;&lt;/FQL&gt;&lt;FQL&gt;&lt;Q&gt;BMRN-US^FF_ROE(ANN_R,12/30/2015)&lt;/Q&gt;&lt;R&gt;1&lt;/R&gt;&lt;C&gt;1&lt;/C&gt;&lt;D xsi:type="xsd:double"&gt;-9.3392844383020179&lt;/D&gt;&lt;/FQL&gt;&lt;FQL&gt;&lt;Q&gt;HRL-US^FF_ROE(ANN_R,12/30/2015)&lt;/Q&gt;&lt;R&gt;1&lt;/R&gt;&lt;C&gt;1&lt;/C&gt;&lt;D xsi:type="xsd:double"&gt;18.045744038961178&lt;/D&gt;&lt;/FQL&gt;&lt;FQL&gt;&lt;Q&gt;HPT-US^FF_ROE(ANN_R,12/30/2015)&lt;/Q&gt;&lt;R&gt;1&lt;/R&gt;&lt;C&gt;1&lt;/C&gt;&lt;D xsi:type="xsd:double"&gt;6.4852638008704293&lt;/D&gt;&lt;/FQL&gt;&lt;FQL&gt;&lt;Q&gt;TCM-CA^FF_ROE(ANN_R,12/30/2015)&lt;/Q&gt;&lt;R&gt;1&lt;/R&gt;&lt;C&gt;1&lt;/C&gt;&lt;D xsi:type="xsd:double"&gt;-12.451714489622519&lt;/D&gt;&lt;/FQL&gt;&lt;FQL&gt;&lt;Q&gt;CNP-US^FF_ROE(ANN_R,12/30/2015)&lt;/Q&gt;&lt;R&gt;1&lt;/R&gt;&lt;C&gt;1&lt;/C&gt;&lt;D xsi:type="xsd:double"&gt;13.76591190717585&lt;/D&gt;&lt;/FQL&gt;&lt;FQL&gt;&lt;Q&gt;LII-US^FF_ROE(ANN_R,12/30/2015)&lt;/Q&gt;&lt;R&gt;1&lt;/R&gt;&lt;C&gt;1&lt;/C&gt;&lt;D xsi:type="xsd:double"&gt;84.370565578755347&lt;/D&gt;&lt;/FQL&gt;&lt;FQL&gt;&lt;Q&gt;FCS-US^FF_ROE(ANN_R,12/30/2015)&lt;/Q&gt;&lt;R&gt;1&lt;/R&gt;&lt;C&gt;1&lt;/C&gt;&lt;D xsi:type="xsd:double"&gt;-2.7558130431378691&lt;/D&gt;&lt;/FQL&gt;&lt;FQL&gt;&lt;Q&gt;HUM-US^FF_ROE(ANN_R,12/30/2015)&lt;/Q&gt;&lt;R&gt;1&lt;/R&gt;&lt;C&gt;1&lt;/C&gt;&lt;D xsi:type="xsd:double"&gt;12.09787997046725&lt;/D&gt;&lt;/FQL&gt;&lt;FQL&gt;&lt;Q&gt;JBHT-US^FF_ROE(ANN_R,12/30/2015)&lt;/Q&gt;&lt;R&gt;1&lt;/R&gt;&lt;C&gt;1&lt;/C&gt;&lt;D xsi:type="xsd:double"&gt;33.811116498832867&lt;/D&gt;&lt;/FQL&gt;&lt;FQL&gt;&lt;Q&gt;HBAN-US^FF_ROE(ANN_R,12/30/2015)&lt;/Q&gt;&lt;R&gt;1&lt;/R&gt;&lt;C&gt;1&lt;/C&gt;&lt;D xsi:type="xsd:double"&gt;10.17730607452364&lt;/D&gt;&lt;/FQL&gt;&lt;FQL&gt;&lt;Q&gt;RHT-US^FF_ROE(ANN_R,12/30/2015)&lt;/Q&gt;&lt;R&gt;1&lt;/R&gt;&lt;C&gt;1&lt;/C&gt;&lt;D xsi:type="xsd:double"&gt;12.692432443283209&lt;/D&gt;&lt;/FQL&gt;&lt;FQL&gt;&lt;Q&gt;ESINQ-US^FF_ROE(ANN_R,12/30/2015)&lt;/Q&gt;&lt;R&gt;1&lt;/R&gt;&lt;C&gt;1&lt;/C&gt;&lt;D xsi:type="xsd:double"&gt;18.09730014977611&lt;/D&gt;&lt;/FQL&gt;&lt;FQL&gt;&lt;Q&gt;EGP-US^FF_ROE(ANN_R,12/30/2015)&lt;/Q&gt;&lt;R&gt;1&lt;/R&gt;&lt;C&gt;1&lt;/C&gt;&lt;D xsi:type="xsd:double"&gt;8.8360164294133323&lt;/D&gt;&lt;/FQL&gt;&lt;FQL&gt;&lt;Q&gt;BIIB-US^FF_ROE(ANN_R,12/30/2015)&lt;/Q&gt;&lt;R&gt;1&lt;/R&gt;&lt;C&gt;1&lt;/C&gt;&lt;D xsi:type="xsd:double"&gt;30.20995352780437&lt;/D&gt;&lt;/FQL&gt;&lt;FQL&gt;&lt;Q&gt;IEX-US^FF_ROE(ANN_R,12/30/2015)&lt;/Q&gt;&lt;R&gt;1&lt;/R&gt;&lt;C&gt;1&lt;/C&gt;&lt;D xsi:type="xsd:double"&gt;18.178882409852779&lt;/D&gt;&lt;/FQL&gt;&lt;FQL&gt;&lt;Q&gt;ITW-US^FF_ROE(ANN_R,12/30/2015)&lt;/Q&gt;&lt;R&gt;1&lt;/R&gt;&lt;C&gt;1&lt;/C&gt;&lt;D xsi:type="xsd:double"&gt;22.878586127587461&lt;/D&gt;&lt;/FQL&gt;&lt;FQL&gt;&lt;Q&gt;INTU-US^FF_ROE(ANN_R,12/30/2015)&lt;/Q&gt;&lt;R&gt;1&lt;/R&gt;&lt;C&gt;1&lt;/C&gt;&lt;D xsi:type="xsd:double"&gt;15.26802218114603&lt;/D&gt;&lt;/FQL&gt;&lt;FQL&gt;&lt;Q&gt;IDXX-US^FF_ROE(ANN_R,12/30/2015)&lt;/Q&gt;&lt;R&gt;1&lt;/R&gt;&lt;C&gt;1&lt;/C&gt;&lt;D xsi:type="xsd:double"&gt;57.2299599497878&lt;/D&gt;&lt;/FQL&gt;&lt;FQL&gt;&lt;Q&gt;IDTI-US^FF_ROE(ANN_R,12/30/2015)&lt;/Q&gt;&lt;R&gt;1&lt;/R&gt;&lt;C&gt;1&lt;/C&gt;&lt;D xsi:type="xsd:double"&gt;15.05555778199853&lt;/D&gt;&lt;/FQL&gt;&lt;FQL&gt;&lt;Q&gt;INTC-US^FF_ROE(ANN_R,12/30/2015)&lt;/Q&gt;&lt;R&gt;1&lt;/R&gt;&lt;C&gt;1&lt;/C&gt;&lt;D xsi:type="xsd:double"&gt;20.348943346691819&lt;/D&gt;&lt;/FQL&gt;&lt;FQL&gt;&lt;Q&gt;IFF-US^FF_ROE(ANN_R,12/30/2015)&lt;/Q&gt;&lt;R&gt;1&lt;/R&gt;&lt;C&gt;1&lt;/C&gt;&lt;D xsi:type="xsd:double"&gt;27.645454688756129&lt;/D&gt;&lt;/FQL&gt;&lt;FQL&gt;&lt;Q&gt;IP-US^FF_ROE(ANN_R,12/30/2015)&lt;/Q&gt;&lt;R&gt;1&lt;/R&gt;&lt;C&gt;1&lt;/C&gt;&lt;D xsi:type="xsd:double"&gt;8.59304084720121&lt;/D&gt;&lt;/FQL&gt;&lt;FQL&gt;&lt;Q&gt;IDCC-US^FF_ROE(ANN_R,12/30/2015)&lt;/Q&gt;&lt;R&gt;1&lt;/R&gt;&lt;C&gt;1&lt;/C&gt;&lt;D xsi:type="xsd:double"&gt;20.93165546280861&lt;/D&gt;&lt;/FQL&gt;&lt;FQL&gt;&lt;Q&gt;IPG-US^FF_ROE(ANN_R,12/30/2015)&lt;/Q&gt;&lt;R&gt;1&lt;/R&gt;&lt;C&gt;1&lt;/C&gt;&lt;D xsi:type="xsd:double"&gt;22.0293200969641&lt;/D&gt;&lt;/FQL&gt;&lt;FQL&gt;&lt;Q&gt;JEC-US^FF_ROE(ANN_R,12/30/2015)&lt;/Q&gt;&lt;R&gt;1&lt;/R&gt;&lt;C&gt;1&lt;/C&gt;&lt;D xsi:type="xsd:double"&gt;6.9163565802990528&lt;/D&gt;&lt;/FQL&gt;&lt;FQL&gt;&lt;Q&gt;JBL-US^FF_ROE(ANN_R,12/30/2015)&lt;/Q&gt;&lt;R&gt;1&lt;/R&gt;&lt;C&gt;1&lt;/C&gt;&lt;D xsi:type="xsd:double"&gt;12.84232130206966&lt;/D&gt;&lt;/FQL&gt;&lt;FQL&gt;&lt;Q&gt;ITRI-US^FF_ROE(ANN_R,12/30/2015)&lt;/Q&gt;&lt;R&gt;1&lt;/R&gt;&lt;C&gt;1&lt;/C&gt;&lt;D xsi:type="xsd:double"&gt;-2.9532733401366862&lt;/D&gt;&lt;/FQL&gt;&lt;FQL&gt;&lt;Q&gt;INCY-US^FF_ROE(ANN_R,12/30/2015)&lt;/Q&gt;&lt;R&gt;0&lt;/R&gt;&lt;C&gt;0&lt;/C&gt;&lt;/FQL&gt;&lt;FQL&gt;&lt;Q&gt;ITG-US^FF_ROE(ANN_R,12/30/2015)&lt;/Q&gt;&lt;R&gt;1&lt;/R&gt;&lt;C&gt;1&lt;/C&gt;&lt;D xsi:type="xsd:double"&gt;12.21855687924055&lt;/D&gt;&lt;/FQL&gt;&lt;FQL&gt;&lt;Q&gt;RYN-US^FF_ROE(ANN_R,12/30/2015)&lt;/Q&gt;&lt;R&gt;1&lt;/R&gt;&lt;C&gt;1&lt;/C&gt;&lt;D xsi:type="xsd:double"&gt;3.5517709960503421&lt;/D&gt;&lt;/FQL&gt;&lt;FQL&gt;&lt;Q&gt;EME-US^FF_ROE(ANN_R,12/30/2015)&lt;/Q&gt;&lt;R&gt;1&lt;/R&gt;&lt;C&gt;1&lt;/C&gt;&lt;D xsi:type="xsd:double"&gt;12.0289576508581&lt;/D&gt;&lt;/FQL&gt;&lt;FQL&gt;&lt;Q&gt;JNJ-US^FF_ROE(ANN_R,12/30/2015)&lt;/Q&gt;&lt;R&gt;1&lt;/R&gt;&lt;C&gt;1&lt;/C&gt;&lt;D xsi:type="xsd:double"&gt;22.70157504954626&lt;/D&gt;&lt;/FQL&gt;&lt;FQL&gt;&lt;Q&gt;HIG-US^FF_ROE(ANN_R,12/30/2015)&lt;/Q&gt;&lt;R&gt;1&lt;/R&gt;&lt;C&gt;1&lt;/C&gt;&lt;D xsi:type="xsd:double"&gt;7.170764119601329&lt;/D&gt;&lt;/FQL&gt;&lt;FQL&gt;&lt;Q&gt;JCI.XX1-US^FF_ROE(ANN_R,12/30/2015)&lt;/Q&gt;&lt;R&gt;1&lt;/R&gt;&lt;C&gt;1&lt;/C&gt;&lt;D xsi:type="xsd:double"&gt;13.29575903169177&lt;/D&gt;&lt;/FQL&gt;&lt;FQL&gt;&lt;Q&gt;ISCA-US^FF_ROE(ANN_R,12/30/2015)&lt;/Q&gt;&lt;R&gt;1&lt;/R&gt;&lt;C&gt;1&lt;/C&gt;&lt;D xsi:type="xsd:double"&gt;4.134401256804253&lt;/D&gt;&lt;/FQL&gt;&lt;FQL&gt;&lt;Q&gt;KLAC-US^FF_ROE(ANN_R,12/30/2015)&lt;/Q&gt;&lt;R&gt;1&lt;/R&gt;&lt;C&gt;1&lt;/C&gt;&lt;D xsi:type="xsd:double"&gt;17.90160079300183&lt;/D&gt;&lt;/FQL&gt;&lt;FQL&gt;&lt;Q&gt;DVN-US^FF_ROE(ANN_R,12/30/2015)&lt;/Q&gt;&lt;R&gt;1&lt;/R&gt;&lt;C&gt;1&lt;/C&gt;&lt;D xsi:type="xsd:double"&gt;7.5645844236167283&lt;/D&gt;&lt;/FQL&gt;&lt;FQL&gt;&lt;Q&gt;GXP-US^FF_ROE(ANN_R,12/30/2015)&lt;/Q&gt;&lt;R&gt;1&lt;/R&gt;&lt;C&gt;1&lt;/C&gt;&lt;D xsi:type="xsd:double"&gt;6.8025495552286914&lt;/D&gt;&lt;/FQL&gt;&lt;FQL&gt;&lt;Q&gt;WR-US^FF_ROE(ANN_R,12/30/2015)&lt;/Q&gt;&lt;R&gt;1&lt;/R&gt;&lt;C&gt;1&lt;/C&gt;&lt;D xsi:type="xsd:double"&gt;9.8297321486151272&lt;/D&gt;&lt;/FQL&gt;&lt;FQL&gt;&lt;Q&gt;KBH-US^FF_ROE(ANN_R,12/30/2015)&lt;/Q&gt;&lt;R&gt;1&lt;/R&gt;&lt;C&gt;1&lt;/C&gt;&lt;D xsi:type="xsd:double"&gt;5.1319482137945638&lt;/D&gt;&lt;/FQL&gt;&lt;FQL&gt;&lt;Q&gt;K-US^FF_ROE(ANN_R,12/30/2015)&lt;/Q&gt;&lt;R&gt;1&lt;/R&gt;&lt;C&gt;1&lt;/C&gt;&lt;D xsi:type="xsd:double"&gt;19.955794126934009&lt;/D&gt;&lt;/FQL&gt;&lt;FQL&gt;&lt;Q&gt;EWBC-US^FF_ROE(ANN_R,12/30/2015)&lt;/Q&gt;&lt;R&gt;1&lt;/R&gt;&lt;C&gt;1&lt;/C&gt;&lt;D xsi:type="xsd:double"&gt;13.2317919766084&lt;/D&gt;&lt;/FQL&gt;&lt;FQL&gt;&lt;Q&gt;KMT-US^FF_ROE(ANN_R,12/30/2015)&lt;/Q&gt;&lt;R&gt;1&lt;/R&gt;&lt;C&gt;1&lt;/C&gt;&lt;D xsi:type="xsd:double"&gt;-22.83290428306265&lt;/D&gt;&lt;/FQL&gt;&lt;FQL&gt;&lt;Q&gt;IM-US^FF_ROE(ANN_R,12/30/2015)&lt;/Q&gt;&lt;R&gt;1&lt;/R&gt;&lt;C&gt;1&lt;/C&gt;&lt;D xsi:type="xsd:double"&gt;6.5724258577865848&lt;/D&gt;&lt;/FQL&gt;&lt;FQL&gt;&lt;Q&gt;KEY-US^FF_ROE(ANN_R,12/30/2015)&lt;/Q&gt;&lt;R&gt;1&lt;/R&gt;&lt;C&gt;1&lt;/C&gt;&lt;D xsi:type="xsd:double"&gt;9.0145442327077241&lt;/D&gt;&lt;/FQL&gt;&lt;FQL&gt;&lt;Q&gt;KIM-US^FF_ROE(ANN_R,12/30/2015)&lt;/Q&gt;&lt;R&gt;1&lt;/R&gt;&lt;C&gt;1&lt;/C&gt;&lt;D xsi:type="xsd:double"&gt;5.650139116817094&lt;/D&gt;&lt;/FQL&gt;&lt;FQL&gt;&lt;Q&gt;KMB-US^FF_ROE(ANN_R,12/30/2015)&lt;/Q&gt;&lt;R&gt;1&lt;/R&gt;&lt;C&gt;1&lt;/C&gt;&lt;D xsi:type="xsd:double"&gt;52.855863921217548&lt;/D&gt;&lt;/FQL&gt;&lt;FQL&gt;&lt;Q&gt;KEX-US^FF_ROE(ANN_R,12/30/2015)&lt;/Q&gt;&lt;R&gt;1&lt;/R&gt;&lt;C&gt;1&lt;/C&gt;&lt;D xsi:type="xsd:double"&gt;13.148008240630929&lt;/D&gt;&lt;/FQL&gt;&lt;FQL&gt;&lt;Q&gt;BLK-US^FF_ROE(ANN_R,12/30/2015)&lt;/Q&gt;&lt;R&gt;1&lt;/R&gt;&lt;C&gt;1&lt;/C&gt;&lt;D xsi:type="xsd:double"&gt;12.23943818972244&lt;/D&gt;&lt;/FQL&gt;&lt;FQL&gt;&lt;Q&gt;KSS-US^FF_ROE(ANN_R,12/30/2015)&lt;/Q&gt;&lt;R&gt;1&lt;/R&gt;&lt;C&gt;1&lt;/C&gt;&lt;D xsi:type="xsd:double"&gt;14.487425850112791&lt;/D&gt;&lt;/FQL&gt;&lt;FQL&gt;&lt;Q&gt;KR-US^FF_ROE(ANN_R,12/30/2015)&lt;/Q&gt;&lt;R&gt;1&lt;/R&gt;&lt;C&gt;1&lt;/C&gt;&lt;D xsi:type="xsd:double"&gt;31.696924786958132&lt;/D&gt;&lt;/FQL&gt;&lt;FQL&gt;&lt;Q&gt;SNH-US^FF_ROE(ANN_R,12/30/2015)&lt;/Q&gt;&lt;R&gt;1&lt;/R&gt;&lt;C&gt;1&lt;/C&gt;&lt;D xsi:type="xsd:double"&gt;5.4525468304163294&lt;/D&gt;&lt;/FQL&gt;&lt;FQL&gt;&lt;Q&gt;LRCX-US^FF_ROE(ANN_R,12/30/2015)&lt;/Q&gt;&lt;R&gt;1&lt;/R&gt;&lt;C&gt;1&lt;/C&gt;&lt;D xsi:type="xsd:double"&gt;12.93959989061351&lt;/D&gt;&lt;/FQL&gt;&lt;FQL&gt;&lt;Q&gt;LSTR-US^FF_ROE(ANN_R,12/30/2015)&lt;/Q&gt;&lt;R&gt;1&lt;/R&gt;&lt;C&gt;1&lt;/C&gt;&lt;D xsi:type="xsd:double"&gt;29.447929550184469&lt;/D&gt;&lt;/FQL&gt;&lt;FQL&gt;&lt;Q&gt;PKG-US^FF_ROE(ANN_R,12/30/2015)&lt;/Q&gt;&lt;R&gt;1&lt;/R&gt;&lt;C&gt;1&lt;/C&gt;&lt;D xsi:type="xsd:double"&gt;27.300165995452321&lt;/D&gt;&lt;/FQL&gt;&lt;FQL&gt;&lt;Q&gt;AKAM-US^FF_ROE(ANN_R,12/30/2015)&lt;/Q&gt;&lt;R&gt;1&lt;/R&gt;&lt;C&gt;1&lt;/C&gt;&lt;D xsi:type="xsd:double"&gt;11.98070017647377&lt;/D&gt;&lt;/FQL&gt;&lt;FQL&gt;&lt;Q&gt;LM-US^FF_ROE(ANN_R,12/30/2015)&lt;/Q&gt;&lt;R&gt;1&lt;/R&gt;&lt;C&gt;1&lt;/C&gt;&lt;D xsi:type="xsd:double"&gt;5.0108446326533382&lt;/D&gt;&lt;/FQL&gt;&lt;FQL&gt;&lt;Q&gt;LEG-US^FF_ROE(ANN_R,12/30/2015)&lt;/Q&gt;&lt;R&gt;1&lt;/R&gt;&lt;C&gt;1&lt;/C&gt;&lt;D xsi:type="xsd:double"&gt;17.495468516037509&lt;/D&gt;&lt;/FQL&gt;&lt;FQL&gt;&lt;Q&gt;LXK-US^FF_ROE(ANN_R,12/30/2015)&lt;/Q&gt;&lt;R&gt;1&lt;/R&gt;&lt;C&gt;1&lt;/C&gt;&lt;D xsi:type="xsd:double"&gt;6.0115519075847388&lt;/D&gt;&lt;/FQL&gt;&lt;FQL&gt;&lt;Q&gt;LEN-US^FF_ROE(ANN_R,12/30/2015)&lt;/Q&gt;&lt;R&gt;1&lt;/R&gt;&lt;C&gt;1&lt;/C&gt;&lt;D xsi:type="xsd:double"&gt;15.161602311729981&lt;/D&gt;&lt;/FQL&gt;&lt;FQL&gt;&lt;Q&gt;TEN-US^FF_ROE(ANN_R,12/30/2015)&lt;/Q&gt;&lt;R&gt;1&lt;/R&gt;&lt;C&gt;1&lt;/C&gt;&lt;D xsi:type="xsd:double"&gt;48.602150537634408&lt;/D&gt;&lt;/FQL&gt;&lt;FQL&gt;&lt;Q&gt;LUK-US^FF_ROE(ANN_R,12/30/2015)&lt;/Q&gt;&lt;R&gt;1&lt;/R&gt;&lt;C&gt;1&lt;/C&gt;&lt;D xsi:type="xsd:double"&gt;2.1286569300234039&lt;/D&gt;&lt;/FQL&gt;&lt;FQL&gt;&lt;Q&gt;LPT-US^FF_ROE(ANN_R,12/30/2015)&lt;/Q&gt;&lt;R&gt;1&lt;/R&gt;&lt;C&gt;1&lt;/C&gt;&lt;D xsi:type="xsd:double"&gt;5.6228432480428854&lt;/D&gt;&lt;/FQL&gt;&lt;FQL&gt;&lt;Q&gt;LLY-US^FF_ROE(ANN_R,12/30/2015)&lt;/Q&gt;&lt;R&gt;1&lt;/R&gt;&lt;C&gt;1&lt;/C&gt;&lt;D xsi:type="xsd:double"&gt;14.485859546851041&lt;/D&gt;&lt;/FQL&gt;&lt;FQL&gt;&lt;Q&gt;LNC-US^FF_ROE(ANN_R,12/30/2015)&lt;/Q&gt;&lt;R&gt;1&lt;/R&gt;&lt;C&gt;1&lt;/C&gt;&lt;D xsi:type="xsd:double"&gt;10.372704850644009&lt;/D&gt;&lt;/FQL&gt;&lt;FQL&gt;&lt;Q&gt;LLTC-US^FF_ROE(ANN_R,12/30/2015)&lt;/Q&gt;&lt;R&gt;1&lt;/R&gt;&lt;C&gt;1&lt;/C&gt;&lt;D xsi:type="xsd:double"&gt;35.813681385462317&lt;/D&gt;&lt;/FQL&gt;&lt;FQL&gt;&lt;Q&gt;LECO-US^FF_ROE(ANN_R,12/30/2015)&lt;/Q&gt;&lt;R&gt;1&lt;/R&gt;&lt;C&gt;1&lt;/C&gt;&lt;D xsi:type="xsd:double"&gt;18.132595933789251&lt;/D&gt;&lt;/FQL&gt;&lt;FQL&gt;&lt;Q&gt;UPS-US^FF_ROE(ANN_R,12/30/2015)&lt;/Q&gt;&lt;R&gt;1&lt;/R&gt;&lt;C&gt;1&lt;/C&gt;&lt;D xsi:type="xsd:double"&gt;70.388856645385957&lt;/D&gt;&lt;/FQL&gt;&lt;FQL&gt;&lt;Q&gt;BDN-US^FF_ROE(ANN_R,12/30/2015)&lt;/Q&gt;&lt;R&gt;1&lt;/R&gt;&lt;C&gt;1&lt;/C&gt;&lt;D xsi:type="xsd:double"&gt;0.28299596614441752&lt;/D&gt;&lt;/FQL&gt;&lt;FQL&gt;&lt;Q&gt;A-US^FF_ROE(ANN_R,12/30/2015)&lt;/Q&gt;&lt;R&gt;1&lt;/R&gt;&lt;C&gt;1&lt;/C&gt;&lt;D xsi:type="xsd:double"&gt;9.2522179974651451&lt;/D&gt;&lt;/FQL&gt;&lt;FQL&gt;&lt;Q&gt;LMT-US^FF_ROE(ANN_R,12/30/2015)&lt;/Q&gt;&lt;R&gt;1&lt;/R&gt;&lt;C&gt;1&lt;/C&gt;&lt;D xsi:type="xsd:double"&gt;86.895888434719879&lt;/D&gt;&lt;/FQL&gt;&lt;FQL&gt;&lt;Q&gt;L-US^FF_ROE(ANN_R,12/30/2015)&lt;/Q&gt;&lt;R&gt;1&lt;/R&gt;&lt;C&gt;1&lt;/C&gt;&lt;D xsi:type="xsd:double"&gt;5.0699571480200323&lt;/D&gt;&lt;/FQL&gt;&lt;FQL&gt;&lt;Q&gt;CCL-US^FF_ROE(ANN_R,12/30/2015)&lt;/Q&gt;&lt;R&gt;1&lt;/R&gt;&lt;C&gt;1&lt;/C&gt;&lt;D xsi:type="xsd:double"&gt;7.3118458561351671&lt;/D&gt;&lt;/FQL&gt;&lt;FQL&gt;&lt;Q&gt;RRC-US^FF_ROE(ANN_R,12/30/2015)&lt;/Q&gt;&lt;R&gt;1&lt;/R&gt;&lt;C&gt;1&lt;/C&gt;&lt;D xsi:type="xsd:double"&gt;21.242153919672418&lt;/D&gt;&lt;/FQL&gt;&lt;FQL&gt;&lt;Q&gt;ATI-US^FF_ROE(ANN_R,12/30/2015)&lt;/Q&gt;&lt;R&gt;1&lt;/R&gt;&lt;C&gt;1&lt;/C&gt;&lt;D xsi:type="xsd:double"&gt;-0.083749044168517625&lt;/D&gt;&lt;/FQL&gt;&lt;FQL&gt;&lt;Q&gt;LOW-US^FF_ROE(ANN_R,12/30/2015)&lt;/Q&gt;&lt;R&gt;1&lt;/R&gt;&lt;C&gt;1&lt;/C&gt;&lt;D xsi:type="xsd:double"&gt;24.581824847623849&lt;/D&gt;&lt;/FQL&gt;&lt;FQL&gt;&lt;Q&gt;D-US^FF_ROE(ANN_R,12/30/2015)&lt;/Q&gt;&lt;R&gt;1&lt;/R&gt;&lt;C&gt;1&lt;/C&gt;&lt;D xsi:type="xsd:double"&gt;11.170802421761749&lt;/D&gt;&lt;/FQL&gt;&lt;FQL&gt;&lt;Q&gt;MAC-US^FF_ROE(ANN_R,12/30/2015)&lt;/Q&gt;&lt;R&gt;1&lt;/R&gt;&lt;C&gt;1&lt;/C&gt;&lt;D xsi:type="xsd:double"&gt;0.019780263497557311&lt;/D&gt;&lt;/FQL&gt;&lt;FQL&gt;&lt;Q&gt;SCG-US^FF_ROE(ANN_R,12/30/2015)&lt;/Q&gt;&lt;R&gt;1&lt;/R&gt;&lt;C&gt;1&lt;/C&gt;&lt;D xsi:type="xsd:double"&gt;11.149103719821779&lt;/D&gt;&lt;/FQL&gt;&lt;FQL&gt;&lt;Q&gt;MBI-US^FF_ROE(ANN_R,12/30/2015)&lt;/Q&gt;&lt;R&gt;1&lt;/R&gt;&lt;C&gt;1&lt;/C&gt;&lt;D xsi:type="xsd:double"&gt;15.34619120299709&lt;/D&gt;&lt;/FQL&gt;&lt;FQL&gt;&lt;Q&gt;MDU-US^FF_ROE(ANN_R,12/30/2015)&lt;/Q&gt;&lt;R&gt;1&lt;/R&gt;&lt;C&gt;1&lt;/C&gt;&lt;D xsi:type="xsd:double"&gt;9.9058535000893873&lt;/D&gt;&lt;/FQL&gt;&lt;FQL&gt;&lt;Q&gt;MGM-US^FF_ROE(ANN_R,12/30/2015)&lt;/Q&gt;&lt;R&gt;1&lt;/R&gt;&lt;C&gt;1&lt;/C&gt;&lt;D xsi:type="xsd:double"&gt;-3.601808967356301&lt;/D&gt;&lt;/FQL&gt;&lt;FQL&gt;&lt;Q&gt;MKC-US^FF_ROE(ANN_R,12/30/2015)&lt;/Q&gt;&lt;R&gt;1&lt;/R&gt;&lt;C&gt;1&lt;/C&gt;&lt;D xsi:type="xsd:double"&gt;23.197781885397411&lt;/D&gt;&lt;/FQL&gt;&lt;FQL&gt;&lt;Q&gt;MDR-US^FF_ROE(ANN_R,12/30/2015)&lt;/Q&gt;&lt;R&gt;1&lt;/R&gt;&lt;C&gt;1&lt;/C&gt;&lt;D xsi:type="xsd:double"&gt;-5.3559937950141636&lt;/D&gt;&lt;/FQL&gt;&lt;FQL&gt;&lt;Q&gt;MCD-US^FF_ROE(ANN_R,12/30/2015)&lt;/Q&gt;&lt;R&gt;1&lt;/R&gt;&lt;C&gt;1&lt;/C&gt;&lt;D xsi:type="xsd:double"&gt;32.968045705416259&lt;/D&gt;&lt;/FQL&gt;&lt;FQL&gt;&lt;Q&gt;SPGI-US^FF_ROE(ANN_R,12/30/2015)&lt;/Q&gt;&lt;R&gt;1&lt;/R&gt;&lt;C&gt;1&lt;/C&gt;&lt;D xsi:type="xsd:double"&gt;-32.755729457797649&lt;/D&gt;&lt;/FQL&gt;&lt;FQL&gt;&lt;Q&gt;ISIL-US^FF_ROE(ANN_R,12/30/2015)&lt;/Q&gt;&lt;R&gt;1&lt;/R&gt;&lt;C&gt;1&lt;/C&gt;&lt;D xsi:type="xsd:double"&gt;5.6526155670714413&lt;/D&gt;&lt;/FQL&gt;&lt;FQL&gt;&lt;Q&gt;MDC-US^FF_ROE(ANN_R,12/30/2015)&lt;/Q&gt;&lt;R&gt;1&lt;/R&gt;&lt;C&gt;1&lt;/C&gt;&lt;D xsi:type="xsd:double"&gt;5.1513258805243316&lt;/D&gt;&lt;/FQL&gt;&lt;FQL&gt;&lt;Q&gt;MTW-US^FF_ROE(ANN_R,12/30/2015)&lt;/Q&gt;&lt;R&gt;1&lt;/R&gt;&lt;C&gt;1&lt;/C&gt;&lt;D xsi:type="xsd:double"&gt;19.617404351087771&lt;/D&gt;&lt;/FQL&gt;&lt;FQL&gt;&lt;Q&gt;MAN-US^FF_ROE(ANN_R,12/30/2015)&lt;/Q&gt;&lt;R&gt;1&lt;/R&gt;&lt;</t>
        </r>
      </text>
    </comment>
    <comment ref="A8" authorId="0" shapeId="0">
      <text>
        <r>
          <rPr>
            <b/>
            <sz val="9"/>
            <color indexed="81"/>
            <rFont val="Tahoma"/>
            <charset val="1"/>
          </rPr>
          <t>C&gt;1&lt;/C&gt;&lt;D xsi:type="xsd:double"&gt;14.600833162603291&lt;/D&gt;&lt;/FQL&gt;&lt;FQL&gt;&lt;Q&gt;MKL-US^FF_ROE(ANN_R,12/30/2015)&lt;/Q&gt;&lt;R&gt;1&lt;/R&gt;&lt;C&gt;1&lt;/C&gt;&lt;D xsi:type="xsd:double"&gt;4.3872628981746011&lt;/D&gt;&lt;/FQL&gt;&lt;FQL&gt;&lt;Q&gt;EW-US^FF_ROE(ANN_R,12/30/2015)&lt;/Q&gt;&lt;R&gt;1&lt;/R&gt;&lt;C&gt;1&lt;/C&gt;&lt;D xsi:type="xsd:double"&gt;43.251746387244708&lt;/D&gt;&lt;/FQL&gt;&lt;FQL&gt;&lt;Q&gt;HST-US^FF_ROE(ANN_R,12/30/2015)&lt;/Q&gt;&lt;R&gt;1&lt;/R&gt;&lt;C&gt;1&lt;/C&gt;&lt;D xsi:type="xsd:double"&gt;10.05218346608075&lt;/D&gt;&lt;/FQL&gt;&lt;FQL&gt;&lt;Q&gt;MSM-US^FF_ROE(ANN_R,12/30/2015)&lt;/Q&gt;&lt;R&gt;1&lt;/R&gt;&lt;C&gt;1&lt;/C&gt;&lt;D xsi:type="xsd:double"&gt;16.837901570347871&lt;/D&gt;&lt;/FQL&gt;&lt;FQL&gt;&lt;Q&gt;MMC-US^FF_ROE(ANN_R,12/30/2015)&lt;/Q&gt;&lt;R&gt;1&lt;/R&gt;&lt;C&gt;1&lt;/C&gt;&lt;D xsi:type="xsd:double"&gt;19.239253960826261&lt;/D&gt;&lt;/FQL&gt;&lt;FQL&gt;&lt;Q&gt;SLAB-US^FF_ROE(ANN_R,12/30/2015)&lt;/Q&gt;&lt;R&gt;1&lt;/R&gt;&lt;C&gt;1&lt;/C&gt;&lt;D xsi:type="xsd:double"&gt;5.08092245315772&lt;/D&gt;&lt;/FQL&gt;&lt;FQL&gt;&lt;Q&gt;MAS-US^FF_ROE(ANN_R,12/30/2015)&lt;/Q&gt;&lt;R&gt;1&lt;/R&gt;&lt;C&gt;1&lt;/C&gt;&lt;D xsi:type="xsd:double"&gt;108.56372218476061&lt;/D&gt;&lt;/FQL&gt;&lt;FQL&gt;&lt;Q&gt;MLM-US^FF_ROE(ANN_R,12/30/2015)&lt;/Q&gt;&lt;R&gt;1&lt;/R&gt;&lt;C&gt;1&lt;/C&gt;&lt;D xsi:type="xsd:double"&gt;5.2637075327858884&lt;/D&gt;&lt;/FQL&gt;&lt;FQL&gt;&lt;Q&gt;MAT-US^FF_ROE(ANN_R,12/30/2015)&lt;/Q&gt;&lt;R&gt;1&lt;/R&gt;&lt;C&gt;1&lt;/C&gt;&lt;D xsi:type="xsd:double"&gt;15.96115233452085&lt;/D&gt;&lt;/FQL&gt;&lt;FQL&gt;&lt;Q&gt;VVC-US^FF_ROE(ANN_R,12/30/2015)&lt;/Q&gt;&lt;R&gt;1&lt;/R&gt;&lt;C&gt;1&lt;/C&gt;&lt;D xsi:type="xsd:double"&gt;10.5602834635705&lt;/D&gt;&lt;/FQL&gt;&lt;FQL&gt;&lt;Q&gt;MET-US^FF_ROE(ANN_R,12/30/2015)&lt;/Q&gt;&lt;R&gt;1&lt;/R&gt;&lt;C&gt;1&lt;/C&gt;&lt;D xsi:type="xsd:double"&gt;9.4486774546053329&lt;/D&gt;&lt;/FQL&gt;&lt;FQL&gt;&lt;Q&gt;MXIM-US^FF_ROE(ANN_R,12/30/2015)&lt;/Q&gt;&lt;R&gt;1&lt;/R&gt;&lt;C&gt;1&lt;/C&gt;&lt;D xsi:type="xsd:double"&gt;8.7305513576363722&lt;/D&gt;&lt;/FQL&gt;&lt;FQL&gt;&lt;Q&gt;ATVI-US^FF_ROE(ANN_R,12/30/2015)&lt;/Q&gt;&lt;R&gt;1&lt;/R&gt;&lt;C&gt;1&lt;/C&gt;&lt;D xsi:type="xsd:double"&gt;11.793576326236019&lt;/D&gt;&lt;/FQL&gt;&lt;FQL&gt;&lt;Q&gt;CVS-US^FF_ROE(ANN_R,12/30/2015)&lt;/Q&gt;&lt;R&gt;1&lt;/R&gt;&lt;C&gt;1&lt;/C&gt;&lt;D xsi:type="xsd:double"&gt;12.1930009486666&lt;/D&gt;&lt;/FQL&gt;&lt;FQL&gt;&lt;Q&gt;MCY-US^FF_ROE(ANN_R,12/30/2015)&lt;/Q&gt;&lt;R&gt;1&lt;/R&gt;&lt;C&gt;1&lt;/C&gt;&lt;D xsi:type="xsd:double"&gt;9.6242440369374034&lt;/D&gt;&lt;/FQL&gt;&lt;FQL&gt;&lt;Q&gt;MDP-US^FF_ROE(ANN_R,12/30/2015)&lt;/Q&gt;&lt;R&gt;1&lt;/R&gt;&lt;C&gt;1&lt;/C&gt;&lt;D xsi:type="xsd:double"&gt;14.84034191446497&lt;/D&gt;&lt;/FQL&gt;&lt;FQL&gt;&lt;Q&gt;ON-US^FF_ROE(ANN_R,12/30/2015)&lt;/Q&gt;&lt;R&gt;1&lt;/R&gt;&lt;C&gt;1&lt;/C&gt;&lt;D xsi:type="xsd:double"&gt;12.31618243791592&lt;/D&gt;&lt;/FQL&gt;&lt;FQL&gt;&lt;Q&gt;LH-US^FF_ROE(ANN_R,12/30/2015)&lt;/Q&gt;&lt;R&gt;1&lt;/R&gt;&lt;C&gt;1&lt;/C&gt;&lt;D xsi:type="xsd:double"&gt;19.247712639783121&lt;/D&gt;&lt;/FQL&gt;&lt;FQL&gt;&lt;Q&gt;MSFT-US^FF_ROE(ANN_R,12/30/2015)&lt;/Q&gt;&lt;R&gt;1&lt;/R&gt;&lt;C&gt;1&lt;/C&gt;&lt;D xsi:type="xsd:double"&gt;14.355937292116771&lt;/D&gt;&lt;/FQL&gt;&lt;FQL&gt;&lt;Q&gt;MU-US^FF_ROE(ANN_R,12/30/2015)&lt;/Q&gt;&lt;R&gt;1&lt;/R&gt;&lt;C&gt;1&lt;/C&gt;&lt;D xsi:type="xsd:double"&gt;25.128938586226319&lt;/D&gt;&lt;/FQL&gt;&lt;FQL&gt;&lt;Q&gt;RAX-US^FF_ROE(ANN_R,12/30/2015)&lt;/Q&gt;&lt;R&gt;1&lt;/R&gt;&lt;C&gt;1&lt;/C&gt;&lt;D xsi:type="xsd:double"&gt;10.3844343854&lt;/D&gt;&lt;/FQL&gt;&lt;FQL&gt;&lt;Q&gt;MCHP-US^FF_ROE(ANN_R,12/30/2015)&lt;/Q&gt;&lt;R&gt;1&lt;/R&gt;&lt;C&gt;1&lt;/C&gt;&lt;D xsi:type="xsd:double"&gt;17.655447278364349&lt;/D&gt;&lt;/FQL&gt;&lt;FQL&gt;&lt;Q&gt;MLHR-US^FF_ROE(ANN_R,12/30/2015)&lt;/Q&gt;&lt;R&gt;1&lt;/R&gt;&lt;C&gt;1&lt;/C&gt;&lt;D xsi:type="xsd:double"&gt;24.384144054020261&lt;/D&gt;&lt;/FQL&gt;&lt;FQL&gt;&lt;Q&gt;MMM-US^FF_ROE(ANN_R,12/30/2015)&lt;/Q&gt;&lt;R&gt;1&lt;/R&gt;&lt;C&gt;1&lt;/C&gt;&lt;D xsi:type="xsd:double"&gt;32.380516807683513&lt;/D&gt;&lt;/FQL&gt;&lt;FQL&gt;&lt;Q&gt;MHK-US^FF_ROE(ANN_R,12/30/2015)&lt;/Q&gt;&lt;R&gt;1&lt;/R&gt;&lt;C&gt;1&lt;/C&gt;&lt;D xsi:type="xsd:double"&gt;11.982458058919059&lt;/D&gt;&lt;/FQL&gt;&lt;FQL&gt;&lt;Q&gt;CYH-US^FF_ROE(ANN_R,12/30/2015)&lt;/Q&gt;&lt;R&gt;1&lt;/R&gt;&lt;C&gt;1&lt;/C&gt;&lt;D xsi:type="xsd:double"&gt;4.2144999446316538&lt;/D&gt;&lt;/FQL&gt;&lt;FQL&gt;&lt;Q&gt;CRL-US^FF_ROE(ANN_R,12/30/2015)&lt;/Q&gt;&lt;R&gt;1&lt;/R&gt;&lt;C&gt;1&lt;/C&gt;&lt;D xsi:type="xsd:double"&gt;19.559133619202751&lt;/D&gt;&lt;/FQL&gt;&lt;FQL&gt;&lt;Q&gt;JNS-US^FF_ROE(ANN_R,12/30/2015)&lt;/Q&gt;&lt;R&gt;1&lt;/R&gt;&lt;C&gt;1&lt;/C&gt;&lt;D xsi:type="xsd:double"&gt;9.83012904924941&lt;/D&gt;&lt;/FQL&gt;&lt;FQL&gt;&lt;Q&gt;KSU-US^FF_ROE(ANN_R,12/30/2015)&lt;/Q&gt;&lt;R&gt;1&lt;/R&gt;&lt;C&gt;1&lt;/C&gt;&lt;D xsi:type="xsd:double"&gt;14.10589242362583&lt;/D&gt;&lt;/FQL&gt;&lt;FQL&gt;&lt;Q&gt;MUR-US^FF_ROE(ANN_R,12/30/2015)&lt;/Q&gt;&lt;R&gt;1&lt;/R&gt;&lt;C&gt;1&lt;/C&gt;&lt;D xsi:type="xsd:double"&gt;11.939696073728459&lt;/D&gt;&lt;/FQL&gt;&lt;FQL&gt;&lt;Q&gt;ILMN-US^FF_ROE(ANN_R,12/30/2015)&lt;/Q&gt;&lt;R&gt;1&lt;/R&gt;&lt;C&gt;1&lt;/C&gt;&lt;D xsi:type="xsd:double"&gt;23.58818424566088&lt;/D&gt;&lt;/FQL&gt;&lt;FQL&gt;&lt;Q&gt;MYGN-US^FF_ROE(ANN_R,12/30/2015)&lt;/Q&gt;&lt;R&gt;1&lt;/R&gt;&lt;C&gt;1&lt;/C&gt;&lt;D xsi:type="xsd:double"&gt;11.61394774302765&lt;/D&gt;&lt;/FQL&gt;&lt;FQL&gt;&lt;Q&gt;XEL-US^FF_ROE(ANN_R,12/30/2015)&lt;/Q&gt;&lt;R&gt;1&lt;/R&gt;&lt;C&gt;1&lt;/C&gt;&lt;D xsi:type="xsd:double"&gt;10.32642765334953&lt;/D&gt;&lt;/FQL&gt;&lt;FQL&gt;&lt;Q&gt;F-US^FF_ROE(ANN_R,12/30/2015)&lt;/Q&gt;&lt;R&gt;1&lt;/R&gt;&lt;C&gt;1&lt;/C&gt;&lt;D xsi:type="xsd:double"&gt;4.844454064264772&lt;/D&gt;&lt;/FQL&gt;&lt;FQL&gt;&lt;Q&gt;BRKR-US^FF_ROE(ANN_R,12/30/2015)&lt;/Q&gt;&lt;R&gt;1&lt;/R&gt;&lt;C&gt;1&lt;/C&gt;&lt;D xsi:type="xsd:double"&gt;7.0347394540942938&lt;/D&gt;&lt;/FQL&gt;&lt;FQL&gt;&lt;Q&gt;NUS-US^FF_ROE(ANN_R,12/30/2015)&lt;/Q&gt;&lt;R&gt;1&lt;/R&gt;&lt;C&gt;1&lt;/C&gt;&lt;D xsi:type="xsd:double"&gt;21.00721964935035&lt;/D&gt;&lt;/FQL&gt;&lt;FQL&gt;&lt;Q&gt;NAV-US^FF_ROE(ANN_R,12/30/2015)&lt;/Q&gt;&lt;R&gt;0&lt;/R&gt;&lt;C&gt;0&lt;/C&gt;&lt;/FQL&gt;&lt;FQL&gt;&lt;Q&gt;NOV-US^FF_ROE(ANN_R,12/30/2015)&lt;/Q&gt;&lt;R&gt;1&lt;/R&gt;&lt;C&gt;1&lt;/C&gt;&lt;D xsi:type="xsd:double"&gt;11.41605703368902&lt;/D&gt;&lt;/FQL&gt;&lt;FQL&gt;&lt;Q&gt;NFG-US^FF_ROE(ANN_R,12/30/2015)&lt;/Q&gt;&lt;R&gt;1&lt;/R&gt;&lt;C&gt;1&lt;/C&gt;&lt;D xsi:type="xsd:double"&gt;-17.1062434472624&lt;/D&gt;&lt;/FQL&gt;&lt;FQL&gt;&lt;Q&gt;NTAP-US^FF_ROE(ANN_R,12/30/2015)&lt;/Q&gt;&lt;R&gt;1&lt;/R&gt;&lt;C&gt;1&lt;/C&gt;&lt;D xsi:type="xsd:double"&gt;15.55148182095936&lt;/D&gt;&lt;/FQL&gt;&lt;FQL&gt;&lt;Q&gt;NYT-US^FF_ROE(ANN_R,12/30/2015)&lt;/Q&gt;&lt;R&gt;1&lt;/R&gt;&lt;C&gt;1&lt;/C&gt;&lt;D xsi:type="xsd:double"&gt;4.3834013706015282&lt;/D&gt;&lt;/FQL&gt;&lt;FQL&gt;&lt;Q&gt;NCR-US^FF_ROE(ANN_R,12/30/2015)&lt;/Q&gt;&lt;R&gt;1&lt;/R&gt;&lt;C&gt;1&lt;/C&gt;&lt;D xsi:type="xsd:double"&gt;9.9450549450549452&lt;/D&gt;&lt;/FQL&gt;&lt;FQL&gt;&lt;Q&gt;SHLD-US^FF_ROE(ANN_R,12/30/2015)&lt;/Q&gt;&lt;R&gt;1&lt;/R&gt;&lt;C&gt;1&lt;/C&gt;&lt;D xsi:type="xsd:double"&gt;-426.90355329949227&lt;/D&gt;&lt;/FQL&gt;&lt;FQL&gt;&lt;Q&gt;NFX-US^FF_ROE(ANN_R,12/30/2015)&lt;/Q&gt;&lt;R&gt;1&lt;/R&gt;&lt;C&gt;1&lt;/C&gt;&lt;D xsi:type="xsd:double"&gt;18.98087312016353&lt;/D&gt;&lt;/FQL&gt;&lt;FQL&gt;&lt;Q&gt;NWL-US^FF_ROE(ANN_R,12/30/2015)&lt;/Q&gt;&lt;R&gt;1&lt;/R&gt;&lt;C&gt;1&lt;/C&gt;&lt;D xsi:type="xsd:double"&gt;19.021642152489228&lt;/D&gt;&lt;/FQL&gt;&lt;FQL&gt;&lt;Q&gt;DNB-US^FF_ROE(ANN_R,12/30/2015)&lt;/Q&gt;&lt;R&gt;0&lt;/R&gt;&lt;C&gt;0&lt;/C&gt;&lt;/FQL&gt;&lt;FQL&gt;&lt;Q&gt;NEM-US^FF_ROE(ANN_R,12/30/2015)&lt;/Q&gt;&lt;R&gt;1&lt;/R&gt;&lt;C&gt;1&lt;/C&gt;&lt;D xsi:type="xsd:double"&gt;5.368601518491305&lt;/D&gt;&lt;/FQL&gt;&lt;FQL&gt;&lt;Q&gt;NVR-US^FF_ROE(ANN_R,12/30/2015)&lt;/Q&gt;&lt;R&gt;1&lt;/R&gt;&lt;C&gt;1&lt;/C&gt;&lt;D xsi:type="xsd:double"&gt;23.61076237620027&lt;/D&gt;&lt;/FQL&gt;&lt;FQL&gt;&lt;Q&gt;NKE-US^FF_ROE(ANN_R,12/30/2015)&lt;/Q&gt;&lt;R&gt;1&lt;/R&gt;&lt;C&gt;1&lt;/C&gt;&lt;D xsi:type="xsd:double"&gt;27.8186222429986&lt;/D&gt;&lt;/FQL&gt;&lt;FQL&gt;&lt;Q&gt;NBL-US^FF_ROE(ANN_R,12/30/2015)&lt;/Q&gt;&lt;R&gt;1&lt;/R&gt;&lt;C&gt;1&lt;/C&gt;&lt;D xsi:type="xsd:double"&gt;12.445537956840431&lt;/D&gt;&lt;/FQL&gt;&lt;FQL&gt;&lt;Q&gt;JWN-US^FF_ROE(ANN_R,12/30/2015)&lt;/Q&gt;&lt;R&gt;1&lt;/R&gt;&lt;C&gt;1&lt;/C&gt;&lt;D xsi:type="xsd:double"&gt;31.858407079646021&lt;/D&gt;&lt;/FQL&gt;&lt;FQL&gt;&lt;Q&gt;NDSN-US^FF_ROE(ANN_R,12/30/2015)&lt;/Q&gt;&lt;R&gt;1&lt;/R&gt;&lt;C&gt;1&lt;/C&gt;&lt;D xsi:type="xsd:double"&gt;26.9822656125684&lt;/D&gt;&lt;/FQL&gt;&lt;FQL&gt;&lt;Q&gt;NSC-US^FF_ROE(ANN_R,12/30/2015)&lt;/Q&gt;&lt;R&gt;1&lt;/R&gt;&lt;C&gt;1&lt;/C&gt;&lt;D xsi:type="xsd:double"&gt;16.829134489597841&lt;/D&gt;&lt;/FQL&gt;&lt;FQL&gt;&lt;Q&gt;NATI-US^FF_ROE(ANN_R,12/30/2015)&lt;/Q&gt;&lt;R&gt;1&lt;/R&gt;&lt;C&gt;1&lt;/C&gt;&lt;D xsi:type="xsd:double"&gt;11.803623317044909&lt;/D&gt;&lt;/FQL&gt;&lt;FQL&gt;&lt;Q&gt;NI-US^FF_ROE(ANN_R,12/30/2015)&lt;/Q&gt;&lt;R&gt;1&lt;/R&gt;&lt;C&gt;1&lt;/C&gt;&lt;D xsi:type="xsd:double"&gt;8.79960868519885&lt;/D&gt;&lt;/FQL&gt;&lt;FQL&gt;&lt;Q&gt;TPR-US^FF_ROE(ANN_R,12/30/2015)&lt;/Q&gt;&lt;R&gt;1&lt;/R&gt;&lt;C&gt;1&lt;/C&gt;&lt;D xsi:type="xsd:double"&gt;16.389192826144019&lt;/D&gt;&lt;/FQL&gt;&lt;FQL&gt;&lt;Q&gt;NTRS-US^FF_ROE(ANN_R,12/30/2015)&lt;/Q&gt;&lt;R&gt;1&lt;/R&gt;&lt;C&gt;1&lt;/C&gt;&lt;D xsi:type="xsd:double"&gt;9.7610767133837388&lt;/D&gt;&lt;/FQL&gt;&lt;FQL&gt;&lt;Q&gt;NOC-US^FF_ROE(ANN_R,12/30/2015)&lt;/Q&gt;&lt;R&gt;1&lt;/R&gt;&lt;C&gt;1&lt;/C&gt;&lt;D xsi:type="xsd:double"&gt;23.17558106972837&lt;/D&gt;&lt;/FQL&gt;&lt;FQL&gt;&lt;Q&gt;WFC-US^FF_ROE(ANN_R,12/30/2015)&lt;/Q&gt;&lt;R&gt;1&lt;/R&gt;&lt;C&gt;1&lt;/C&gt;&lt;D xsi:type="xsd:double"&gt;13.006859670104021&lt;/D&gt;&lt;/FQL&gt;&lt;FQL&gt;&lt;Q&gt;NUE-US^FF_ROE(ANN_R,12/30/2015)&lt;/Q&gt;&lt;R&gt;1&lt;/R&gt;&lt;C&gt;1&lt;/C&gt;&lt;D xsi:type="xsd:double"&gt;9.2309504347416063&lt;/D&gt;&lt;/FQL&gt;&lt;FQL&gt;&lt;Q&gt;MON-US^FF_ROE(ANN_R,12/30/2015)&lt;/Q&gt;&lt;R&gt;1&lt;/R&gt;&lt;C&gt;1&lt;/C&gt;&lt;D xsi:type="xsd:double"&gt;30.756811301715441&lt;/D&gt;&lt;/FQL&gt;&lt;FQL&gt;&lt;Q&gt;LNG-US^FF_ROE(ANN_R,12/30/2015)&lt;/Q&gt;&lt;R&gt;1&lt;/R&gt;&lt;C&gt;1&lt;/C&gt;&lt;D xsi:type="xsd:double"&gt;-7067.8103837471808&lt;/D&gt;&lt;/FQL&gt;&lt;FQL&gt;&lt;Q&gt;COF-US^FF_ROE(ANN_R,12/30/2015)&lt;/Q&gt;&lt;R&gt;1&lt;/R&gt;&lt;C&gt;1&lt;/C&gt;&lt;D xsi:type="xsd:double"&gt;10.150120395866219&lt;/D&gt;&lt;/FQL&gt;&lt;FQL&gt;&lt;Q&gt;OXY-US^FF_ROE(ANN_R,12/30/2015)&lt;/Q&gt;&lt;R&gt;1&lt;/R&gt;&lt;C&gt;1&lt;/C&gt;&lt;D xsi:type="xsd:double"&gt;-0.36882884036626762&lt;/D&gt;&lt;/FQL&gt;&lt;FQL&gt;&lt;Q&gt;OII-US^FF_ROE(ANN_R,12/30/2015)&lt;/Q&gt;&lt;R&gt;1&lt;/R&gt;&lt;C&gt;1&lt;/C&gt;&lt;D xsi:type="xsd:double"&gt;23.146287820246091&lt;/D&gt;&lt;/FQL&gt;&lt;FQL&gt;&lt;Q&gt;ODP-US^FF_ROE(ANN_R,12/30/2015)&lt;/Q&gt;&lt;R&gt;1&lt;/R&gt;&lt;C&gt;1&lt;/C&gt;&lt;D xsi:type="xsd:double"&gt;-19.21824104234528&lt;/D&gt;&lt;/FQL&gt;&lt;FQL&gt;&lt;Q&gt;OGE-US^FF_ROE(ANN_R,12/30/2015)&lt;/Q&gt;&lt;R&gt;1&lt;/R&gt;&lt;C&gt;1&lt;/C&gt;&lt;D xsi:type="xsd:double"&gt;12.60208548913476&lt;/D&gt;&lt;/FQL&gt;&lt;FQL&gt;&lt;Q&gt;ORI-US^FF_ROE(ANN_R,12/30/2015)&lt;/Q&gt;&lt;R&gt;1&lt;/R&gt;&lt;C&gt;1&lt;/C&gt;&lt;D xsi:type="xsd:double"&gt;10.643217124746711&lt;/D&gt;&lt;/FQL&gt;&lt;FQL&gt;&lt;Q&gt;ORCL-US^FF_ROE(ANN_R,12/30/2015)&lt;/Q&gt;&lt;R&gt;1&lt;/R&gt;&lt;C&gt;1&lt;/C&gt;&lt;D xsi:type="xsd:double"&gt;20.803634041929641&lt;/D&gt;&lt;/FQL&gt;&lt;FQL&gt;&lt;Q&gt;OI-US^FF_ROE(ANN_R,12/30/2015)&lt;/Q&gt;&lt;R&gt;1&lt;/R&gt;&lt;C&gt;1&lt;/C&gt;&lt;D xsi:type="xsd:double"&gt;17.72511848341232&lt;/D&gt;&lt;/FQL&gt;&lt;FQL&gt;&lt;Q&gt;OSK-US^FF_ROE(ANN_R,12/30/2015)&lt;/Q&gt;&lt;R&gt;1&lt;/R&gt;&lt;C&gt;1&lt;/C&gt;&lt;D xsi:type="xsd:double"&gt;11.755345088678419&lt;/D&gt;&lt;/FQL&gt;&lt;FQL&gt;&lt;Q&gt;PCAR-US^FF_ROE(ANN_R,12/30/2015)&lt;/Q&gt;&lt;R&gt;1&lt;/R&gt;&lt;C&gt;1&lt;/C&gt;&lt;D xsi:type="xsd:double"&gt;20.299533146591969&lt;/D&gt;&lt;/FQL&gt;&lt;FQL&gt;&lt;Q&gt;EXC-US^FF_ROE(ANN_R,12/30/2015)&lt;/Q&gt;&lt;R&gt;1&lt;/R&gt;&lt;C&gt;1&lt;/C&gt;&lt;D xsi:type="xsd:double"&gt;7.1592412880458758&lt;/D&gt;&lt;/FQL&gt;&lt;FQL&gt;&lt;Q&gt;PH-US^FF_ROE(ANN_R,12/30/2015)&lt;/Q&gt;&lt;R&gt;1&lt;/R&gt;&lt;C&gt;1&lt;/C&gt;&lt;D xsi:type="xsd:double"&gt;17.20782932942527&lt;/D&gt;&lt;/FQL&gt;&lt;FQL&gt;&lt;Q&gt;PTEN-US^FF_ROE(ANN_R,12/30/2015)&lt;/Q&gt;&lt;R&gt;1&lt;/R&gt;&lt;C&gt;1&lt;/C&gt;&lt;D xsi:type="xsd:double"&gt;5.6872655673356576&lt;/D&gt;&lt;/FQL&gt;&lt;FQL&gt;&lt;Q&gt;PDCO-US^FF_ROE(ANN_R,12/30/2015)&lt;/Q&gt;&lt;R&gt;1&lt;/R&gt;&lt;C&gt;1&lt;/C&gt;&lt;D xsi:type="xsd:double"&gt;14.95491808357394&lt;/D&gt;&lt;/FQL&gt;&lt;FQL&gt;&lt;Q&gt;PAYX-US^FF_ROE(ANN_R,12/30/2015)&lt;/Q&gt;&lt;R&gt;1&lt;/R&gt;&lt;C&gt;1&lt;/C&gt;&lt;D xsi:type="xsd:double"&gt;37.889122807017543&lt;/D&gt;&lt;/FQL&gt;&lt;FQL&gt;&lt;Q&gt;MD-US^FF_ROE(ANN_R,12/30/2015)&lt;/Q&gt;&lt;R&gt;1&lt;/R&gt;&lt;C&gt;1&lt;/C&gt;&lt;D xsi:type="xsd:double"&gt;13.772051305590949&lt;/D&gt;&lt;/FQL&gt;&lt;FQL&gt;&lt;Q&gt;JCP-US^FF_ROE(ANN_R,12/30/2015)&lt;/Q&gt;&lt;R&gt;1&lt;/R&gt;&lt;C&gt;1&lt;/C&gt;&lt;D xsi:type="xsd:double"&gt;-28.674265146970608&lt;/D&gt;&lt;/FQL&gt;&lt;FQL&gt;&lt;Q&gt;PPL-US^FF_ROE(ANN_R,12/30/2015)&lt;/Q&gt;&lt;R&gt;1&lt;/R&gt;&lt;C&gt;1&lt;/C&gt;&lt;D xsi:type="xsd:double"&gt;10.94504483789377&lt;/D&gt;&lt;/FQL&gt;&lt;FQL&gt;&lt;Q&gt;PEP-US^FF_ROE(ANN_R,12/30/2015)&lt;/Q&gt;&lt;R&gt;1&lt;/R&gt;&lt;C&gt;1&lt;/C&gt;&lt;D xsi:type="xsd:double"&gt;31.22468058585229&lt;/D&gt;&lt;/FQL&gt;&lt;FQL&gt;&lt;Q&gt;PENN-US^FF_ROE(ANN_R,12/30/2015)&lt;/Q&gt;&lt;R&gt;0&lt;/R&gt;&lt;C&gt;0&lt;/C&gt;&lt;/FQL&gt;&lt;FQL&gt;&lt;Q&gt;PFE-US^FF_ROE(ANN_R,12/30/2015)&lt;/Q&gt;&lt;R&gt;1&lt;/R&gt;&lt;C&gt;1&lt;/C&gt;&lt;D xsi:type="xsd:double"&gt;12.31234079453688&lt;/D&gt;&lt;/FQL&gt;&lt;FQL&gt;&lt;Q&gt;WTR-US^FF_ROE(ANN_R,12/30/2015)&lt;/Q&gt;&lt;R&gt;1&lt;/R&gt;&lt;C&gt;1&lt;/C&gt;&lt;D xsi:type="xsd:double"&gt;13.408906963812051&lt;/D&gt;&lt;/FQL&gt;&lt;FQL&gt;&lt;Q&gt;COP-US^FF_ROE(ANN_R,12/30/2015)&lt;/Q&gt;&lt;R&gt;1&lt;/R&gt;&lt;C&gt;1&lt;/C&gt;&lt;D xsi:type="xsd:double"&gt;11.03450928356458&lt;/D&gt;&lt;/FQL&gt;&lt;FQL&gt;&lt;Q&gt;PCG-US^FF_ROE(ANN_R,12/30/2015)&lt;/Q&gt;&lt;R&gt;1&lt;/R&gt;&lt;C&gt;1&lt;/C&gt;&lt;D xsi:type="xsd:double"&gt;9.55770878650056&lt;/D&gt;&lt;/FQL&gt;&lt;FQL&gt;&lt;Q&gt;PBI-US^FF_ROE(ANN_R,12/30/2015)&lt;/Q&gt;&lt;R&gt;1&lt;/R&gt;&lt;C&gt;1&lt;/C&gt;&lt;D xsi:type="xsd:double"&gt;225.85541025814749&lt;/D&gt;&lt;/FQL&gt;&lt;FQL&gt;&lt;Q&gt;PXD-US^FF_ROE(ANN_R,12/30/2015)&lt;/Q&gt;&lt;R&gt;1&lt;/R&gt;&lt;C&gt;1&lt;/C&gt;&lt;D xsi:type="xsd:double"&gt;13.581350842517979&lt;/D&gt;&lt;/FQL&gt;&lt;FQL&gt;&lt;Q&gt;BCO-US^FF_ROE(ANN_R,12/30/2015)&lt;/Q&gt;&lt;R&gt;1&lt;/R&gt;&lt;C&gt;1&lt;/C&gt;&lt;D xsi:type="xsd:double"&gt;-9.7171735082897417&lt;/D&gt;&lt;/FQL&gt;&lt;FQL&gt;&lt;Q&gt;PCL-US^FF_ROE(ANN_R,12/30/2015)&lt;/Q&gt;&lt;R&gt;1&lt;/R&gt;&lt;C&gt;1&lt;/C&gt;&lt;D xsi:type="xsd:double"&gt;12.21809877248073&lt;/D&gt;&lt;/FQL&gt;&lt;FQL&gt;&lt;Q&gt;MO-US^FF_ROE(ANN_R,12/30/2015)&lt;/Q&gt;&lt;R&gt;1&lt;/R&gt;&lt;C&gt;1&lt;/C&gt;&lt;D xsi:type="xsd:double"&gt;141.819711201458&lt;/D&gt;&lt;/FQL&gt;&lt;FQL&gt;&lt;Q&gt;PNC-US^FF_ROE(ANN_R,12/30/2015)&lt;/Q&gt;&lt;R&gt;1&lt;/R&gt;&lt;C&gt;1&lt;/C&gt;&lt;D xsi:type="xsd:double"&gt;9.5976264676456715&lt;/D&gt;&lt;/FQL&gt;&lt;FQL&gt;&lt;Q&gt;BRO-US^FF_ROE(ANN_R,12/30/2015)&lt;/Q&gt;&lt;R&gt;1&lt;/R&gt;&lt;C&gt;1&lt;/C&gt;&lt;D xsi:type="xsd:double"&gt;9.7896423244904121&lt;/D&gt;&lt;/FQL&gt;&lt;FQL&gt;&lt;Q&gt;PII-US^FF_ROE(ANN_R,12/30/2015)&lt;/Q&gt;&lt;R&gt;1&lt;/R&gt;&lt;C&gt;1&lt;/C&gt;&lt;D xsi:type="xsd:double"&gt;65.006528873082132&lt;/D&gt;&lt;/FQL&gt;&lt;FQL&gt;&lt;Q&gt;PLCM-US^FF_ROE(ANN_R,12/30/2015)&lt;/Q&gt;&lt;R&gt;1&lt;/R&gt;&lt;C&gt;1&lt;/C&gt;&lt;D xsi:type="xsd:double"&gt;4.205693920997871&lt;/D&gt;&lt;/FQL&gt;&lt;FQL&gt;&lt;Q&gt;AET-US^FF_ROE(ANN_R,12/30/2015)&lt;/Q&gt;&lt;R&gt;1&lt;/R&gt;&lt;C&gt;1&lt;/C&gt;&lt;D xsi:type="xsd:double"&gt;14.317334371634731&lt;/D&gt;&lt;/FQL&gt;&lt;FQL&gt;&lt;Q&gt;FLR-US^FF_ROE(ANN_R,12/30/2015)&lt;/Q&gt;&lt;R&gt;1&lt;/R&gt;&lt;C&gt;1&lt;/C&gt;&lt;D xsi:type="xsd:double"&gt;20.83502600082879&lt;/D&gt;&lt;/FQL&gt;&lt;FQL&gt;&lt;Q&gt;PPG-US^FF_ROE(ANN_R,12/30/2015)&lt;/Q&gt;&lt;R&gt;1&lt;/R&gt;&lt;C&gt;1&lt;/C&gt;&lt;D xsi:type="xsd:double"&gt;22.409018987341771&lt;/D&gt;&lt;/FQL&gt;&lt;FQL&gt;&lt;Q&gt;IPGP-US^FF_ROE(ANN_R,12/30/2015)&lt;/Q&gt;&lt;R&gt;1&lt;/R&gt;&lt;C&gt;1&lt;/C&gt;&lt;D xsi:type="xsd:double"&gt;20.303059462251781&lt;/D&gt;&lt;/FQL&gt;&lt;FQL&gt;&lt;Q&gt;PX-US^FF_ROE(ANN_R,12/30/2015)&lt;/Q&gt;&lt;R&gt;1&lt;/R&gt;&lt;C&gt;1&lt;/C&gt;&lt;D xsi:type="xsd:double"&gt;27.697841726618709&lt;/D&gt;&lt;/FQL&gt;&lt;FQL&gt;&lt;Q&gt;PCP-US^FF_ROE(ANN_R,12/30/2015)&lt;/Q&gt;&lt;R&gt;1&lt;/R&gt;&lt;C&gt;1&lt;/C&gt;&lt;D xsi:type="xsd:double"&gt;13.84718799014116&lt;/D&gt;&lt;/FQL&gt;&lt;FQL&gt;&lt;Q&gt;COST-US^FF_ROE(ANN_R,12/30/2015)&lt;/Q&gt;&lt;R&gt;1&lt;/R&gt;&lt;C&gt;1&lt;/C&gt;&lt;D xsi:type="xsd:double"&gt;20.741710296684118&lt;/D&gt;&lt;/FQL&gt;&lt;FQL&gt;&lt;Q&gt;TROW-US^FF_ROE(ANN_R,12/30/2015)&lt;/Q&gt;&lt;R&gt;1&lt;/R&gt;&lt;C&gt;1&lt;/C&gt;&lt;D xsi:type="xsd:double"&gt;23.800338773951619&lt;/D&gt;&lt;/FQL&gt;&lt;FQL&gt;&lt;Q&gt;DGX-US^FF_ROE(ANN_R,12/30/2015)&lt;/Q&gt;&lt;R&gt;1&lt;/R&gt;&lt;C&gt;1&lt;/C&gt;&lt;D xsi:type="xsd:double"&gt;13.310704327797311&lt;/D&gt;&lt;/FQL&gt;&lt;FQL&gt;&lt;Q&gt;PG-US^FF_ROE(ANN_R,12/30/2015)&lt;/Q&gt;&lt;R&gt;1&lt;/R&gt;&lt;C&gt;1&lt;/C&gt;&lt;D xsi:type="xsd:double"&gt;12.44216875707459&lt;/D&gt;&lt;/FQL&gt;&lt;FQL&gt;&lt;Q&gt;PGR-US^FF_ROE(ANN_R,12/30/2015)&lt;/Q&gt;&lt;R&gt;1&lt;/R&gt;&lt;C&gt;1&lt;/C&gt;&lt;D xsi:type="xsd:double"&gt;19.530267340544739&lt;/D&gt;&lt;/FQL&gt;&lt;FQL&gt;&lt;Q&gt;PEG-US^FF_ROE(ANN_R,12/30/2015)&lt;/Q&gt;&lt;R&gt;1&lt;/R&gt;&lt;C&gt;1&lt;/C&gt;&lt;D xsi:type="xsd:double"&gt;12.76005547850208&lt;/D&gt;&lt;/FQL&gt;&lt;FQL&gt;&lt;Q&gt;PHM-US^FF_ROE(ANN_R,12/30/2015)&lt;/Q&gt;&lt;R&gt;1&lt;/R&gt;&lt;C&gt;1&lt;/C&gt;&lt;D xsi:type="xsd:double"&gt;9.9659759680284541&lt;/D&gt;&lt;/FQL&gt;&lt;FQL&gt;&lt;Q&gt;MDRX-US^FF_ROE(ANN_R,12/30/2015)&lt;/Q&gt;&lt;R&gt;1&lt;/R&gt;&lt;C&gt;1&lt;/C&gt;&lt;D xsi:type="xsd:double"&gt;-5.1071237124692352&lt;/D&gt;&lt;/FQL&gt;&lt;FQL&gt;&lt;Q&gt;NYCB-US^FF_ROE(ANN_R,12/30/2015)&lt;/Q&gt;&lt;R&gt;1&lt;/R&gt;&lt;C&gt;1&lt;/C&gt;&lt;D xsi:type="xsd:double"&gt;8.3694024307580559&lt;/D&gt;&lt;/FQL&gt;&lt;FQL&gt;&lt;Q&gt;GPN-US^FF_ROE(ANN_R,12/30/2015)&lt;/Q&gt;&lt;R&gt;1&lt;/R&gt;&lt;C&gt;1&lt;/C&gt;&lt;D xsi:type="xsd:double"&gt;31.681805466376261&lt;/D&gt;&lt;/FQL&gt;&lt;FQL&gt;&lt;Q&gt;UPLMQ-US^FF_ROE(ANN_R,12/30/2015)&lt;/Q&gt;&lt;R&gt;0&lt;/R&gt;&lt;C&gt;0&lt;/C&gt;&lt;/FQL&gt;&lt;FQL&gt;&lt;Q&gt;QCOM-US^FF_ROE(ANN_R,12/30/2015)&lt;/Q&gt;&lt;R&gt;1&lt;/R&gt;&lt;C&gt;1&lt;/C&gt;&lt;D xsi:type="xsd:double"&gt;14.93412664683383&lt;/D&gt;&lt;/FQL&gt;&lt;FQL&gt;&lt;Q&gt;QSII-US^FF_ROE(ANN_R,12/30/2015)&lt;/Q&gt;&lt;R&gt;1&lt;/R&gt;&lt;C&gt;1&lt;/C&gt;&lt;D xsi:type="xsd:double"&gt;9.4471423880545426&lt;/D&gt;&lt;/FQL&gt;&lt;FQL&gt;&lt;Q&gt;QLGC-US^FF_ROE(ANN_R,12/30/2015)&lt;/Q&gt;&lt;R&gt;1&lt;/R&gt;&lt;C&gt;1&lt;/C&gt;&lt;D xsi:type="xsd:double"&gt;7.02464937845467&lt;/D&gt;&lt;/FQL&gt;&lt;FQL&gt;&lt;Q&gt;STR-US^FF_ROE(ANN_R,12/30/2015)&lt;/Q&gt;&lt;R&gt;1&lt;/R&gt;&lt;C&gt;1&lt;/C&gt;&lt;D xsi:type="xsd:double"&gt;18.527607361963192&lt;/D&gt;&lt;/FQL&gt;&lt;FQL&gt;&lt;Q&gt;RJF-US^FF_ROE(ANN_R,12/30/2015)&lt;/Q&gt;&lt;R&gt;1&lt;/R&gt;&lt;C&gt;1&lt;/C&gt;&lt;D xsi:type="xsd:double"&gt;11.555225066940681&lt;/D&gt;&lt;/FQL&gt;&lt;FQL&gt;&lt;Q&gt;RES-US^FF_ROE(ANN_R,12/30/2015)&lt;/Q&gt;&lt;R&gt;1&lt;/R&gt;&lt;C&gt;1&lt;/C&gt;&lt;D xsi:type="xsd:double"&gt;23.955343307846679&lt;/D&gt;&lt;/FQL&gt;&lt;FQL&gt;&lt;Q&gt;RMBS-US^FF_ROE(ANN_R,12/30/2015)&lt;/Q&gt;&lt;R&gt;1&lt;/R&gt;&lt;C&gt;1&lt;/C&gt;&lt;D xsi:type="xsd:double"&gt;7.1602006419339466&lt;/D&gt;&lt;/FQL&gt;&lt;FQL&gt;&lt;Q&gt;O-US^FF_ROE(ANN_R,12/30/2015)&lt;/Q&gt;&lt;R&gt;1&lt;/R&gt;&lt;C&gt;1&lt;/C&gt;&lt;D xsi:type="xsd:double"&gt;4.7608622284806561&lt;/D&gt;&lt;/FQL&gt;&lt;FQL&gt;&lt;Q&gt;OIS-US^FF_ROE(ANN_R,12/30/2015)&lt;/Q&gt;&lt;R&gt;1&lt;/R&gt;&lt;C&gt;1&lt;/C&gt;&lt;D xsi:type="xsd:double"&gt;6.3133029302682058&lt;/D&gt;&lt;/FQL&gt;&lt;FQL&gt;&lt;Q&gt;REG-US^FF_ROE(ANN_R,12/30/2015)&lt;/Q&gt;&lt;R&gt;1&lt;/R&gt;&lt;C&gt;1&lt;/C&gt;&lt;D xsi:type="xsd:double"&gt;7.0326346032716218&lt;/D&gt;&lt;/FQL&gt;&lt;FQL&gt;&lt;Q&gt;UDR-US^FF_ROE(ANN_R,12/30/2015)&lt;/Q&gt;&lt;R&gt;1&lt;/R&gt;&lt;C&gt;1&lt;/C&gt;&lt;D xsi:type="xsd:double"&gt;0.3876868325477375&lt;/D&gt;&lt;/FQL&gt;&lt;FQL&gt;&lt;Q&gt;RS-US^FF_ROE(ANN_R,12/30/2015)&lt;/Q&gt;&lt;R&gt;1&lt;/R&gt;&lt;C&gt;1&lt;/C&gt;&lt;D xsi:type="xsd:double"&gt;9.3182502257449578&lt;/D&gt;&lt;/FQL&gt;&lt;FQL&gt;&lt;Q&gt;RBC-US^FF_ROE(ANN_R,12/30/2015)&lt;/Q&gt;&lt;R&gt;1&lt;/R&gt;&lt;C&gt;1&lt;/C&gt;&lt;D xsi:type="xsd:double"&gt;1.55365108003809&lt;/D&gt;&lt;/FQL&gt;&lt;FQL&gt;&lt;Q&gt;REGN-US^FF_ROE(ANN_R,12/30/2015)&lt;/Q&gt;&lt;R&gt;1&lt;/R&gt;&lt;C&gt;1&lt;/C&gt;&lt;D xsi:type="xsd:double"&gt;15.48922759673647&lt;/D&gt;&lt;/FQL&gt;&lt;FQL&gt;&lt;Q&gt;RGA-US^FF_ROE(ANN_R,12/30/2015)&lt;/Q&gt;&lt;R&gt;1&lt;/R&gt;&lt;C&gt;1&lt;/C&gt;&lt;D xsi:type="xsd:double"&gt;10.55711256264865&lt;/D&gt;&lt;/FQL&gt;&lt;FQL&gt;&lt;Q&gt;AN-US^FF_ROE(ANN_R,12/30/2015)&lt;/Q&gt;&lt;R&gt;1&lt;/R&gt;&lt;C&gt;1&lt;/C&gt;&lt;D xsi:type="xsd:double"&gt;20.310610092408929&lt;/D&gt;&lt;/FQL&gt;&lt;FQL&gt;&lt;Q&gt;RMD-US^FF_ROE(ANN_R,12/30/2015)&lt;/Q&gt;&lt;R&gt;1&lt;/R&gt;&lt;C&gt;1&lt;/C&gt;&lt;D xsi:type="xsd:double"&gt;21.095812204552011&lt;/D&gt;&lt;/FQL&gt;&lt;FQL&gt;&lt;Q&gt;USB-US^FF_ROE(ANN_R,12/30/2015)&lt;/Q&gt;&lt;R&gt;1&lt;/R&gt;&lt;C&gt;1&lt;/C&gt;&lt;D xsi:type="xsd:double"&gt;13.774352184603741&lt;/D&gt;&lt;/FQL&gt;&lt;FQL&gt;&lt;Q&gt;RAD-US^FF_ROE(ANN_R,12/30/2015)&lt;/Q&gt;&lt;R&gt;0&lt;/R&gt;&lt;C&gt;0&lt;/C&gt;&lt;/FQL&gt;&lt;FQL&gt;&lt;Q&gt;FLO-US^FF_ROE(ANN_R,12/30/2015)&lt;/Q&gt;&lt;R&gt;1&lt;/R&gt;&lt;C&gt;1&lt;/C&gt;&lt;D xsi:type="xsd:double"&gt;15.98184457945111&lt;/D&gt;&lt;/FQL&gt;&lt;FQL&gt;&lt;Q&gt;ROST-US^FF_ROE(ANN_R,12/30/2015)&lt;/Q&gt;&lt;R&gt;1&lt;/R&gt;&lt;C&gt;1&lt;/C&gt;&lt;D xsi:type="xsd:double"&gt;43.145755803319823&lt;/D&gt;&lt;/FQL&gt;&lt;FQL&gt;&lt;Q&gt;ROL-US^FF_ROE(ANN_R,12/30/2015)&lt;/Q&gt;&lt;R&gt;1&lt;/R&gt;&lt;C&gt;1&lt;/C&gt;&lt;D xsi:type="xsd:double"&gt;30.560386977471079&lt;/D&gt;&lt;/FQL&gt;&lt;FQL&gt;&lt;Q&gt;ROP-US^FF_ROE(ANN_R,12/30/2015)&lt;/Q&gt;&lt;R&gt;1&lt;/R&gt;&lt;C&gt;1&lt;/C&gt;&lt;D xsi:type="xsd:double"&gt;14.40685695680728&lt;/D&gt;&lt;/FQL&gt;&lt;FQL&gt;&lt;Q&gt;ROK-US^FF_ROE(ANN_R,12/30/2015)&lt;/Q&gt;&lt;R&gt;1&lt;/R&gt;&lt;C&gt;1&lt;/C&gt;&lt;D xsi:type="xsd:double"&gt;33.648700889133053&lt;/D&gt;&lt;/FQL&gt;&lt;FQL&gt;&lt;Q&gt;RCL-US^FF_ROE(ANN_R,12/30/2015)&lt;/Q&gt;&lt;R&gt;1&lt;/R&gt;&lt;C&gt;1&lt;/C&gt;&lt;D xsi:type="xsd:double"&gt;8.9412368750403672&lt;/D&gt;&lt;/FQL&gt;&lt;FQL&gt;&lt;Q&gt;RGLD-US^FF_ROE(ANN_R,12/30/2015)&lt;/Q&gt;&lt;R&gt;1&lt;/R&gt;&lt;C&gt;1&lt;/C&gt;&lt;D xsi:type="xsd:double"&gt;2.2075908584114989&lt;/D&gt;&lt;/FQL&gt;&lt;FQL&gt;&lt;Q&gt;OFC-US^FF_ROE(ANN_R,12/30/2015)&lt;/Q&gt;&lt;R&gt;1&lt;/R&gt;&lt;C&gt;1&lt;/C&gt;&lt;D xsi:type="xsd:double"&gt;1.9014899859472021&lt;/D&gt;&lt;/FQL&gt;&lt;FQL&gt;&lt;Q&gt;RPM-US^FF_ROE(ANN_R,12/30/2015)&lt;/Q&gt;&lt;R&gt;1&lt;/R&gt;&lt;C&gt;1&lt;/C&gt;&lt;D xsi:type="xsd:double"&gt;17.539962815548069&lt;/D&gt;&lt;/FQL&gt;&lt;FQL&gt;&lt;Q&gt;RTN-US^FF_ROE(ANN_R,12/30/2015)&lt;/Q&gt;&lt;R&gt;1&lt;/R&gt;&lt;C&gt;1&lt;/C&gt;&lt;D xsi:type="xsd:double"&gt;21.196498054474709&lt;/D&gt;&lt;/FQL&gt;&lt;FQL&gt;&lt;Q&gt;CXW-US^FF_ROE(ANN_R,12/30/2015)&lt;/Q&gt;&lt;R&gt;1&lt;/R&gt;&lt;C&gt;1&lt;/C&gt;&lt;D xsi:type="xsd:double"&gt;13.07114896178193&lt;/D&gt;&lt;/FQL&gt;&lt;FQL&gt;&lt;Q&gt;R-US^FF_ROE(ANN_R,12/30/2015)&lt;/Q&gt;&lt;R&gt;1&lt;/R&gt;&lt;C&gt;1&lt;/C&gt;&lt;D xsi:type="xsd:double"&gt;11.81861628098471&lt;/D&gt;&lt;/FQL&gt;&lt;FQL&gt;&lt;Q&gt;ADS-US^FF_ROE(ANN_R,12/30/2015)&lt;/Q&gt;&lt;R&gt;1&lt;/R&gt;&lt;C&gt;1&lt;/C&gt;&lt;D xsi:type="xsd:double"&gt;30.227348691216029&lt;/D&gt;&lt;/FQL&gt;&lt;FQL&gt;&lt;Q&gt;FTI.XX1-US^FF_ROE(ANN_R,12/30/2015)&lt;/Q&gt;&lt;R&gt;1&lt;/R&gt;&lt;C&gt;1&lt;/C&gt;&lt;D xsi:type="xsd:double"&gt;29.32439509793652&lt;/D&gt;&lt;/FQL&gt;&lt;FQL&gt;&lt;Q&gt;SM-US^FF_ROE(ANN_R,12/30/2015)&lt;/Q&gt;&lt;R&gt;1&lt;/R&gt;&lt;C&gt;1&lt;/C&gt;&lt;D xsi:type="xsd:double"&gt;34.213694909124911&lt;/D&gt;&lt;/FQL&gt;&lt;FQL&gt;&lt;Q&gt;SNDK-US^FF_ROE(ANN_R,12/30/2015)&lt;/Q&gt;&lt;R&gt;1&lt;/R&gt;&lt;C&gt;1&lt;/C&gt;&lt;D xsi:type="xsd:double"&gt;14.929625825739629&lt;/D&gt;&lt;/FQL&gt;&lt;FQL&gt;&lt;Q&gt;COL-US^FF_ROE(ANN_R,12/30/2015)&lt;/Q&gt;&lt;R&gt;1&lt;/R&gt;&lt;C&gt;1&lt;/C&gt;&lt;D xsi:type="xsd:double"&gt;36.924714019686093&lt;/D&gt;&lt;/FQL&gt;&lt;FQL&gt;&lt;Q&gt;STJ-US^FF_ROE(ANN_R,12/30/2015)&lt;/Q&gt;&lt;R&gt;1&lt;/R&gt;&lt;C&gt;1&lt;/C&gt;&lt;D xsi:type="xsd:double"&gt;23.772241992882559&lt;/D&gt;&lt;/FQL&gt;&lt;FQL&gt;&lt;Q&gt;JOE-US^FF_ROE(ANN_R,12/30/2015)&lt;/Q&gt;&lt;R&gt;1&lt;/R&gt;&lt;C&gt;1&lt;/C&gt;&lt;D xsi:type="xsd:double"&gt;53.146290803320937&lt;/D&gt;&lt;/FQL&gt;&lt;FQL&gt;&lt;Q&gt;TRV-US^FF_ROE(ANN_R,12/30/2015)&lt;/Q&gt;&lt;R&gt;1&lt;/R&gt;&lt;C&gt;1&lt;/C&gt;&lt;D xsi:type="xsd:double"&gt;14.76869761444229&lt;/D&gt;&lt;/FQL&gt;&lt;FQL&gt;&lt;Q&gt;FIS-US^FF_ROE(ANN_R,12/30/2015)&lt;/Q&gt;&lt;R&gt;1&lt;/R&gt;&lt;C&gt;1&lt;/C&gt;&lt;D xsi:type="xsd:double"&gt;10.512133483542909&lt;/D&gt;&lt;/FQL&gt;&lt;FQL&gt;&lt;Q&gt;MRK-US^FF_ROE(ANN_R,12/30/2015)&lt;/Q&gt;&lt;R&gt;1&lt;/R&gt;&lt;C&gt;1&lt;/C&gt;&lt;D xsi:type="xsd:double"&gt;24.224688046173231&lt;/D&gt;&lt;/FQL&gt;&lt;FQL&gt;&lt;Q&gt;BKNG-US^FF_ROE(ANN_R,12/30/2015)&lt;/Q&gt;&lt;R&gt;1&lt;/R&gt;&lt;C&gt;1&lt;/C&gt;&lt;D xsi:type="xsd:double"&gt;31.29603009687704&lt;/D&gt;&lt;/FQL&gt;&lt;FQL&gt;&lt;Q&gt;SCHW-US^FF_ROE(ANN_R,12/30/2015)&lt;/Q&gt;&lt;R&gt;1&lt;/R&gt;&lt;C&gt;1&lt;/C&gt;&lt;D xsi:type="xsd:double"&gt;11.909484313018391&lt;/D&gt;&lt;/FQL&gt;&lt;FQL&gt;&lt;Q&gt;SMG-US^FF_ROE(ANN_R,12/30/2015)&lt;/Q&gt;&lt;R&gt;1&lt;/R&gt;&lt;C&gt;1&lt;/C&gt;&lt;D xsi:type="xsd:double"&gt;23.654632152588551&lt;/D&gt;&lt;/FQL&gt;&lt;FQL&gt;&lt;Q&gt;JOY-US^FF_ROE(ANN_R,12/30/2015)&lt;/Q&gt;&lt;R&gt;1&lt;/R&gt;&lt;C&gt;1&lt;/C&gt;&lt;D xsi:type="xsd:double"&gt;-55.352531700141583&lt;/D&gt;&lt;/FQL&gt;&lt;FQL&gt;&lt;Q&gt;ZBH-US^FF_ROE(ANN_R,12/30/2015)&lt;/Q&gt;&lt;R&gt;1&lt;/R&gt;&lt;C&gt;1&lt;/C&gt;&lt;D xsi:type="xsd:double"&gt;11.23567455395105&lt;/D&gt;&lt;/FQL&gt;&lt;FQL&gt;&lt;Q&gt;SPXC-US^FF_ROE(ANN_R,12/30/2015)&lt;/Q&gt;&lt;R&gt;1&lt;/R&gt;&lt;C&gt;1&lt;/C&gt;&lt;D xsi:type="xsd:double"&gt;19.59807842249554&lt;/D&gt;&lt;/FQL&gt;&lt;FQL&gt;&lt;Q&gt;BG-US^FF_ROE(ANN_R,12/30/2015)&lt;/Q&gt;&lt;R&gt;1&lt;/R&gt;&lt;C&gt;1&lt;/C&gt;&lt;D xsi:type="xsd:double"&gt;5.1248429219253673&lt;/D&gt;&lt;/FQL&gt;&lt;FQL&gt;&lt;Q&gt;SEIC-US^FF_ROE(ANN_R,12/30/2015)&lt;/Q&gt;&lt;R&gt;1&lt;/R&gt;&lt;C&gt;1&lt;/C&gt;&lt;D xsi:type="xsd:double"&gt;26.51947171239987&lt;/D&gt;&lt;/FQL&gt;&lt;FQL&gt;&lt;Q&gt;ABC-US^FF_ROE(ANN_R,12/30/2015)&lt;/Q&gt;&lt;R&gt;1&lt;/R&gt;&lt;C&gt;1&lt;/C&gt;&lt;D xsi:type="xsd:double"&gt;-10.73841412824464&lt;/D&gt;&lt;/FQL&gt;&lt;FQL&gt;&lt;Q&gt;SCI-US^FF_ROE(ANN_R,12/30/2015)&lt;/Q&gt;&lt;R&gt;1&lt;/R&gt;&lt;C&gt;1&lt;/C&gt;&lt;D xsi:type="xsd:double"&gt;12.237563224140089&lt;/D&gt;&lt;/FQL&gt;&lt;FQL&gt;&lt;Q&gt;CKH-US^FF_ROE(ANN_R,12/30/2015)&lt;/Q&gt;&lt;R&gt;1&lt;/R&gt;&lt;C&gt;1&lt;/C&gt;&lt;D xsi:type="xsd:double"&gt;7.1514020053236287&lt;/D&gt;&lt;/FQL&gt;&lt;FQL&gt;&lt;Q&gt;PFG-US^FF_ROE(ANN_R,12/30/2015)&lt;/Q&gt;&lt;R&gt;1&lt;/R&gt;&lt;C&gt;1&lt;/C&gt;&lt;D xsi:type="xsd:double"&gt;11.318589504836879&lt;/D&gt;&lt;/FQL&gt;&lt;FQL&gt;&lt;Q&gt;SHW-US^FF_ROE(ANN_R,12/30/2015)&lt;/Q&gt;&lt;R&gt;1&lt;/R&gt;&lt;C&gt;1&lt;/C&gt;&lt;D xsi:type="xsd:double"&gt;62.143157446486022&lt;/D&gt;&lt;/FQL&gt;&lt;FQL&gt;&lt;Q&gt;SPN-US^FF_ROE(ANN_R,12/30/2015)&lt;/Q&gt;&lt;R&gt;1&lt;/R&gt;&lt;C&gt;1&lt;/C&gt;&lt;D xsi:type="xsd:double"&gt;6.8392102379413826&lt;/D&gt;&lt;/FQL&gt;&lt;FQL&gt;&lt;Q&gt;CNC-US^FF_ROE(ANN_R,12/30/2015)&lt;/Q&gt;&lt;R&gt;1&lt;/R&gt;&lt;C&gt;1&lt;/C&gt;&lt;D xsi:type="xsd:double"&gt;17.998409021232419&lt;/D&gt;&lt;/FQL&gt;&lt;FQL&gt;&lt;Q&gt;PMCS-US^FF_ROE(ANN_R,12/30/2015)&lt;/Q&gt;&lt;R&gt;1&lt;/R&gt;&lt;C&gt;1&lt;/C&gt;&lt;D xsi:type="xsd:double"&gt;0.0135034660268439&lt;/D&gt;&lt;/FQL&gt;&lt;FQL&gt;&lt;Q&gt;SLGN-US^FF_ROE(ANN_R,12/30/2015)&lt;/Q&gt;&lt;R&gt;1&lt;/R&gt;&lt;C&gt;1&lt;/C&gt;&lt;D xsi:type="xsd:double"&gt;25.620329835882728&lt;/D&gt;&lt;/FQL&gt;&lt;FQL&gt;&lt;Q&gt;SPG-US^FF_ROE(ANN_R,12/30/2015)&lt;/Q&gt;&lt;R&gt;1&lt;/R&gt;&lt;C&gt;1&lt;/C&gt;&lt;D xsi:type="xsd:double"&gt;22.315005515608149&lt;/D&gt;&lt;/FQL&gt;&lt;FQL&gt;&lt;Q&gt;WTW-US^FF_ROE(ANN_R,12/30/2015)&lt;/Q&gt;&lt;R&gt;0&lt;/R&gt;&lt;C&gt;0&lt;/C&gt;&lt;/FQL&gt;&lt;FQL&gt;&lt;Q&gt;WOOF-US^FF_ROE(ANN_R,12/30/2015)&lt;/Q&gt;&lt;R&gt;1&lt;/R&gt;&lt;C&gt;1&lt;/C&gt;&lt;D xsi:type="xsd:double"&gt;10.80053875898829&lt;/D&gt;&lt;/FQL&gt;&lt;FQL&gt;&lt;Q&gt;AYI-US^FF_ROE(ANN_R,12/30/2015)&lt;/Q&gt;&lt;R&gt;1&lt;/R&gt;&lt;C&gt;1&lt;/C&gt;&lt;D xsi:type="xsd:double"&gt;17.523281157123041&lt;/D&gt;&lt;/FQL&gt;&lt;FQL&gt;&lt;Q&gt;SNA-US^FF_ROE(ANN_R,12/30/2015)&lt;/Q&gt;&lt;R&gt;1&lt;/R&gt;&lt;C&gt;1&lt;/C&gt;&lt;D xsi:type="xsd:double"&gt;19.527887063179818&lt;/D&gt;&lt;/FQL&gt;&lt;FQL&gt;&lt;Q&gt;PRU-US^FF_ROE(ANN_R,12/30/2015)&lt;/Q&gt;&lt;R&gt;1&lt;/R&gt;&lt;C&gt;1&lt;/C&gt;&lt;D xsi:type="xsd:double"&gt;3.5172879244107569&lt;/D&gt;&lt;/FQL&gt;&lt;FQL&gt;&lt;Q&gt;SCHN-US^FF_ROE(ANN_R,12/30/2015)&lt;/Q&gt;&lt;R&gt;1&lt;/R&gt;&lt;C&gt;1&lt;/C&gt;&lt;D xsi:type="xsd:double"&gt;-29.078255966549172&lt;/D&gt;&lt;/FQL&gt;&lt;FQL&gt;&lt;Q&gt;SON-US^FF_ROE(ANN_R,12/30/2015)&lt;/Q&gt;&lt;R&gt;1&lt;/R&gt;&lt;C&gt;1&lt;/C&gt;&lt;D xsi:type="xsd:double"&gt;14.21009065131574&lt;/D&gt;&lt;/FQL&gt;&lt;FQL&gt;&lt;Q&gt;AAP-US^FF_ROE(ANN_R,12/30/2015)&lt;/Q&gt;&lt;R&gt;1&lt;/R&gt;&lt;C&gt;1&lt;/C&gt;&lt;D xsi:type="xsd:double"&gt;27.976904433697431&lt;/D&gt;&lt;/FQL&gt;&lt;FQL&gt;&lt;Q&gt;BID-US^FF_ROE(ANN_R,12/30/2015)&lt;/Q&gt;&lt;R&gt;1&lt;/R&gt;&lt;C&gt;1&lt;/C&gt;&lt;D xsi:type="xsd:double"&gt;11.57631450435421&lt;/D&gt;&lt;/FQL&gt;&lt;FQL&gt;&lt;Q&gt;ALR-US^FF_ROE(ANN_R,12/30/2015)&lt;/Q&gt;&lt;R&gt;1&lt;/R&gt;&lt;C&gt;1&lt;/C&gt;&lt;D xsi:type="xsd:double"&gt;-8.6099499794504766&lt;/D&gt;&lt;/FQL&gt;&lt;FQL&gt;&lt;Q&gt;SCCO-US^FF_ROE(ANN_R,12/30/2015)&lt;/Q&gt;&lt;R&gt;1&lt;/R&gt;&lt;C&gt;1&lt;/C&gt;&lt;D xsi:type="xsd:double"&gt;23.513117957277231&lt;/D&gt;&lt;/FQL&gt;&lt;FQL&gt;&lt;Q&gt;X-US^FF_ROE(ANN_R,12/30/2015)&lt;/Q&gt;&lt;R&gt;1&lt;/R&gt;&lt;C&gt;1&lt;/C&gt;&lt;D xsi:type="xsd:double"&gt;2.9382957884427028&lt;/D&gt;&lt;/FQL&gt;&lt;FQL&gt;&lt;Q&gt;SWN-US^FF_ROE(ANN_R,12/30/2015)&lt;/Q&gt;&lt;R&gt;1&lt;/R&gt;&lt;C&gt;1&lt;/C&gt;&lt;D xsi:type="xsd:double"&gt;22.307982950327311&lt;/D&gt;&lt;/FQL&gt;&lt;FQL&gt;&lt;Q&gt;EIX-US^FF_ROE(ANN_R,12/30/2015)&lt;/Q&gt;&lt;R&gt;1&lt;/R&gt;&lt;C&gt;1&lt;/C&gt;&lt;D xsi:type="xsd:double"&gt;13.647238970236391&lt;/D&gt;&lt;/FQL&gt;&lt;FQL&gt;&lt;Q&gt;SO-US^FF_ROE(ANN_R,12/30/2015)&lt;/Q&gt;&lt;R&gt;1&lt;/R&gt;&lt;C&gt;1&lt;/C&gt;&lt;D xsi:type="xsd:double"&gt;9.8546786676047446&lt;/D&gt;&lt;/FQL&gt;&lt;FQL&gt;&lt;Q&gt;BBT-US^FF_ROE(ANN_R,12/30/2015)&lt;/Q&gt;&lt;R&gt;1&lt;/R&gt;&lt;C&gt;1&lt;/C&gt;&lt;D xsi:type="xsd:double"&gt;9.134339766864132&lt;/D&gt;&lt;/FQL&gt;&lt;FQL&gt;&lt;Q&gt;LUV-US^FF_ROE(ANN_R,12/30/2015)&lt;/Q&gt;&lt;R&gt;1&lt;/R&gt;&lt;C&gt;1&lt;/C&gt;&lt;D xsi:type="xsd:double"&gt;16.157607540216851&lt;/D&gt;&lt;/FQL&gt;&lt;FQL&gt;&lt;Q&gt;T-US^FF_ROE(ANN_R,12/30/2015)&lt;/Q&gt;&lt;R&gt;1&lt;/R&gt;&lt;C&gt;1&lt;/C&gt;&lt;D xsi:type="xsd:double"&gt;7.0185726045625234&lt;/D&gt;&lt;/FQL&gt;&lt;FQL&gt;&lt;Q&gt;CVX-US^FF_ROE(ANN_R,12/30/2015)&lt;/Q&gt;&lt;R&gt;1&lt;/R&gt;&lt;C&gt;1&lt;/C&gt;&lt;D xsi:type="xsd:double"&gt;12.6526841169063&lt;/D&gt;&lt;/FQL&gt;&lt;FQL&gt;&lt;Q&gt;SPLS-US^FF_ROE(ANN_R,12/30/2015)&lt;/Q&gt;&lt;R&gt;1&lt;/R&gt;&lt;C&gt;1&lt;/C&gt;&lt;D xsi:type="xsd:double"&gt;2.3524038232026689&lt;/D&gt;&lt;/FQL&gt;&lt;FQL&gt;&lt;Q&gt;STT-US^FF_ROE(ANN_R,12/30/2015)&lt;/Q&gt;&lt;R&gt;1&lt;/R&gt;&lt;C&gt;1&lt;/C&gt;&lt;D xsi:type="xsd:double"&gt;9.7201978447348925&lt;/D&gt;&lt;/FQL&gt;&lt;FQL&gt;&lt;Q&gt;SBUX-US^FF_ROE(ANN_R,12/30/2015)&lt;/Q&gt;&lt;R&gt;1&lt;/R&gt;&lt;C&gt;1&lt;/C&gt;&lt;D xsi:type="xsd:double"&gt;49.727682596934173&lt;/D&gt;&lt;/FQL&gt;&lt;FQL&gt;&lt;Q&gt;SF-US^FF_ROE(ANN_R,12/30/2015)&lt;/Q&gt;&lt;R&gt;1&lt;/R&gt;&lt;C&gt;1&lt;/C&gt;&lt;D xsi:type="xsd:double"&gt;8.177795957759237&lt;/D&gt;&lt;/FQL&gt;&lt;FQL&gt;&lt;Q&gt;STLD-US^FF_ROE(ANN_R,12/30/2015)&lt;/Q&gt;&lt;R&gt;1&lt;/R&gt;&lt;C&gt;1&lt;/C&gt;&lt;D xsi:type="xsd:double"&gt;5.75143883034347&lt;/D&gt;&lt;/FQL&gt;&lt;FQL&gt;&lt;Q&gt;EE-US^FF_ROE(ANN_R,12/30/2015)&lt;/Q&gt;&lt;R&gt;1&lt;/R&gt;&lt;C&gt;1&lt;/C&gt;&lt;D xsi:type="xsd:double"&gt;9.4525817559062411&lt;/D&gt;&lt;/FQL&gt;&lt;FQL&gt;&lt;Q&gt;PSA-US^FF_ROE(ANN_R,12/30/2015)&lt;/Q&gt;&lt;R&gt;1&lt;/R&gt;&lt;C&gt;1&lt;/C&gt;&lt;D xsi:type="xsd:double"&gt;12.486637041862741&lt;/D&gt;&lt;/FQL&gt;&lt;FQL&gt;&lt;Q&gt;STRA-US^FF_ROE(ANN_R,12/30/2015)&lt;/Q&gt;&lt;R&gt;1&lt;/R&gt;&lt;C&gt;1&lt;/C&gt;&lt;D xsi:type="xsd:double"&gt;70.431651397055461&lt;/D&gt;&lt;/FQL&gt;&lt;FQL&gt;&lt;Q&gt;SYK-US^FF_ROE(ANN_R,12/30/2015)&lt;/Q&gt;&lt;R&gt;1&lt;/R&gt;&lt;C&gt;1&lt;/C&gt;&lt;D xsi:type="xsd:double"&gt;5.8383403242262784&lt;/D&gt;&lt;/FQL&gt;&lt;FQL&gt;&lt;Q&gt;NFLX-US^FF_ROE(ANN_R,12/30/2015)&lt;/Q&gt;&lt;R&gt;1&lt;/R&gt;&lt;C&gt;1&lt;/C&gt;&lt;D xsi:type="xsd:double"&gt;16.720558498829149&lt;/D&gt;&lt;/FQL&gt;&lt;FQL&gt;&lt;Q&gt;SRCL-US^FF_ROE(ANN_R,12/30/2015)&lt;/Q&gt;&lt;R&gt;1&lt;/R&gt;&lt;C&gt;1&lt;/C&gt;&lt;D xsi:type="xsd:double"&gt;17.910213571736779&lt;/D&gt;&lt;/FQL&gt;&lt;FQL&gt;&lt;Q&gt;STI-US^FF_ROE(ANN_R,12/30/2015)&lt;/Q&gt;&lt;R&gt;1&lt;/R&gt;&lt;C&gt;1&lt;/C&gt;&lt;D xsi:type="xsd:double"&gt;7.941116888378688&lt;/D&gt;&lt;/FQL&gt;&lt;FQL&gt;&lt;Q&gt;SYMC-US^FF_ROE(ANN_R,12/30/2015)&lt;/Q&gt;&lt;R&gt;1&lt;/R&gt;&lt;C&gt;1&lt;/C&gt;&lt;D xsi:type="xsd:double"&gt;1.858165700647801&lt;/D&gt;&lt;/FQL&gt;&lt;FQL&gt;&lt;Q&gt;SSP-US^FF_ROE(ANN_R,12/30/2015)&lt;/Q&gt;&lt;R&gt;1&lt;/R&gt;&lt;C&gt;1&lt;/C&gt;&lt;D xsi:type="xsd:double"&gt;1.9339334936642949&lt;/D&gt;&lt;/FQL&gt;&lt;FQL&gt;&lt;Q&gt;SVU-US^FF_ROE(ANN_R,12/30/2015)&lt;/Q&gt;&lt;R&gt;0&lt;/R&gt;&lt;C&gt;0&lt;/C&gt;&lt;/FQL&gt;&lt;FQL&gt;&lt;Q&gt;RGC-US^FF_ROE(ANN_R,12/30/2015)&lt;/Q&gt;&lt;R&gt;0&lt;/R&gt;&lt;C&gt;0&lt;/C&gt;&lt;/FQL&gt;&lt;FQL&gt;&lt;Q&gt;SNPS-US^FF_ROE(ANN_R,12/30/2015)&lt;/Q&gt;&lt;R&gt;1&lt;/R&gt;&lt;C&gt;1&lt;/C&gt;&lt;D xsi:type="xsd:double"&gt;7.2997801833523184&lt;/D&gt;&lt;/FQL&gt;&lt;FQL&gt;&lt;Q&gt;SYY-US^FF_ROE(ANN_R,12/30/2015)&lt;/Q&gt;&lt;R&gt;1&lt;/R&gt;&lt;C&gt;1&lt;/C&gt;&lt;D xsi:type="xsd:double"&gt;13.04793928783911&lt;/D&gt;&lt;/FQL&gt;&lt;FQL&gt;&lt;Q&gt;TCF-US^FF_ROE(ANN_R,12/30/2015)&lt;/Q&gt;&lt;R&gt;1&lt;/R&gt;&lt;C&gt;1&lt;/C&gt;&lt;D xsi:type="xsd:double"&gt;8.5478954218273753&lt;/D&gt;&lt;/FQL&gt;&lt;FQL&gt;&lt;Q&gt;ISRG-US^FF_ROE(ANN_R,12/30/2015)&lt;/Q&gt;&lt;R&gt;1&lt;/R&gt;&lt;C&gt;1&lt;/C&gt;&lt;D xsi:type="xsd:double"&gt;12.173003139169859&lt;/D&gt;&lt;/FQL&gt;&lt;FQL&gt;&lt;Q&gt;TUP-US^FF_ROE(ANN_R,12/30/2015)&lt;/Q&gt;&lt;R&gt;1&lt;/R&gt;&lt;C&gt;1&lt;/C&gt;&lt;D xsi:type="xsd:double"&gt;97.743332573512646&lt;/D&gt;&lt;/FQL&gt;&lt;FQL&gt;&lt;Q&gt;AROPQ-US^FF_ROE(ANN_R,12/30/2015)&lt;/Q&gt;&lt;R&gt;1&lt;/R&gt;&lt;C&gt;1&lt;/C&gt;&lt;D xsi:type="xsd:double"&gt;-110.3333653979756&lt;/D&gt;&lt;/FQL&gt;&lt;FQL&gt;&lt;Q&gt;TCO-US^FF_ROE(ANN_R,12/30/2015)&lt;/Q&gt;&lt;R&gt;1&lt;/R&gt;&lt;C&gt;1&lt;/C&gt;&lt;D xsi:type="xsd:double"&gt;-221.512742387861&lt;/D&gt;&lt;/FQL&gt;&lt;FQL&gt;&lt;Q&gt;SKT-US^FF_ROE(ANN_R,12/30/2015)&lt;/Q&gt;&lt;R&gt;1&lt;/R&gt;&lt;C&gt;1&lt;/C&gt;&lt;D xsi:type="xsd:double"&gt;14.15769941064374&lt;/D&gt;&lt;/FQL&gt;&lt;FQL&gt;&lt;Q&gt;TECD-US^FF_ROE(ANN_R,12/30/2015)&lt;/Q&gt;&lt;R&gt;1&lt;/R&gt;&lt;C&gt;1&lt;/C&gt;&lt;D xsi:type="xsd:double"&gt;8.631811634802208&lt;/D&gt;&lt;/FQL&gt;&lt;FQL&gt;&lt;Q&gt;TE-US^FF_ROE(ANN_R,12/30/2015)&lt;/Q&gt;&lt;R&gt;1&lt;/R&gt;&lt;C&gt;1&lt;/C&gt;&lt;D xsi:type="xsd:double"&gt;8.3815499959253525&lt;/D&gt;&lt;/FQL&gt;&lt;FQL&gt;&lt;Q&gt;TFX-US^FF_ROE(ANN_R,12/30/2015)&lt;/Q&gt;&lt;R&gt;1&lt;/R&gt;&lt;C&gt;1&lt;/C&gt;&lt;D xsi:type="xsd:double"&gt;9.9553549485520421&lt;/D&gt;&lt;/FQL&gt;&lt;FQL&gt;&lt;Q&gt;TER-US^FF_ROE(ANN_R,12/30/2015)&lt;/Q&gt;&lt;R&gt;1&lt;/R&gt;&lt;C&gt;1&lt;/C&gt;&lt;D xsi:type="xsd:double"&gt;3.99953347306176&lt;/D&gt;&lt;/FQL&gt;&lt;FQL&gt;&lt;Q&gt;TEX-US^FF_ROE(ANN_R,12/30/2015)&lt;/Q&gt;&lt;R&gt;1&lt;/R&gt;&lt;C&gt;1&lt;/C&gt;&lt;D xsi:type="xsd:double"&gt;12.34509056244042&lt;/D&gt;&lt;/FQL&gt;&lt;FQL&gt;&lt;Q&gt;ANDV-US^FF_ROE(ANN_R,12/30/2015)&lt;/Q&gt;&lt;R&gt;1&lt;/R&gt;&lt;C&gt;1&lt;/C&gt;&lt;D xsi:type="xsd:double"&gt;19.917770671539522&lt;/D&gt;&lt;/FQL&gt;&lt;FQL&gt;&lt;Q&gt;TXN-US^FF_ROE(ANN_R,12/30/2015)&lt;/Q&gt;&lt;R&gt;1&lt;/R&gt;&lt;C&gt;1&lt;/C&gt;&lt;D xsi:type="xsd:double"&gt;26.201821012407422&lt;/D&gt;&lt;/FQL&gt;&lt;FQL&gt;&lt;Q&gt;TXT-US^FF_ROE(ANN_R,12/30/2015)&lt;/Q&gt;&lt;R&gt;1&lt;/R&gt;&lt;C&gt;1&lt;/C&gt;&lt;D xsi:type="xsd:double"&gt;13.97874306839187&lt;/D&gt;&lt;/FQL&gt;&lt;FQL&gt;&lt;Q&gt;TMO-US^FF_ROE(ANN_R,12/30/2015)&lt;/Q&gt;&lt;R&gt;1&lt;/R&gt;&lt;C&gt;1&lt;/C&gt;&lt;D xsi:type="xsd:double"&gt;10.135225455964839&lt;/D&gt;&lt;/FQL&gt;&lt;FQL&gt;&lt;Q&gt;TRI-CA^FF_ROE(ANN_R,12/30/2015)&lt;/Q&gt;&lt;R&gt;1&lt;/R&gt;&lt;C&gt;1&lt;/C&gt;&lt;D xsi:type="xsd:double"&gt;12.6025712762512&lt;/D&gt;&lt;/FQL&gt;&lt;FQL&gt;&lt;Q&gt;DDD-US^FF_ROE(ANN_R,12/30/2015)&lt;/Q&gt;&lt;R&gt;1&lt;/R&gt;&lt;C&gt;1&lt;/C&gt;&lt;D xsi:type="xsd:double"&gt;1.0457573900368631&lt;/D&gt;&lt;/FQL&gt;&lt;FQL&gt;&lt;Q&gt;THO-US^FF_ROE(ANN_R,12/30/2015)&lt;/Q&gt;&lt;R&gt;1&lt;/R&gt;&lt;C&gt;1&lt;/C&gt;&lt;D xsi:type="xsd:double"&gt;19.776844891829391&lt;/D&gt;&lt;/FQL&gt;&lt;FQL&gt;&lt;Q&gt;TDW-US^FF_ROE(ANN_R,12/30/2015)&lt;/Q&gt;&lt;R&gt;1&lt;/R&gt;&lt;C&gt;1&lt;/C&gt;&lt;D xsi:type="xsd:double"&gt;-2.5297485075298729&lt;/D&gt;&lt;/FQL&gt;&lt;FQL&gt;&lt;Q&gt;MWW-US^FF_ROE(ANN_R,12/30/2015)&lt;/Q&gt;&lt;R&gt;1&lt;/R&gt;&lt;C&gt;1&lt;/C&gt;&lt;D xsi:type="xsd:double"&gt;-47.809686085166611&lt;/D&gt;&lt;/FQL&gt;&lt;FQL&gt;&lt;Q&gt;TIF-US^FF_ROE(ANN_R,12/30/2015)&lt;/Q&gt;&lt;R&gt;1&lt;/R&gt;&lt;C&gt;1&lt;/C&gt;&lt;D xsi:type="xsd:double"&gt;17.430630856362779&lt;/D&gt;&lt;/FQL&gt;&lt;FQL&gt;&lt;Q&gt;TKR-US^FF_ROE(ANN_R,12/30/2015)&lt;/Q&gt;&lt;R&gt;1&lt;/R&gt;&lt;C&gt;1&lt;/C&gt;&lt;D xsi:type="xsd:double"&gt;6.9692366122293956&lt;/D&gt;&lt;/FQL&gt;&lt;FQL&gt;&lt;Q&gt;TGI-US^FF_ROE(ANN_R,12/30/2015)&lt;/Q&gt;&lt;R&gt;1&lt;/R&gt;&lt;C&gt;1&lt;/C&gt;&lt;D xsi:type="xsd:double"&gt;10.801514584151169&lt;/D&gt;&lt;/FQL&gt;&lt;FQL&gt;&lt;Q&gt;UNFI-US^FF_ROE(ANN_R,12/30/2015)&lt;/Q&gt;&lt;R&gt;1&lt;/R&gt;&lt;C&gt;1&lt;/C&gt;&lt;D xsi:type="xsd:double"&gt;10.554540554460671&lt;/D&gt;&lt;/FQL&gt;&lt;FQL&gt;&lt;Q&gt;TOL-US^FF_ROE(ANN_R,12/30/2015)&lt;/Q&gt;&lt;R&gt;1&lt;/R&gt;&lt;C&gt;1&lt;/C&gt;&lt;D xsi:type="xsd:double"&gt;8.9926956184977627&lt;/D&gt;&lt;/FQL&gt;&lt;FQL&gt;&lt;Q&gt;TMK-US^FF_ROE(ANN_R,12/30/2015)&lt;/Q&gt;&lt;R&gt;1&lt;/R&gt;&lt;C&gt;1&lt;/C&gt;&lt;D xsi:type="xsd:double"&gt;12.46367630703929&lt;/D&gt;&lt;/FQL&gt;&lt;FQL&gt;&lt;Q&gt;TTC-US^FF_ROE(ANN_R,12/30/2015)&lt;/Q&gt;&lt;R&gt;1&lt;/R&gt;&lt;C&gt;1&lt;/C&gt;&lt;D xsi:type="xsd:double"&gt;46.295292642486089&lt;/D&gt;&lt;/FQL&gt;&lt;FQL&gt;&lt;Q&gt;TSS-US^FF_ROE(ANN_R,12/30/2015)&lt;/Q&gt;&lt;R&gt;1&lt;/R&gt;&lt;C&gt;1&lt;/C&gt;&lt;D xsi:type="xsd:double"&gt;16.5499280813748&lt;/D&gt;&lt;/FQL&gt;&lt;FQL&gt;&lt;Q&gt;DVA-US^FF_ROE(ANN_R,12/30/2015)&lt;/Q&gt;&lt;R&gt;1&lt;/R&gt;&lt;C&gt;1&lt;/C&gt;&lt;D xsi:type="xsd:double"&gt;15.060181243512441&lt;/D&gt;&lt;/FQL&gt;&lt;FQL&gt;&lt;Q&gt;TSCO-US^FF_ROE(ANN_R,12/30/2015)&lt;/Q&gt;&lt;R&gt;1&lt;/R&gt;&lt;C&gt;1&lt;/C&gt;&lt;D xsi:type="xsd:double"&gt;29.19831290064182&lt;/D&gt;&lt;/FQL&gt;&lt;FQL&gt;&lt;Q&gt;TRMB-US^FF_ROE(ANN_R,12/30/2015)&lt;/Q&gt;&lt;R&gt;1&lt;/R&gt;&lt;C&gt;1&lt;/C&gt;&lt;D xsi:type="xsd:double"&gt;9.3543792814203837&lt;/D&gt;&lt;/FQL&gt;&lt;FQL&gt;&lt;Q&gt;TRN-US^FF_ROE(ANN_R,12/30/2015)&lt;/Q&gt;&lt;R&gt;1&lt;/R&gt;&lt;C&gt;1&lt;/C&gt;&lt;D xsi:type="xsd:double"&gt;24.309003334568359&lt;/D&gt;&lt;/FQL&gt;&lt;FQL&gt;&lt;Q&gt;TSN-US^FF_ROE(ANN_R,12/30/2015)&lt;/Q&gt;&lt;R&gt;1&lt;/R&gt;&lt;C&gt;1&lt;/C&gt;&lt;D xsi:type="xsd:double"&gt;13.13169366557236&lt;/D&gt;&lt;/FQL&gt;&lt;FQL&gt;&lt;Q&gt;UGI-US^FF_ROE(ANN_R,12/30/2015)&lt;/Q&gt;&lt;R&gt;1&lt;/R&gt;&lt;C&gt;1&lt;/C&gt;&lt;D xsi:type="xsd:double"&gt;10.502513501896811&lt;/D&gt;&lt;/FQL&gt;&lt;FQL&gt;&lt;Q&gt;USG-US^FF_ROE(ANN_R,12/30/2015)&lt;/Q&gt;&lt;R&gt;1&lt;/R&gt;&lt;C&gt;1&lt;/C&gt;&lt;D xsi:type="xsd:double"&gt;7.2727272727272716&lt;/D&gt;&lt;/FQL&gt;&lt;FQL&gt;&lt;Q&gt;MRO-US^FF_ROE(ANN_R,12/30/2015)&lt;/Q&gt;&lt;R&gt;1&lt;/R&gt;&lt;C&gt;1&lt;/C&gt;&lt;D xsi:type="xsd:double"&gt;4.8013080963234556&lt;/D&gt;&lt;/FQL&gt;&lt;FQL&gt;&lt;Q&gt;UNP-US^FF_ROE(ANN_R,12/30/2015)&lt;/Q&gt;&lt;R&gt;1&lt;/R&gt;&lt;C&gt;1&lt;/C&gt;&lt;D xsi:type="xsd:double"&gt;24.425897109444989&lt;/D&gt;&lt;/FQL&gt;&lt;FQL&gt;&lt;Q&gt;UTX-US^FF_ROE(ANN_R,12/30/2015)&lt;/Q&gt;&lt;R&gt;1&lt;/R&gt;&lt;C&gt;1&lt;/C&gt;&lt;D xsi:type="xsd:double"&gt;19.23302525404651&lt;/D&gt;&lt;/FQL&gt;&lt;FQL&gt;&lt;Q&gt;UNH-US^FF_ROE(ANN_R,12/30/2015)&lt;/Q&gt;&lt;R&gt;1&lt;/R&gt;&lt;C&gt;1&lt;/C&gt;&lt;D xsi:type="xsd:double"&gt;17.395476990232648&lt;/D&gt;&lt;/FQL&gt;&lt;FQL&gt;&lt;Q&gt;USM-US^FF_ROE(ANN_R,12/30/2015)&lt;/Q&gt;&lt;R&gt;1&lt;/R&gt;&lt;C&gt;1&lt;/C&gt;&lt;D xsi:type="xsd:double"&gt;-1.279269084713927&lt;/D&gt;&lt;/FQL&gt;&lt;FQL&gt;&lt;Q&gt;SGMS-US^FF_ROE(ANN_R,12/30/2015)&lt;/Q&gt;&lt;R&gt;1&lt;/R&gt;&lt;C&gt;1&lt;/C&gt;&lt;D xsi:type="xsd:double"&gt;-123.673792557403&lt;/D&gt;&lt;/FQL&gt;&lt;FQL&gt;&lt;Q&gt;UHS-US^FF_ROE(ANN_R,12/30/2015)&lt;/Q&gt;&lt;R&gt;1&lt;/R&gt;&lt;C&gt;1&lt;/C&gt;&lt;D xsi:type="xsd:double"&gt;15.60586464927694&lt;/D&gt;&lt;/FQL&gt;&lt;FQL&gt;&lt;Q&gt;UNT-US^FF_ROE(ANN_R,12/30/2015)&lt;/Q&gt;&lt;R&gt;1&lt;/R&gt;&lt;C&gt;1&lt;/C&gt;&lt;D xsi:type="xsd:double"&gt;6.0489335268030926&lt;/D&gt;&lt;/FQL&gt;&lt;FQL&gt;&lt;Q&gt;VHI-US^FF_ROE(ANN_R,12/30/2015)&lt;/Q&gt;&lt;R&gt;1&lt;/R&gt;&lt;C&gt;1&lt;/C&gt;&lt;D xsi:type="xsd:double"&gt;9.9731207711558074&lt;/D&gt;&lt;/FQL&gt;&lt;FQL&gt;&lt;Q&gt;VAL-US^FF_ROE(ANN_R,12/30/2015)&lt;/Q&gt;&lt;R&gt;1&lt;/R&gt;&lt;C&gt;1&lt;/C&gt;&lt;D xsi:type="xsd:double"&gt;42.817212368040288&lt;/D&gt;&lt;/FQL&gt;&lt;FQL&gt;&lt;Q&gt;VMI-US^FF_ROE(ANN_R,12/30/2015)&lt;/Q&gt;&lt;R&gt;1&lt;/R&gt;&lt;C&gt;1&lt;/C&gt;&lt;D xsi:type="xsd:double"&gt;13.508486859447149&lt;/D&gt;&lt;/FQL&gt;&lt;FQL&gt;&lt;Q&gt;VAR-US^FF_ROE(ANN_R,12/30/2015)&lt;/Q&gt;&lt;R&gt;1&lt;/R&gt;&lt;C&gt;1&lt;/C&gt;&lt;D xsi:type="xsd:double"&gt;24.728517256506869&lt;/D&gt;&lt;/FQL&gt;&lt;FQL&gt;&lt;Q&gt;VTR-US^FF_ROE(ANN_R,12/30/2015)&lt;/Q&gt;&lt;R&gt;1&lt;/R&gt;&lt;C&gt;1&lt;/C&gt;&lt;D xsi:type="xsd:double"&gt;5.2065687240369822&lt;/D&gt;&lt;/FQL&gt;&lt;FQL&gt;&lt;Q&gt;VFC-US^FF_ROE(ANN_R,12/30/2015)&lt;/Q&gt;&lt;R&gt;1&lt;/R&gt;&lt;C&gt;1&lt;/C&gt;&lt;D xsi:type="xsd:double"&gt;17.893955544622791&lt;/D&gt;&lt;/FQL&gt;&lt;FQL&gt;&lt;Q&gt;VSH-US^FF_ROE(ANN_R,12/30/2015)&lt;/Q&gt;&lt;R&gt;1&lt;/R&gt;&lt;C&gt;1&lt;/C&gt;&lt;D xsi:type="xsd:double"&gt;6.3615532424295349&lt;/D&gt;&lt;/FQL&gt;&lt;FQL&gt;&lt;Q&gt;VRTX-US^FF_ROE(ANN_R,12/30/2015)&lt;/Q&gt;&lt;R&gt;1&lt;/R&gt;&lt;C&gt;1&lt;/C&gt;&lt;D xsi:type="xsd:double"&gt;-60.676125920298936&lt;/D&gt;&lt;/FQL&gt;&lt;FQL&gt;&lt;Q&gt;VMC-US^FF_ROE(ANN_R,12/30/2015)&lt;/Q&gt;&lt;R&gt;1&lt;/R&gt;&lt;C&gt;1&lt;/C&gt;&lt;D xsi:type="xsd:double"&gt;5.105384540971718&lt;/D&gt;&lt;/FQL&gt;&lt;FQL&gt;&lt;Q&gt;UIS-US^FF_ROE(ANN_R,12/30/2015)&lt;/Q&gt;&lt;R&gt;0&lt;/R&gt;&lt;C&gt;0&lt;/C&gt;&lt;/FQL&gt;&lt;FQL&gt;&lt;Q&gt;URBN-US^FF_ROE(ANN_R,12/30/2015)&lt;/Q&gt;&lt;R&gt;1&lt;/R&gt;&lt;C&gt;1&lt;/C&gt;&lt;D xsi:type="xsd:double"&gt;15.38168826781296&lt;/D&gt;&lt;/FQL&gt;&lt;FQL&gt;&lt;Q&gt;VNO-US^FF_ROE(ANN_R,12/30/2015)&lt;/Q&gt;&lt;R&gt;1&lt;/R&gt;&lt;C&gt;1&lt;/C&gt;&lt;D xsi:type="xsd:double"&gt;5.6134645699713523&lt;/D&gt;&lt;/FQL&gt;&lt;FQL&gt;&lt;Q&gt;VLY-US^FF_ROE(ANN_R,12/30/2015)&lt;/Q&gt;&lt;R&gt;1&lt;/R&gt;&lt;C&gt;1&lt;/C&gt;&lt;D xsi:type="xsd:double"&gt;6.8255026281874844&lt;/D&gt;&lt;/FQL&gt;&lt;FQL&gt;&lt;Q&gt;WMT-US^FF_ROE(ANN_R,12/30/2015)&lt;/Q&gt;&lt;R&gt;1&lt;/R&gt;&lt;C&gt;1&lt;/C&gt;&lt;D xsi:type="xsd:double"&gt;20.529150200762452&lt;/D&gt;&lt;/FQL&gt;&lt;FQL&gt;&lt;Q&gt;WM-US^FF_ROE(ANN_R,12/30/2015)&lt;/Q&gt;&lt;R&gt;1&lt;/R&gt;&lt;C&gt;1&lt;/C&gt;&lt;D xsi:type="xsd:double"&gt;22.431521645208679&lt;/D&gt;&lt;/FQL&gt;&lt;FQL&gt;&lt;Q&gt;WAT-US^FF_ROE(ANN_R,12/30/2015)&lt;/Q&gt;&lt;R&gt;1&lt;/R&gt;&lt;C&gt;1&lt;/C&gt;&lt;D xsi:type="xsd:double"&gt;23.599726505185171&lt;/D&gt;&lt;/FQL&gt;&lt;FQL&gt;&lt;Q&gt;VECO-US^FF_ROE(ANN_R,12/30/2015)&lt;/Q&gt;&lt;R&gt;1&lt;/R&gt;&lt;C&gt;1&lt;/C&gt;&lt;D xsi:type="xsd:double"&gt;-8.8127533469109931&lt;/D&gt;&lt;/FQL&gt;&lt;FQL&gt;&lt;Q&gt;WAFD-US^FF_ROE(ANN_R,12/30/2015)&lt;/Q&gt;&lt;R&gt;1&lt;/R&gt;&lt;C&gt;1&lt;/C&gt;&lt;D xsi:type="xsd:double"&gt;8.160730493193876&lt;/D&gt;&lt;/FQL&gt;&lt;FQL&gt;&lt;Q&gt;PAG-US^FF_ROE(ANN_R,12/30/2015)&lt;/Q&gt;&lt;R&gt;1&lt;/R&gt;&lt;C&gt;1&lt;/C&gt;&lt;D xsi:type="xsd:double"&gt;19.0928670974281&lt;/D&gt;&lt;/FQL&gt;&lt;FQL&gt;&lt;Q&gt;WRI-US^FF_ROE(ANN_R,12/30/2015)&lt;/Q&gt;&lt;R&gt;1&lt;/R&gt;&lt;C&gt;1&lt;/C&gt;&lt;D xsi:type="xsd:double"&gt;6.7572338940147612&lt;/D&gt;&lt;/FQL&gt;&lt;FQL&gt;&lt;Q&gt;SJM-US^FF_ROE(ANN_R,12/30/2015)&lt;/Q&gt;&lt;R&gt;1&lt;/R&gt;&lt;C&gt;1&lt;/C&gt;&lt;D xsi:type="xsd:double"&gt;5.6567490611975408&lt;/D&gt;&lt;/FQL&gt;&lt;FQL&gt;&lt;Q&gt;WLTGQ-US^FF_ROE(ANN_R,12/30/2015)&lt;/Q&gt;&lt;R&gt;1&lt;/R&gt;&lt;C&gt;1&lt;/C&gt;&lt;D xsi:type="xsd:double"&gt;-90.994754779918281&lt;/D&gt;&lt;/FQL&gt;&lt;FQL&gt;&lt;Q&gt;WDC-US^FF_ROE(ANN_R,12/30/2015)&lt;/Q&gt;&lt;R&gt;1&lt;/R&gt;&lt;C&gt;1&lt;/C&gt;&lt;D xsi:type="xsd:double"&gt;16.222800509384861&lt;/D&gt;&lt;/FQL&gt;&lt;FQL&gt;&lt;Q&gt;WAB-US^FF_ROE(ANN_R,12/30/2015)&lt;/Q&gt;&lt;R&gt;1&lt;/R&gt;&lt;C&gt;1&lt;/C&gt;&lt;D xsi:type="xsd:double"&gt;20.64972125284562&lt;/D&gt;&lt;/FQL&gt;&lt;FQL&gt;&lt;Q&gt;WY-US^FF_ROE(ANN_R,12/30/2015)&lt;/Q&gt;&lt;R&gt;1&lt;/R&gt;&lt;C&gt;1&lt;/C&gt;&lt;D xsi:type="xsd:double"&gt;13.687081576989829&lt;/D&gt;&lt;/FQL&gt;&lt;FQL&gt;&lt;Q&gt;WHR-US^FF_ROE(ANN_R,12/30/2015)&lt;/Q&gt;&lt;R&gt;1&lt;/R&gt;&lt;C&gt;1&lt;/C&gt;&lt;D xsi:type="xsd:double"&gt;13.25313487613416&lt;/D&gt;&lt;/FQL&gt;&lt;FQL&gt;&lt;Q&gt;SWKS-US^FF_ROE(ANN_R,12/30/2015)&lt;/Q&gt;&lt;R&gt;1&lt;/R&gt;&lt;C&gt;1&lt;/C&gt;&lt;D xsi:type="xsd:double"&gt;28.051865907653379&lt;/D&gt;&lt;/FQL&gt;&lt;FQL&gt;&lt;Q&gt;WYNN-US^FF_ROE(ANN_R,12/30/2015)&lt;/Q&gt;&lt;R&gt;0&lt;/R&gt;&lt;C&gt;0&lt;/C&gt;&lt;/FQL&gt;&lt;FQL&gt;&lt;Q&gt;WFM-US^FF_ROE(ANN_R,12/30/2015)&lt;/Q&gt;&lt;R&gt;1&lt;/R&gt;&lt;C&gt;1&lt;/C&gt;&lt;D xsi:type="xsd:double"&gt;14.1387496702717&lt;/D&gt;&lt;/FQL&gt;&lt;FQL&gt;&lt;Q&gt;NDAQ-US^FF_ROE(ANN_R,12/30/2015)&lt;/Q&gt;&lt;R&gt;1&lt;/R&gt;&lt;C&gt;1&lt;/C&gt;&lt;D xsi:type="xsd:double"&gt;6.9132503965934706&lt;/D&gt;&lt;/FQL&gt;&lt;FQL&gt;&lt;Q&gt;JW.A-US^FF_ROE(ANN_R,12/30/2015)&lt;/Q&gt;&lt;R&gt;1&lt;/R&gt;&lt;C&gt;1&lt;/C&gt;&lt;D xsi:type="xsd:double"&gt;15.810928230965351&lt;/D&gt;&lt;/FQL&gt;&lt;FQL&gt;&lt;Q&gt;CME-US^FF_ROE(ANN_R,12/30/2015)&lt;/Q&gt;&lt;R&gt;1&lt;/R&gt;&lt;C&gt;1&lt;/C&gt;&lt;D xsi:type="xsd:double"&gt;5.3571555885099906&lt;/D&gt;&lt;/FQL&gt;&lt;FQL&gt;&lt;Q&gt;WMB-US^FF_ROE(ANN_R,12/30/2015)&lt;/Q&gt;&lt;R&gt;1&lt;/R&gt;&lt;C&gt;1&lt;/C&gt;&lt;D xsi:type="xsd:double"&gt;30.877501649439189&lt;/D&gt;&lt;/FQL&gt;&lt;FQL&gt;&lt;Q&gt;WSM-US^FF_ROE(ANN_R,12/30/2015)&lt;/Q&gt;&lt;R&gt;1&lt;/R&gt;&lt;C&gt;1&lt;/C&gt;&lt;D xsi:type="xsd:double"&gt;24.900471962036651&lt;/D&gt;&lt;/FQL&gt;&lt;FQL&gt;&lt;Q&gt;DKS-US^FF_ROE(ANN_R,12/30/2015)&lt;/Q&gt;&lt;R&gt;1&lt;/R&gt;&lt;C&gt;1&lt;/C&gt;&lt;D xsi:type="xsd:double"&gt;19.53226701592666&lt;/D&gt;&lt;/FQL&gt;&lt;FQL&gt;&lt;Q&gt;LKQ-US^FF_ROE(ANN_R,12/30/2015)&lt;/Q&gt;&lt;R&gt;1&lt;/R&gt;&lt;C&gt;1&lt;/C&gt;&lt;D xsi:type="xsd:double"&gt;15.0458985503417&lt;/D&gt;&lt;/FQL&gt;&lt;FQL&gt;&lt;Q&gt;POM-US^FF_ROE(ANN_R,12/30/2015)&lt;/Q&gt;&lt;R&gt;1&lt;/R&gt;&lt;C&gt;1&lt;/C&gt;&lt;D xsi:type="xsd:double"&gt;5.5213324207164041&lt;/D&gt;&lt;/FQL&gt;&lt;FQL&gt;&lt;Q&gt;LNT-US^FF_ROE(ANN_R,12/30/2015)&lt;/Q&gt;&lt;R&gt;1&lt;/R&gt;&lt;C&gt;1&lt;/C&gt;&lt;D xsi:type="xsd:double"&gt;11.115012429600711&lt;/D&gt;&lt;/FQL&gt;&lt;FQL&gt;&lt;Q&gt;FL-US^FF_ROE(ANN_R,12/30/2015)&lt;/Q&gt;&lt;R&gt;1&lt;/R&gt;&lt;C&gt;1&lt;/C&gt;&lt;D xsi:type="xsd:double"&gt;20.833333333333339&lt;/D&gt;&lt;/FQL&gt;&lt;FQL&gt;&lt;Q&gt;AMTD-US^FF_ROE(ANN_R,12/30/2015)&lt;/Q&gt;&lt;R&gt;1&lt;/R&gt;&lt;C&gt;1&lt;/C&gt;&lt;D xsi:type="xsd:double"&gt;16.847995026422129&lt;/D&gt;&lt;/FQL&gt;&lt;FQL&gt;&lt;Q&gt;KMX-US^FF_ROE(ANN_R,12/30/2015)&lt;/Q&gt;&lt;R&gt;1&lt;/R&gt;&lt;C&gt;1&lt;/C&gt;&lt;D xsi:type="xsd:double"&gt;18.45468383087351&lt;/D&gt;&lt;/FQL&gt;&lt;FQL&gt;&lt;Q&gt;XRX-US^FF_ROE(ANN_R,12/30/2015)&lt;/Q&gt;&lt;R&gt;1&lt;/R&gt;&lt;C&gt;1&lt;/C&gt;&lt;D xsi:type="xsd:double"&gt;9.528636594019261&lt;/D&gt;&lt;/FQL&gt;&lt;FQL&gt;&lt;Q&gt;XLNX-US^FF_ROE(ANN_R,12/30/2015)&lt;/Q&gt;&lt;R&gt;1&lt;/R&gt;&lt;C&gt;1&lt;/C&gt;&lt;D xsi:type="xsd:double"&gt;24.16788397912412&lt;/D&gt;&lt;/FQL&gt;&lt;FQL&gt;&lt;Q&gt;AABA-US^FF_ROE(ANN_R,12/30/2015)&lt;/Q&gt;&lt;R&gt;1&lt;/R&gt;&lt;C&gt;1&lt;/C&gt;&lt;D xsi:type="xsd:double"&gt;29.03178443509363&lt;/D&gt;&lt;/FQL&gt;&lt;FQL&gt;&lt;Q&gt;XEC-US^FF_ROE(ANN_R,12/30/2015)&lt;/Q&gt;&lt;R&gt;1&lt;/R&gt;&lt;C&gt;1&lt;/C&gt;&lt;D xsi:type="xsd:double"&gt;11.66977204781505&lt;/D&gt;&lt;/FQL&gt;&lt;FQL&gt;&lt;Q&gt;TJX-US^FF_ROE(ANN_R,12/30/2015)&lt;/Q&gt;&lt;R&gt;1&lt;/R&gt;&lt;C&gt;1&lt;/C&gt;&lt;D xsi:type="xsd:dou</t>
        </r>
      </text>
    </comment>
    <comment ref="A9" authorId="0" shapeId="0">
      <text>
        <r>
          <rPr>
            <b/>
            <sz val="9"/>
            <color indexed="81"/>
            <rFont val="Tahoma"/>
            <charset val="1"/>
          </rPr>
          <t>ble"&gt;52.156720593756432&lt;/D&gt;&lt;/FQL&gt;&lt;FQL&gt;&lt;Q&gt;ZBRA-US^FF_ROE(ANN_R,12/30/2015)&lt;/Q&gt;&lt;R&gt;1&lt;/R&gt;&lt;C&gt;1&lt;/C&gt;&lt;D xsi:type="xsd:double"&gt;3.245226827635415&lt;/D&gt;&lt;/FQL&gt;&lt;FQL&gt;&lt;Q&gt;ZION-US^FF_ROE(ANN_R,12/30/2015)&lt;/Q&gt;&lt;R&gt;1&lt;/R&gt;&lt;C&gt;1&lt;/C&gt;&lt;D xsi:type="xsd:double"&gt;5.714794602002458&lt;/D&gt;&lt;/FQL&gt;&lt;FQL&gt;&lt;Q&gt;LBRDA-US^FF_ROE(ANN_R,12/30/2015)&lt;/Q&gt;&lt;R&gt;1&lt;/R&gt;&lt;C&gt;1&lt;/C&gt;&lt;D xsi:type="xsd:double"&gt;-5.1045105928881176&lt;/D&gt;&lt;/FQL&gt;&lt;FQL&gt;&lt;Q&gt;QRTEA-US^FF_ROE(ANN_R,12/30/2015)&lt;/Q&gt;&lt;R&gt;1&lt;/R&gt;&lt;C&gt;1&lt;/C&gt;&lt;D xsi:type="xsd:double"&gt;7.7563645015465141&lt;/D&gt;&lt;/FQL&gt;&lt;FQL&gt;&lt;Q&gt;ALNY-US^FF_ROE(ANN_R,12/30/2015)&lt;/Q&gt;&lt;R&gt;1&lt;/R&gt;&lt;C&gt;1&lt;/C&gt;&lt;D xsi:type="xsd:double"&gt;-59.736585187972288&lt;/D&gt;&lt;/FQL&gt;&lt;FQL&gt;&lt;Q&gt;GHL-US^FF_ROE(ANN_R,12/30/2015)&lt;/Q&gt;&lt;R&gt;1&lt;/R&gt;&lt;C&gt;1&lt;/C&gt;&lt;D xsi:type="xsd:double"&gt;16.304658259052719&lt;/D&gt;&lt;/FQL&gt;&lt;FQL&gt;&lt;Q&gt;CAB-US^FF_ROE(ANN_R,12/30/2015)&lt;/Q&gt;&lt;R&gt;1&lt;/R&gt;&lt;C&gt;1&lt;/C&gt;&lt;D xsi:type="xsd:double"&gt;11.78295506454149&lt;/D&gt;&lt;/FQL&gt;&lt;FQL&gt;&lt;Q&gt;GNW-US^FF_ROE(ANN_R,12/30/2015)&lt;/Q&gt;&lt;R&gt;1&lt;/R&gt;&lt;C&gt;1&lt;/C&gt;&lt;D xsi:type="xsd:double"&gt;-8.486833128666941&lt;/D&gt;&lt;/FQL&gt;&lt;FQL&gt;&lt;Q&gt;RF-US^FF_ROE(ANN_R,12/30/2015)&lt;/Q&gt;&lt;R&gt;1&lt;/R&gt;&lt;C&gt;1&lt;/C&gt;&lt;D xsi:type="xsd:double"&gt;6.9725554843239612&lt;/D&gt;&lt;/FQL&gt;&lt;FQL&gt;&lt;Q&gt;WLK-US^FF_ROE(ANN_R,12/30/2015)&lt;/Q&gt;&lt;R&gt;1&lt;/R&gt;&lt;C&gt;1&lt;/C&gt;&lt;D xsi:type="xsd:double"&gt;25.4036217611856&lt;/D&gt;&lt;/FQL&gt;&lt;FQL&gt;&lt;Q&gt;EXR-US^FF_ROE(ANN_R,12/30/2015)&lt;/Q&gt;&lt;R&gt;1&lt;/R&gt;&lt;C&gt;1&lt;/C&gt;&lt;D xsi:type="xsd:double"&gt;10.17564886817253&lt;/D&gt;&lt;/FQL&gt;&lt;FQL&gt;&lt;Q&gt;LVS-US^FF_ROE(ANN_R,12/30/2015)&lt;/Q&gt;&lt;R&gt;1&lt;/R&gt;&lt;C&gt;1&lt;/C&gt;&lt;D xsi:type="xsd:double"&gt;38.182858079935052&lt;/D&gt;&lt;/FQL&gt;&lt;FQL&gt;&lt;Q&gt;ARCC-US^FF_ROE(ANN_R,12/30/2015)&lt;/Q&gt;&lt;R&gt;1&lt;/R&gt;&lt;C&gt;1&lt;/C&gt;&lt;D xsi:type="xsd:double"&gt;11.60070234475139&lt;/D&gt;&lt;/FQL&gt;&lt;FQL&gt;&lt;Q&gt;MDVN-US^FF_ROE(ANN_R,12/30/2015)&lt;/Q&gt;&lt;R&gt;1&lt;/R&gt;&lt;C&gt;1&lt;/C&gt;&lt;D xsi:type="xsd:double"&gt;105.0656917107208&lt;/D&gt;&lt;/FQL&gt;&lt;FQL&gt;&lt;Q&gt;DWA-US^FF_ROE(ANN_R,12/30/2015)&lt;/Q&gt;&lt;R&gt;1&lt;/R&gt;&lt;C&gt;1&lt;/C&gt;&lt;D xsi:type="xsd:double"&gt;-24.177713778799539&lt;/D&gt;&lt;/FQL&gt;&lt;FQL&gt;&lt;Q&gt;DLR-US^FF_ROE(ANN_R,12/30/2015)&lt;/Q&gt;&lt;R&gt;1&lt;/R&gt;&lt;C&gt;1&lt;/C&gt;&lt;D xsi:type="xsd:double"&gt;5.3462169765617107&lt;/D&gt;&lt;/FQL&gt;&lt;FQL&gt;&lt;Q&gt;ORA-US^FF_ROE(ANN_R,12/30/2015)&lt;/Q&gt;&lt;R&gt;1&lt;/R&gt;&lt;C&gt;1&lt;/C&gt;&lt;D xsi:type="xsd:double"&gt;7.1875478803950221&lt;/D&gt;&lt;/FQL&gt;&lt;FQL&gt;&lt;Q&gt;ATP-CA^FF_ROE(ANN_R,12/30/2015)&lt;/Q&gt;&lt;R&gt;1&lt;/R&gt;&lt;C&gt;1&lt;/C&gt;&lt;D xsi:type="xsd:double"&gt;-23.608796240014531&lt;/D&gt;&lt;/FQL&gt;&lt;FQL&gt;&lt;Q&gt;DLB-US^FF_ROE(ANN_R,12/30/2015)&lt;/Q&gt;&lt;R&gt;1&lt;/R&gt;&lt;C&gt;1&lt;/C&gt;&lt;D xsi:type="xsd:double"&gt;10.31479193707289&lt;/D&gt;&lt;/FQL&gt;&lt;FQL&gt;&lt;Q&gt;CE-US^FF_ROE(ANN_R,12/30/2015)&lt;/Q&gt;&lt;R&gt;1&lt;/R&gt;&lt;C&gt;1&lt;/C&gt;&lt;D xsi:type="xsd:double"&gt;22.8747507703462&lt;/D&gt;&lt;/FQL&gt;&lt;FQL&gt;&lt;Q&gt;HUN-US^FF_ROE(ANN_R,12/30/2015)&lt;/Q&gt;&lt;R&gt;1&lt;/R&gt;&lt;C&gt;1&lt;/C&gt;&lt;D xsi:type="xsd:double"&gt;17.61575306013837&lt;/D&gt;&lt;/FQL&gt;&lt;FQL&gt;&lt;Q&gt;ANRZQ-US^FF_ROE(ANN_R,12/30/2015)&lt;/Q&gt;&lt;R&gt;1&lt;/R&gt;&lt;C&gt;1&lt;/C&gt;&lt;D xsi:type="xsd:double"&gt;-24.791114921714669&lt;/D&gt;&lt;/FQL&gt;&lt;FQL&gt;&lt;Q&gt;TAP-US^FF_ROE(ANN_R,12/30/2015)&lt;/Q&gt;&lt;R&gt;1&lt;/R&gt;&lt;C&gt;1&lt;/C&gt;&lt;D xsi:type="xsd:double"&gt;6.2234126358909716&lt;/D&gt;&lt;/FQL&gt;&lt;FQL&gt;&lt;Q&gt;PAY-US^FF_ROE(ANN_R,12/30/2015)&lt;/Q&gt;&lt;R&gt;1&lt;/R&gt;&lt;C&gt;1&lt;/C&gt;&lt;D xsi:type="xsd:double"&gt;8.1826147497483568&lt;/D&gt;&lt;/FQL&gt;&lt;FQL&gt;&lt;Q&gt;ZUMZ-US^FF_ROE(ANN_R,12/30/2015)&lt;/Q&gt;&lt;R&gt;1&lt;/R&gt;&lt;C&gt;1&lt;/C&gt;&lt;D xsi:type="xsd:double"&gt;12.426169988118151&lt;/D&gt;&lt;/FQL&gt;&lt;FQL&gt;&lt;Q&gt;MORN-US^FF_ROE(ANN_R,12/30/2015)&lt;/Q&gt;&lt;R&gt;1&lt;/R&gt;&lt;C&gt;1&lt;/C&gt;&lt;D xsi:type="xsd:double"&gt;11.65169491714623&lt;/D&gt;&lt;/FQL&gt;&lt;FQL&gt;&lt;Q&gt;IHS-US^FF_ROE(ANN_R,12/30/2015)&lt;/Q&gt;&lt;R&gt;1&lt;/R&gt;&lt;C&gt;1&lt;/C&gt;&lt;D xsi:type="xsd:double"&gt;8.66603996905805&lt;/D&gt;&lt;/FQL&gt;&lt;FQL&gt;&lt;Q&gt;ASH-US^FF_ROE(ANN_R,12/30/2015)&lt;/Q&gt;&lt;R&gt;1&lt;/R&gt;&lt;C&gt;1&lt;/C&gt;&lt;D xsi:type="xsd:double"&gt;5.7703927492447127&lt;/D&gt;&lt;/FQL&gt;&lt;FQL&gt;&lt;Q&gt;NSR-US^FF_ROE(ANN_R,12/30/2015)&lt;/Q&gt;&lt;R&gt;1&lt;/R&gt;&lt;C&gt;1&lt;/C&gt;&lt;D xsi:type="xsd:double"&gt;27.090891036674169&lt;/D&gt;&lt;/FQL&gt;&lt;FQL&gt;&lt;Q&gt;IAC-US^FF_ROE(ANN_R,12/30/2015)&lt;/Q&gt;&lt;R&gt;1&lt;/R&gt;&lt;C&gt;1&lt;/C&gt;&lt;D xsi:type="xsd:double"&gt;13.059000094870751&lt;/D&gt;&lt;/FQL&gt;&lt;FQL&gt;&lt;Q&gt;ITC-US^FF_ROE(ANN_R,12/30/2015)&lt;/Q&gt;&lt;R&gt;1&lt;/R&gt;&lt;C&gt;1&lt;/C&gt;&lt;D xsi:type="xsd:double"&gt;14.754412419984959&lt;/D&gt;&lt;/FQL&gt;&lt;FQL&gt;&lt;Q&gt;CF-US^FF_ROE(ANN_R,12/30/2015)&lt;/Q&gt;&lt;R&gt;1&lt;/R&gt;&lt;C&gt;1&lt;/C&gt;&lt;D xsi:type="xsd:double"&gt;29.944646664800018&lt;/D&gt;&lt;/FQL&gt;&lt;FQL&gt;&lt;Q&gt;AMP-US^FF_ROE(ANN_R,12/30/2015)&lt;/Q&gt;&lt;R&gt;1&lt;/R&gt;&lt;C&gt;1&lt;/C&gt;&lt;D xsi:type="xsd:double"&gt;19.870066192694289&lt;/D&gt;&lt;/FQL&gt;&lt;FQL&gt;&lt;Q&gt;GME-US^FF_ROE(ANN_R,12/30/2015)&lt;/Q&gt;&lt;R&gt;1&lt;/R&gt;&lt;C&gt;1&lt;/C&gt;&lt;D xsi:type="xsd:double"&gt;18.20286633789447&lt;/D&gt;&lt;/FQL&gt;&lt;FQL&gt;&lt;Q&gt;WBMD-US^FF_ROE(ANN_R,12/30/2015)&lt;/Q&gt;&lt;R&gt;1&lt;/R&gt;&lt;C&gt;1&lt;/C&gt;&lt;D xsi:type="xsd:double"&gt;32.42992764041206&lt;/D&gt;&lt;/FQL&gt;&lt;FQL&gt;&lt;Q&gt;CCO-US^FF_ROE(ANN_R,12/30/2015)&lt;/Q&gt;&lt;R&gt;0&lt;/R&gt;&lt;C&gt;0&lt;/C&gt;&lt;/FQL&gt;&lt;FQL&gt;&lt;Q&gt;UAA-US^FF_ROE(ANN_R,12/30/2015)&lt;/Q&gt;&lt;R&gt;1&lt;/R&gt;&lt;C&gt;1&lt;/C&gt;&lt;D xsi:type="xsd:double"&gt;17.310478130379831&lt;/D&gt;&lt;/FQL&gt;&lt;FQL&gt;&lt;Q&gt;BKD-US^FF_ROE(ANN_R,12/30/2015)&lt;/Q&gt;&lt;R&gt;1&lt;/R&gt;&lt;C&gt;1&lt;/C&gt;&lt;D xsi:type="xsd:double"&gt;-7.6353031944101728&lt;/D&gt;&lt;/FQL&gt;&lt;FQL&gt;&lt;Q&gt;VIAB-US^FF_ROE(ANN_R,12/30/2015)&lt;/Q&gt;&lt;R&gt;1&lt;/R&gt;&lt;C&gt;1&lt;/C&gt;&lt;D xsi:type="xsd:double"&gt;52.969546644618987&lt;/D&gt;&lt;/FQL&gt;&lt;FQL&gt;&lt;Q&gt;CBS-US^FF_ROE(ANN_R,12/30/2015)&lt;/Q&gt;&lt;R&gt;1&lt;/R&gt;&lt;C&gt;1&lt;/C&gt;&lt;D xsi:type="xsd:double"&gt;15.98960793575815&lt;/D&gt;&lt;/FQL&gt;&lt;FQL&gt;&lt;Q&gt;LINEQ-US^FF_ROE(ANN_R,12/30/2015)&lt;/Q&gt;&lt;R&gt;1&lt;/R&gt;&lt;C&gt;1&lt;/C&gt;&lt;D xsi:type="xsd:double"&gt;-8.7958714453391238&lt;/D&gt;&lt;/FQL&gt;&lt;FQL&gt;&lt;Q&gt;CMG-US^FF_ROE(ANN_R,12/30/2015)&lt;/Q&gt;&lt;R&gt;1&lt;/R&gt;&lt;C&gt;1&lt;/C&gt;&lt;D xsi:type="xsd:double"&gt;25.08685012379399&lt;/D&gt;&lt;/FQL&gt;&lt;FQL&gt;&lt;Q&gt;XCOOQ-US^FF_ROE(ANN_R,12/30/2015)&lt;/Q&gt;&lt;R&gt;1&lt;/R&gt;&lt;C&gt;1&lt;/C&gt;&lt;D xsi:type="xsd:double"&gt;36.682580721649963&lt;/D&gt;&lt;/FQL&gt;&lt;FQL&gt;&lt;Q&gt;TDG-US^FF_ROE(ANN_R,12/30/2015)&lt;/Q&gt;&lt;R&gt;0&lt;/R&gt;&lt;C&gt;0&lt;/C&gt;&lt;/FQL&gt;&lt;FQL&gt;&lt;Q&gt;MA-US^FF_ROE(ANN_R,12/30/2015)&lt;/Q&gt;&lt;R&gt;1&lt;/R&gt;&lt;C&gt;1&lt;/C&gt;&lt;D xsi:type="xsd:double"&gt;50.679557236934279&lt;/D&gt;&lt;/FQL&gt;&lt;FQL&gt;&lt;Q&gt;POR-US^FF_ROE(ANN_R,12/30/2015)&lt;/Q&gt;&lt;R&gt;1&lt;/R&gt;&lt;C&gt;1&lt;/C&gt;&lt;D xsi:type="xsd:double"&gt;9.3833780160857909&lt;/D&gt;&lt;/FQL&gt;&lt;FQL&gt;&lt;Q&gt;HOT-US^FF_ROE(ANN_R,12/30/2015)&lt;/Q&gt;&lt;R&gt;1&lt;/R&gt;&lt;C&gt;1&lt;/C&gt;&lt;D xsi:type="xsd:double"&gt;26.325486182190382&lt;/D&gt;&lt;/FQL&gt;&lt;FQL&gt;&lt;Q&gt;OCN-US^FF_ROE(ANN_R,12/30/2015)&lt;/Q&gt;&lt;R&gt;1&lt;/R&gt;&lt;C&gt;1&lt;/C&gt;&lt;D xsi:type="xsd:double"&gt;-32.273731806525227&lt;/D&gt;&lt;/FQL&gt;&lt;FQL&gt;&lt;Q&gt;WYN-US^FF_ROE(ANN_R,12/30/2015)&lt;/Q&gt;&lt;R&gt;1&lt;/R&gt;&lt;C&gt;1&lt;/C&gt;&lt;D xsi:type="xsd:double"&gt;36.761640027797092&lt;/D&gt;&lt;/FQL&gt;&lt;FQL&gt;&lt;Q&gt;HBI-US^FF_ROE(ANN_R,12/30/2015)&lt;/Q&gt;&lt;R&gt;1&lt;/R&gt;&lt;C&gt;1&lt;/C&gt;&lt;D xsi:type="xsd:double"&gt;30.910046057243939&lt;/D&gt;&lt;/FQL&gt;&lt;FQL&gt;&lt;Q&gt;CAR-US^FF_ROE(ANN_R,12/30/2015)&lt;/Q&gt;&lt;R&gt;1&lt;/R&gt;&lt;C&gt;1&lt;/C&gt;&lt;D xsi:type="xsd:double"&gt;34.122562674094709&lt;/D&gt;&lt;/FQL&gt;&lt;FQL&gt;&lt;Q&gt;WU-US^FF_ROE(ANN_R,12/30/2015)&lt;/Q&gt;&lt;R&gt;1&lt;/R&gt;&lt;C&gt;1&lt;/C&gt;&lt;D xsi:type="xsd:double"&gt;70.8827075797264&lt;/D&gt;&lt;/FQL&gt;&lt;FQL&gt;&lt;Q&gt;CIEN-US^FF_ROE(ANN_R,12/30/2015)&lt;/Q&gt;&lt;R&gt;1&lt;/R&gt;&lt;C&gt;1&lt;/C&gt;&lt;D xsi:type="xsd:double"&gt;4.2328407052194876&lt;/D&gt;&lt;/FQL&gt;&lt;FQL&gt;&lt;Q&gt;AWI-US^FF_ROE(ANN_R,12/30/2015)&lt;/Q&gt;&lt;R&gt;1&lt;/R&gt;&lt;C&gt;1&lt;/C&gt;&lt;D xsi:type="xsd:double"&gt;15.352038115404969&lt;/D&gt;&lt;/FQL&gt;&lt;FQL&gt;&lt;Q&gt;OC-US^FF_ROE(ANN_R,12/30/2015)&lt;/Q&gt;&lt;R&gt;1&lt;/R&gt;&lt;C&gt;1&lt;/C&gt;&lt;D xsi:type="xsd:double"&gt;6.0387441549766194&lt;/D&gt;&lt;/FQL&gt;&lt;FQL&gt;&lt;Q&gt;DEI-US^FF_ROE(ANN_R,12/30/2015)&lt;/Q&gt;&lt;R&gt;1&lt;/R&gt;&lt;C&gt;1&lt;/C&gt;&lt;D xsi:type="xsd:double"&gt;2.2801560098675089&lt;/D&gt;&lt;/FQL&gt;&lt;FQL&gt;&lt;Q&gt;SBH-US^FF_ROE(ANN_R,12/30/2015)&lt;/Q&gt;&lt;R&gt;0&lt;/R&gt;&lt;C&gt;0&lt;/C&gt;&lt;/FQL&gt;&lt;FQL&gt;&lt;Q&gt;KBR-US^FF_ROE(ANN_R,12/30/2015)&lt;/Q&gt;&lt;R&gt;1&lt;/R&gt;&lt;C&gt;1&lt;/C&gt;&lt;D xsi:type="xsd:double"&gt;-74.126284875183558&lt;/D&gt;&lt;/FQL&gt;&lt;FQL&gt;&lt;Q&gt;HTZ-US^FF_ROE(ANN_R,12/30/2015)&lt;/Q&gt;&lt;R&gt;1&lt;/R&gt;&lt;C&gt;1&lt;/C&gt;&lt;D xsi:type="xsd:double"&gt;-3.259789306300934&lt;/D&gt;&lt;/FQL&gt;&lt;FQL&gt;&lt;Q&gt;FSLR-US^FF_ROE(ANN_R,12/30/2015)&lt;/Q&gt;&lt;R&gt;1&lt;/R&gt;&lt;C&gt;1&lt;/C&gt;&lt;D xsi:type="xsd:double"&gt;8.32933568533537&lt;/D&gt;&lt;/FQL&gt;&lt;FQL&gt;&lt;Q&gt;SPR-US^FF_ROE(ANN_R,12/30/2015)&lt;/Q&gt;&lt;R&gt;1&lt;/R&gt;&lt;C&gt;1&lt;/C&gt;&lt;D xsi:type="xsd:double"&gt;23.030303030303031&lt;/D&gt;&lt;/FQL&gt;&lt;FQL&gt;&lt;Q&gt;SE.XX11-US^FF_ROE(ANN_R,12/30/2015)&lt;/Q&gt;&lt;R&gt;1&lt;/R&gt;&lt;C&gt;1&lt;/C&gt;&lt;D xsi:type="xsd:double"&gt;12.60337798485731&lt;/D&gt;&lt;/FQL&gt;&lt;FQL&gt;&lt;Q&gt;BLY-AU^FF_ROE(ANN_R,12/30/2015)&lt;/Q&gt;&lt;R&gt;1&lt;/R&gt;&lt;C&gt;1&lt;/C&gt;&lt;D xsi:type="xsd:double"&gt;-130.70307448083011&lt;/D&gt;&lt;/FQL&gt;&lt;FQL&gt;&lt;Q&gt;BR-US^FF_ROE(ANN_R,12/30/2015)&lt;/Q&gt;&lt;R&gt;1&lt;/R&gt;&lt;C&gt;1&lt;/C&gt;&lt;D xsi:type="xsd:double"&gt;30.388991796771631&lt;/D&gt;&lt;/FQL&gt;&lt;FQL&gt;&lt;Q&gt;ACM-US^FF_ROE(ANN_R,12/30/2015)&lt;/Q&gt;&lt;R&gt;1&lt;/R&gt;&lt;C&gt;1&lt;/C&gt;&lt;D xsi:type="xsd:double"&gt;-5.5358478727768539&lt;/D&gt;&lt;/FQL&gt;&lt;FQL&gt;&lt;Q&gt;PBCT-US^FF_ROE(ANN_R,12/30/2015)&lt;/Q&gt;&lt;R&gt;1&lt;/R&gt;&lt;C&gt;1&lt;/C&gt;&lt;D xsi:type="xsd:double"&gt;5.44476444058034&lt;/D&gt;&lt;/FQL&gt;&lt;FQL&gt;&lt;Q&gt;TFSL-US^FF_ROE(ANN_R,12/30/2015)&lt;/Q&gt;&lt;R&gt;1&lt;/R&gt;&lt;C&gt;1&lt;/C&gt;&lt;D xsi:type="xsd:double"&gt;4.032977782335764&lt;/D&gt;&lt;/FQL&gt;&lt;FQL&gt;&lt;Q&gt;DAL-US^FF_ROE(ANN_R,12/30/2015)&lt;/Q&gt;&lt;R&gt;1&lt;/R&gt;&lt;C&gt;1&lt;/C&gt;&lt;D xsi:type="xsd:double"&gt;6.4430973797418858&lt;/D&gt;&lt;/FQL&gt;&lt;FQL&gt;&lt;Q&gt;IBKR-US^FF_ROE(ANN_R,12/30/2015)&lt;/Q&gt;&lt;R&gt;1&lt;/R&gt;&lt;C&gt;1&lt;/C&gt;&lt;D xsi:type="xsd:double"&gt;6.044158882944215&lt;/D&gt;&lt;/FQL&gt;&lt;FQL&gt;&lt;Q&gt;SLH-US^FF_ROE(ANN_R,12/30/2015)&lt;/Q&gt;&lt;R&gt;1&lt;/R&gt;&lt;C&gt;1&lt;/C&gt;&lt;D xsi:type="xsd:double"&gt;-22.1347697475101&lt;/D&gt;&lt;/FQL&gt;&lt;FQL&gt;&lt;Q&gt;CLR-US^FF_ROE(ANN_R,12/30/2015)&lt;/Q&gt;&lt;R&gt;1&lt;/R&gt;&lt;C&gt;1&lt;/C&gt;&lt;D xsi:type="xsd:double"&gt;21.911112276904671&lt;/D&gt;&lt;/FQL&gt;&lt;FQL&gt;&lt;Q&gt;DFS-US^FF_ROE(ANN_R,12/30/2015)&lt;/Q&gt;&lt;R&gt;1&lt;/R&gt;&lt;C&gt;1&lt;/C&gt;&lt;D xsi:type="xsd:double"&gt;21.027206854122038&lt;/D&gt;&lt;/FQL&gt;&lt;FQL&gt;&lt;Q&gt;BX-US^FF_ROE(ANN_R,12/30/2015)&lt;/Q&gt;&lt;R&gt;1&lt;/R&gt;&lt;C&gt;1&lt;/C&gt;&lt;D xsi:type="xsd:double"&gt;23.708911319363089&lt;/D&gt;&lt;/FQL&gt;&lt;FQL&gt;&lt;Q&gt;CXO-US^FF_ROE(ANN_R,12/30/2015)&lt;/Q&gt;&lt;R&gt;1&lt;/R&gt;&lt;C&gt;1&lt;/C&gt;&lt;D xsi:type="xsd:double"&gt;11.776291311496291&lt;/D&gt;&lt;/FQL&gt;&lt;FQL&gt;&lt;Q&gt;BK-US^FF_ROE(ANN_R,12/30/2015)&lt;/Q&gt;&lt;R&gt;1&lt;/R&gt;&lt;C&gt;1&lt;/C&gt;&lt;D xsi:type="xsd:double"&gt;6.73407859982391&lt;/D&gt;&lt;/FQL&gt;&lt;FQL&gt;&lt;Q&gt;VMW-US^FF_ROE(ANN_R,12/30/2015)&lt;/Q&gt;&lt;R&gt;1&lt;/R&gt;&lt;C&gt;1&lt;/C&gt;&lt;D xsi:type="xsd:double"&gt;12.308119747169551&lt;/D&gt;&lt;/FQL&gt;&lt;FQL&gt;&lt;Q&gt;TDC-US^FF_ROE(ANN_R,12/30/2015)&lt;/Q&gt;&lt;R&gt;1&lt;/R&gt;&lt;C&gt;1&lt;/C&gt;&lt;D xsi:type="xsd:double"&gt;20.59483726150393&lt;/D&gt;&lt;/FQL&gt;&lt;FQL&gt;&lt;Q&gt;SDOCQ-US^FF_ROE(ANN_R,12/30/2015)&lt;/Q&gt;&lt;R&gt;1&lt;/R&gt;&lt;C&gt;1&lt;/C&gt;&lt;D xsi:type="xsd:double"&gt;13.45959424864526&lt;/D&gt;&lt;/FQL&gt;&lt;FQL&gt;&lt;Q&gt;ULTA-US^FF_ROE(ANN_R,12/30/2015)&lt;/Q&gt;&lt;R&gt;1&lt;/R&gt;&lt;C&gt;1&lt;/C&gt;&lt;D xsi:type="xsd:double"&gt;22.850320558534762&lt;/D&gt;&lt;/FQL&gt;&lt;FQL&gt;&lt;Q&gt;IVZ-US^FF_ROE(ANN_R,12/30/2015)&lt;/Q&gt;&lt;R&gt;1&lt;/R&gt;&lt;C&gt;1&lt;/C&gt;&lt;D xsi:type="xsd:double"&gt;11.861040996255671&lt;/D&gt;&lt;/FQL&gt;&lt;FQL&gt;&lt;Q&gt;MSCI-US^FF_ROE(ANN_R,12/30/2015)&lt;/Q&gt;&lt;R&gt;1&lt;/R&gt;&lt;C&gt;1&lt;/C&gt;&lt;D xsi:type="xsd:double"&gt;13.197806590927749&lt;/D&gt;&lt;/FQL&gt;&lt;FQL&gt;&lt;Q&gt;FDML-US^FF_ROE(ANN_R,12/30/2015)&lt;/Q&gt;&lt;R&gt;1&lt;/R&gt;&lt;C&gt;1&lt;/C&gt;&lt;D xsi:type="xsd:double"&gt;-14.63414634146341&lt;/D&gt;&lt;/FQL&gt;&lt;FQL&gt;&lt;Q&gt;N-US^FF_ROE(ANN_R,12/30/2015)&lt;/Q&gt;&lt;R&gt;1&lt;/R&gt;&lt;C&gt;1&lt;/C&gt;&lt;D xsi:type="xsd:double"&gt;-45.0327041590327&lt;/D&gt;&lt;/FQL&gt;&lt;FQL&gt;&lt;Q&gt;SATS-US^FF_ROE(ANN_R,12/30/2015)&lt;/Q&gt;&lt;R&gt;1&lt;/R&gt;&lt;C&gt;1&lt;/C&gt;&lt;D xsi:type="xsd:double"&gt;4.5292390028765119&lt;/D&gt;&lt;/FQL&gt;&lt;FQL&gt;&lt;Q&gt;CPN-US^FF_ROE(ANN_R,12/30/2015)&lt;/Q&gt;&lt;R&gt;1&lt;/R&gt;&lt;C&gt;1&lt;/C&gt;&lt;D xsi:type="xsd:double"&gt;27.452118398142769&lt;/D&gt;&lt;/FQL&gt;&lt;FQL&gt;&lt;Q&gt;PM-US^FF_ROE(ANN_R,12/30/2015)&lt;/Q&gt;&lt;R&gt;0&lt;/R&gt;&lt;C&gt;0&lt;/C&gt;&lt;/FQL&gt;&lt;FQL&gt;&lt;Q&gt;V-US^FF_ROE(ANN_R,12/30/2015)&lt;/Q&gt;&lt;R&gt;1&lt;/R&gt;&lt;C&gt;1&lt;/C&gt;&lt;D xsi:type="xsd:double"&gt;22.05222251331762&lt;/D&gt;&lt;/FQL&gt;&lt;FQL&gt;&lt;Q&gt;HI-US^FF_ROE(ANN_R,12/30/2015)&lt;/Q&gt;&lt;R&gt;1&lt;/R&gt;&lt;C&gt;1&lt;/C&gt;&lt;D xsi:type="xsd:double"&gt;18.923050789876&lt;/D&gt;&lt;/FQL&gt;&lt;FQL&gt;&lt;Q&gt;IPI-US^FF_ROE(ANN_R,12/30/2015)&lt;/Q&gt;&lt;R&gt;1&lt;/R&gt;&lt;C&gt;1&lt;/C&gt;&lt;D xsi:type="xsd:double"&gt;1.037710976071305&lt;/D&gt;&lt;/FQL&gt;&lt;FQL&gt;&lt;Q&gt;DPS-US^FF_ROE(ANN_R,12/30/2015)&lt;/Q&gt;&lt;R&gt;1&lt;/R&gt;&lt;C&gt;1&lt;/C&gt;&lt;D xsi:type="xsd:double"&gt;30.759133668781441&lt;/D&gt;&lt;/FQL&gt;&lt;FQL&gt;&lt;Q&gt;AWK-US^FF_ROE(ANN_R,12/30/2015)&lt;/Q&gt;&lt;R&gt;1&lt;/R&gt;&lt;C&gt;1&lt;/C&gt;&lt;D xsi:type="xsd:double"&gt;8.9185676697358982&lt;/D&gt;&lt;/FQL&gt;&lt;FQL&gt;&lt;Q&gt;HTS-US^FF_ROE(ANN_R,12/30/2015)&lt;/Q&gt;&lt;R&gt;1&lt;/R&gt;&lt;C&gt;1&lt;/C&gt;&lt;D xsi:type="xsd:double"&gt;2.3557873868549311&lt;/D&gt;&lt;/FQL&gt;&lt;FQL&gt;&lt;Q&gt;AGNC-US^FF_ROE(ANN_R,12/30/2015)&lt;/Q&gt;&lt;R&gt;1&lt;/R&gt;&lt;C&gt;1&lt;/C&gt;&lt;D xsi:type="xsd:double"&gt;-2.5710344827586211&lt;/D&gt;&lt;/FQL&gt;&lt;FQL&gt;&lt;Q&gt;TIVO-US^FF_ROE(ANN_R,12/30/2015)&lt;/Q&gt;&lt;R&gt;1&lt;/R&gt;&lt;C&gt;1&lt;/C&gt;&lt;D xsi:type="xsd:double"&gt;-1.1177608411724831&lt;/D&gt;&lt;/FQL&gt;&lt;FQL&gt;&lt;Q&gt;CFX-US^FF_ROE(ANN_R,12/30/2015)&lt;/Q&gt;&lt;R&gt;1&lt;/R&gt;&lt;C&gt;1&lt;/C&gt;&lt;D xsi:type="xsd:double"&gt;13.85330298381035&lt;/D&gt;&lt;/FQL&gt;&lt;FQL&gt;&lt;Q&gt;SNI-US^FF_ROE(ANN_R,12/30/2015)&lt;/Q&gt;&lt;R&gt;1&lt;/R&gt;&lt;C&gt;1&lt;/C&gt;&lt;D xsi:type="xsd:double"&gt;31.32459176492554&lt;/D&gt;&lt;/FQL&gt;&lt;FQL&gt;&lt;Q&gt;DISCA-US^FF_ROE(ANN_R,12/30/2015)&lt;/Q&gt;&lt;R&gt;1&lt;/R&gt;&lt;C&gt;1&lt;/C&gt;&lt;D xsi:type="xsd:double"&gt;19.29140532293609&lt;/D&gt;&lt;/FQL&gt;&lt;FQL&gt;&lt;Q&gt;MPC-US^FF_ROE(ANN_R,12/30/2015)&lt;/Q&gt;&lt;R&gt;1&lt;/R&gt;&lt;C&gt;1&lt;/C&gt;&lt;D xsi:type="xsd:double"&gt;23.25688708412164&lt;/D&gt;&lt;/FQL&gt;&lt;FQL&gt;&lt;Q&gt;CFFN-US^FF_ROE(ANN_R,12/30/2015)&lt;/Q&gt;&lt;R&gt;1&lt;/R&gt;&lt;C&gt;1&lt;/C&gt;&lt;D xsi:type="xsd:double"&gt;5.3608872547873787&lt;/D&gt;&lt;/FQL&gt;&lt;FQL&gt;&lt;Q&gt;DNKN-US^FF_ROE(ANN_R,12/30/2015)&lt;/Q&gt;&lt;R&gt;1&lt;/R&gt;&lt;C&gt;1&lt;/C&gt;&lt;D xsi:type="xsd:double"&gt;45.492875817246357&lt;/D&gt;&lt;/FQL&gt;&lt;FQL&gt;&lt;Q&gt;PDM-US^FF_ROE(ANN_R,12/30/2015)&lt;/Q&gt;&lt;R&gt;1&lt;/R&gt;&lt;C&gt;1&lt;/C&gt;&lt;D xsi:type="xsd:double"&gt;1.67984778056653&lt;/D&gt;&lt;/FQL&gt;&lt;FQL&gt;&lt;Q&gt;FBHS-US^FF_ROE(ANN_R,12/30/2015)&lt;/Q&gt;&lt;R&gt;1&lt;/R&gt;&lt;C&gt;1&lt;/C&gt;&lt;D xsi:type="xsd:double"&gt;11.09820937480902&lt;/D&gt;&lt;/FQL&gt;&lt;FQL&gt;&lt;Q&gt;MOS-US^FF_ROE(ANN_R,12/30/2015)&lt;/Q&gt;&lt;R&gt;1&lt;/R&gt;&lt;C&gt;1&lt;/C&gt;&lt;D xsi:type="xsd:double"&gt;9.1459369063957023&lt;/D&gt;&lt;/FQL&gt;&lt;FQL&gt;&lt;Q&gt;KMI-US^FF_ROE(ANN_R,12/30/2015)&lt;/Q&gt;&lt;R&gt;1&lt;/R&gt;&lt;C&gt;1&lt;/C&gt;&lt;D xsi:type="xsd:double"&gt;4.3036740231931994&lt;/D&gt;&lt;/FQL&gt;&lt;FQL&gt;&lt;Q&gt;WEN-US^FF_ROE(ANN_R,12/30/2015)&lt;/Q&gt;&lt;R&gt;1&lt;/R&gt;&lt;C&gt;1&lt;/C&gt;&lt;D xsi:type="xsd:double"&gt;6.3845363747586408&lt;/D&gt;&lt;/FQL&gt;&lt;FQL&gt;&lt;Q&gt;XYL-US^FF_ROE(ANN_R,12/30/2015)&lt;/Q&gt;&lt;R&gt;1&lt;/R&gt;&lt;C&gt;1&lt;/C&gt;&lt;D xsi:type="xsd:double"&gt;15.430402930402931&lt;/D&gt;&lt;/FQL&gt;&lt;FQL&gt;&lt;Q&gt;SWK-US^FF_ROE(ANN_R,12/30/2015)&lt;/Q&gt;&lt;R&gt;1&lt;/R&gt;&lt;C&gt;1&lt;/C&gt;&lt;D xsi:type="xsd:double"&gt;12.96009313366041&lt;/D&gt;&lt;/FQL&gt;&lt;FQL&gt;&lt;Q&gt;RCM-US^FF_ROE(ANN_R,12/30/2015)&lt;/Q&gt;&lt;R&gt;0&lt;/R&gt;&lt;C&gt;0&lt;/C&gt;&lt;/FQL&gt;&lt;FQL&gt;&lt;Q&gt;PVH-US^FF_ROE(ANN_R,12/30/2015)&lt;/Q&gt;&lt;R&gt;1&lt;/R&gt;&lt;C&gt;1&lt;/C&gt;&lt;D xsi:type="xsd:double"&gt;10.092558416429309&lt;/D&gt;&lt;/FQL&gt;&lt;FQL&gt;&lt;Q&gt;GNC-US^FF_ROE(ANN_R,12/30/2015)&lt;/Q&gt;&lt;R&gt;1&lt;/R&gt;&lt;C&gt;1&lt;/C&gt;&lt;D xsi:type="xsd:double"&gt;32.561519245721939&lt;/D&gt;&lt;/FQL&gt;&lt;FQL&gt;&lt;Q&gt;LNKD-US^FF_ROE(ANN_R,12/30/2015)&lt;/Q&gt;&lt;R&gt;1&lt;/R&gt;&lt;C&gt;1&lt;/C&gt;&lt;D xsi:type="xsd:double"&gt;-0.52888550486952846&lt;/D&gt;&lt;/FQL&gt;&lt;FQL&gt;&lt;Q&gt;ASR-CA^FF_ROE(ANN_R,12/30/2015)&lt;/Q&gt;&lt;R&gt;1&lt;/R&gt;&lt;C&gt;1&lt;/C&gt;&lt;D xsi:type="xsd:double"&gt;11.64554684493665&lt;/D&gt;&lt;/FQL&gt;&lt;FQL&gt;&lt;Q&gt;WPX-US^FF_ROE(ANN_R,12/30/2015)&lt;/Q&gt;&lt;R&gt;1&lt;/R&gt;&lt;C&gt;1&lt;/C&gt;&lt;D xsi:type="xsd:double"&gt;2.895111532985287&lt;/D&gt;&lt;/FQL&gt;&lt;FQL&gt;&lt;Q&gt;SPLK-US^FF_ROE(ANN_R,12/30/2015)&lt;/Q&gt;&lt;R&gt;1&lt;/R&gt;&lt;C&gt;1&lt;/C&gt;&lt;D xsi:type="xsd:double"&gt;-27.1695733214702&lt;/D&gt;&lt;/FQL&gt;&lt;FQL&gt;&lt;Q&gt;CCE-US^FF_ROE(ANN_R,12/30/2015)&lt;/Q&gt;&lt;R&gt;1&lt;/R&gt;&lt;C&gt;1&lt;/C&gt;&lt;D xsi:type="xsd:double"&gt;35.731608730919064&lt;/D&gt;&lt;/FQL&gt;&lt;FQL&gt;&lt;Q&gt;KKR-US^FF_ROE(ANN_R,12/30/2015)&lt;/Q&gt;&lt;R&gt;1&lt;/R&gt;&lt;C&gt;1&lt;/C&gt;&lt;D xsi:type="xsd:double"&gt;11.786023938452511&lt;/D&gt;&lt;/FQL&gt;&lt;FQL&gt;&lt;Q&gt;PLD-US^FF_ROE(ANN_R,12/30/2015)&lt;/Q&gt;&lt;R&gt;1&lt;/R&gt;&lt;C&gt;1&lt;/C&gt;&lt;D xsi:type="xsd:double"&gt;4.5485142722307446&lt;/D&gt;&lt;/FQL&gt;&lt;FQL&gt;&lt;Q&gt;MCPIQ-US^FF_ROE(ANN_R,12/30/2015)&lt;/Q&gt;&lt;R&gt;1&lt;/R&gt;&lt;C&gt;1&lt;/C&gt;&lt;D xsi:type="xsd:double"&gt;-56.4112032750043&lt;/D&gt;&lt;/FQL&gt;&lt;FQL&gt;&lt;Q&gt;VAC-US^FF_ROE(ANN_R,12/30/2015)&lt;/Q&gt;&lt;R&gt;1&lt;/R&gt;&lt;C&gt;1&lt;/C&gt;&lt;D xsi:type="xsd:double"&gt;7.0773263433813893&lt;/D&gt;&lt;/FQL&gt;&lt;FQL&gt;&lt;Q&gt;HCA-US^FF_ROE(ANN_R,12/30/2015)&lt;/Q&gt;&lt;R&gt;0&lt;/R&gt;&lt;C&gt;0&lt;/C&gt;&lt;/FQL&gt;&lt;FQL&gt;&lt;Q&gt;SWI-US^FF_ROE(ANN_R,12/30/2015)&lt;/Q&gt;&lt;R&gt;1&lt;/R&gt;&lt;C&gt;1&lt;/C&gt;&lt;D xsi:type="xsd:double"&gt;14.5630914106043&lt;/D&gt;&lt;/FQL&gt;&lt;FQL&gt;&lt;Q&gt;VC-US^FF_ROE(ANN_R,12/30/2015)&lt;/Q&gt;&lt;R&gt;1&lt;/R&gt;&lt;C&gt;1&lt;/C&gt;&lt;D xsi:type="xsd:double"&gt;2.29802513464991&lt;/D&gt;&lt;/FQL&gt;&lt;FQL&gt;&lt;Q&gt;VRSK-US^FF_ROE(ANN_R,12/30/2015)&lt;/Q&gt;&lt;R&gt;1&lt;/R&gt;&lt;C&gt;1&lt;/C&gt;&lt;D xsi:type="xsd:double"&gt;97.77204230773286&lt;/D&gt;&lt;/FQL&gt;&lt;FQL&gt;&lt;Q&gt;UAL-US^FF_ROE(ANN_R,12/30/2015)&lt;/Q&gt;&lt;R&gt;1&lt;/R&gt;&lt;C&gt;1&lt;/C&gt;&lt;D xsi:type="xsd:double"&gt;42.0817843866171&lt;/D&gt;&lt;/FQL&gt;&lt;FQL&gt;&lt;Q&gt;FLT-US^FF_ROE(ANN_R,12/30/2015)&lt;/Q&gt;&lt;R&gt;1&lt;/R&gt;&lt;C&gt;1&lt;/C&gt;&lt;D xsi:type="xsd:double"&gt;18.4490484184507&lt;/D&gt;&lt;/FQL&gt;&lt;FQL&gt;&lt;Q&gt;RL-US^FF_ROE(ANN_R,12/30/2015)&lt;/Q&gt;&lt;R&gt;1&lt;/R&gt;&lt;C&gt;1&lt;/C&gt;&lt;D xsi:type="xsd:double"&gt;17.71608832807571&lt;/D&gt;&lt;/FQL&gt;&lt;FQL&gt;&lt;Q&gt;MJN-US^FF_ROE(ANN_R,12/30/2015)&lt;/Q&gt;&lt;R&gt;1&lt;/R&gt;&lt;C&gt;1&lt;/C&gt;&lt;D xsi:type="xsd:double"&gt;165.9161759612054&lt;/D&gt;&lt;/FQL&gt;&lt;FQL&gt;&lt;Q&gt;EDMC-US^FF_ROE(ANN_R,12/30/2015)&lt;/Q&gt;&lt;R&gt;0&lt;/R&gt;&lt;C&gt;0&lt;/C&gt;&lt;/FQL&gt;&lt;FQL&gt;&lt;Q&gt;FRC-US^FF_ROE(ANN_R,12/30/2015)&lt;/Q&gt;&lt;R&gt;1&lt;/R&gt;&lt;C&gt;1&lt;/C&gt;&lt;D xsi:type="xsd:double"&gt;10.896800072137269&lt;/D&gt;&lt;/FQL&gt;&lt;FQL&gt;&lt;Q&gt;CIEIQ-US^FF_ROE(ANN_R,12/30/2015)&lt;/Q&gt;&lt;R&gt;1&lt;/R&gt;&lt;C&gt;1&lt;/C&gt;&lt;D xsi:type="xsd:double"&gt;-24.073222208920551&lt;/D&gt;&lt;/FQL&gt;&lt;FQL&gt;&lt;Q&gt;CHTR-US^FF_ROE(ANN_R,12/30/2015)&lt;/Q&gt;&lt;R&gt;1&lt;/R&gt;&lt;C&gt;1&lt;/C&gt;&lt;D xsi:type="xsd:double"&gt;-123.2323232323232&lt;/D&gt;&lt;/FQL&gt;&lt;FQL&gt;&lt;Q&gt;KAR-US^FF_ROE(ANN_R,12/30/2015)&lt;/Q&gt;&lt;R&gt;1&lt;/R&gt;&lt;C&gt;1&lt;/C&gt;&lt;D xsi:type="xsd:double"&gt;11.17897586582588&lt;/D&gt;&lt;/FQL&gt;&lt;FQL&gt;&lt;Q&gt;CIT-US^FF_ROE(ANN_R,12/30/2015)&lt;/Q&gt;&lt;R&gt;1&lt;/R&gt;&lt;C&gt;1&lt;/C&gt;&lt;D xsi:type="xsd:double"&gt;12.03392953869006&lt;/D&gt;&lt;/FQL&gt;&lt;FQL&gt;&lt;Q&gt;AR-CA^FF_ROE(ANN_R,12/30/2015)&lt;/Q&gt;&lt;R&gt;1&lt;/R&gt;&lt;C&gt;1&lt;/C&gt;&lt;D xsi:type="xsd:double"&gt;-0.52103913606453178&lt;/D&gt;&lt;/FQL&gt;&lt;FQL&gt;&lt;Q&gt;KMPR-US^FF_ROE(ANN_R,12/30/2015)&lt;/Q&gt;&lt;R&gt;1&lt;/R&gt;&lt;C&gt;1&lt;/C&gt;&lt;D xsi:type="xsd:double"&gt;5.4125826855294292&lt;/D&gt;&lt;/FQL&gt;&lt;FQL&gt;&lt;Q&gt;TWO-US^FF_ROE(ANN_R,12/30/2015)&lt;/Q&gt;&lt;R&gt;1&lt;/R&gt;&lt;C&gt;1&lt;/C&gt;&lt;D xsi:type="xsd:double"&gt;4.2190639776136347&lt;/D&gt;&lt;/FQL&gt;&lt;FQL&gt;&lt;Q&gt;GGP-US^FF_ROE(ANN_R,12/30/2015)&lt;/Q&gt;&lt;R&gt;1&lt;/R&gt;&lt;C&gt;1&lt;/C&gt;&lt;D xsi:type="xsd:double"&gt;4.8884845923111788&lt;/D&gt;&lt;/FQL&gt;&lt;FQL&gt;&lt;Q&gt;LEA-US^FF_ROE(ANN_R,12/30/2015)&lt;/Q&gt;&lt;R&gt;1&lt;/R&gt;&lt;C&gt;1&lt;/C&gt;&lt;D xsi:type="xsd:double"&gt;22.395789964527779&lt;/D&gt;&lt;/FQL&gt;&lt;FQL&gt;&lt;Q&gt;CBOE-US^FF_ROE(ANN_R,12/30/2015)&lt;/Q&gt;&lt;R&gt;1&lt;/R&gt;&lt;C&gt;1&lt;/C&gt;&lt;D xsi:type="xsd:double"&gt;70.481720365742333&lt;/D&gt;&lt;/FQL&gt;&lt;FQL&gt;&lt;Q&gt;SPWR-US^FF_ROE(ANN_R,12/30/2015)&lt;/Q&gt;&lt;R&gt;1&lt;/R&gt;&lt;C&gt;1&lt;/C&gt;&lt;D xsi:type="xsd:double"&gt;18.55574802656427&lt;/D&gt;&lt;/FQL&gt;&lt;FQL&gt;&lt;Q&gt;DG-US^FF_ROE(ANN_R,12/30/2015)&lt;/Q&gt;&lt;R&gt;1&lt;/R&gt;&lt;C&gt;1&lt;/C&gt;&lt;D xsi:type="xsd:double"&gt;19.174277424578381&lt;/D&gt;&lt;/FQL&gt;&lt;FQL&gt;&lt;Q&gt;FTNT-US^FF_ROE(ANN_R,12/30/2015)&lt;/Q&gt;&lt;R&gt;1&lt;/R&gt;&lt;C&gt;1&lt;/C&gt;&lt;D xsi:type="xsd:double"&gt;4.017195492523733&lt;/D&gt;&lt;/FQL&gt;&lt;FQL&gt;&lt;Q&gt;H-US^FF_ROE(ANN_R,12/30/2015)&lt;/Q&gt;&lt;R&gt;1&lt;/R&gt;&lt;C&gt;1&lt;/C&gt;&lt;D xsi:type="xsd:double"&gt;7.3222647935291612&lt;/D&gt;&lt;/FQL&gt;&lt;FQL&gt;&lt;Q&gt;THO-CA^FF_ROE(ANN_R,12/30/2015)&lt;/Q&gt;&lt;R&gt;1&lt;/R&gt;&lt;C&gt;1&lt;/C&gt;&lt;D xsi:type="xsd:double"&gt;10.901949091778461&lt;/D&gt;&lt;/FQL&gt;&lt;FQL&gt;&lt;Q&gt;MSI-US^FF_ROE(ANN_R,12/30/2015)&lt;/Q&gt;&lt;R&gt;1&lt;/R&gt;&lt;C&gt;1&lt;/C&gt;&lt;D xsi:type="xsd:double"&gt;-21.8016890835158&lt;/D&gt;&lt;/FQL&gt;&lt;FQL&gt;&lt;Q&gt;RSE-US^FF_ROE(ANN_R,12/30/2015)&lt;/Q&gt;&lt;R&gt;1&lt;/R&gt;&lt;C&gt;1&lt;/C&gt;&lt;D xsi:type="xsd:double"&gt;-10.653109112240911&lt;/D&gt;&lt;/FQL&gt;&lt;FQL&gt;&lt;Q&gt;LVLT-US^FF_ROE(ANN_R,12/30/2015)&lt;/Q&gt;&lt;R&gt;1&lt;/R&gt;&lt;C&gt;1&lt;/C&gt;&lt;D xsi:type="xsd:double"&gt;8.078209416002057&lt;/D&gt;&lt;/FQL&gt;&lt;FQL&gt;&lt;Q&gt;RLGY-US^FF_ROE(ANN_R,12/30/2015)&lt;/Q&gt;&lt;R&gt;1&lt;/R&gt;&lt;C&gt;1&lt;/C&gt;&lt;D xsi:type="xsd:double"&gt;6.8274051086178078&lt;/D&gt;&lt;/FQL&gt;&lt;FQL&gt;&lt;Q&gt;HFC-US^FF_ROE(ANN_R,12/30/2015)&lt;/Q&gt;&lt;R&gt;1&lt;/R&gt;&lt;C&gt;1&lt;/C&gt;&lt;D xsi:type="xsd:double"&gt;4.8679516565010914&lt;/D&gt;&lt;/FQL&gt;&lt;FQL&gt;&lt;Q&gt;QEP-US^FF_ROE(ANN_R,12/30/2015)&lt;/Q&gt;&lt;R&gt;1&lt;/R&gt;&lt;C&gt;1&lt;/C&gt;&lt;D xsi:type="xsd:double"&gt;-10.990485647955561&lt;/D&gt;&lt;/FQL&gt;&lt;FQL&gt;&lt;Q&gt;TSLA-US^FF_ROE(ANN_R,12/30/2015)&lt;/Q&gt;&lt;R&gt;1&lt;/R&gt;&lt;C&gt;1&lt;/C&gt;&lt;D xsi:type="xsd:double"&gt;-37.24783542243307&lt;/D&gt;&lt;/FQL&gt;&lt;FQL&gt;&lt;Q&gt;TWC-US^FF_ROE(ANN_R,12/30/2015)&lt;/Q&gt;&lt;R&gt;1&lt;/R&gt;&lt;C&gt;1&lt;/C&gt;&lt;D xsi:type="xsd:double"&gt;26.91896228938219&lt;/D&gt;&lt;/FQL&gt;&lt;FQL&gt;&lt;Q&gt;TWX-US^FF_ROE(ANN_R,12/30/2015)&lt;/Q&gt;&lt;R&gt;1&lt;/R&gt;&lt;C&gt;1&lt;/C&gt;&lt;D xsi:type="xsd:double"&gt;14.26995218830452&lt;/D&gt;&lt;/FQL&gt;&lt;FQL&gt;&lt;Q&gt;OAS-US^FF_ROE(ANN_R,12/30/2015)&lt;/Q&gt;&lt;R&gt;1&lt;/R&gt;&lt;C&gt;1&lt;/C&gt;&lt;D xsi:type="xsd:double"&gt;31.474734930220279&lt;/D&gt;&lt;/FQL&gt;&lt;FQL&gt;&lt;Q&gt;ASNA-US^FF_ROE(ANN_R,12/30/2015)&lt;/Q&gt;&lt;R&gt;1&lt;/R&gt;&lt;C&gt;1&lt;/C&gt;&lt;D xsi:type="xsd:double"&gt;-14.546348055777379&lt;/D&gt;&lt;/FQL&gt;&lt;FQL&gt;&lt;Q&gt;ORLY-US^FF_ROE(ANN_R,12/30/2015)&lt;/Q&gt;&lt;R&gt;1&lt;/R&gt;&lt;C&gt;1&lt;/C&gt;&lt;D xsi:type="xsd:double"&gt;39.058116478896117&lt;/D&gt;&lt;/FQL&gt;&lt;FQL&gt;&lt;Q&gt;GM-US^FF_ROE(ANN_R,12/30/2015)&lt;/Q&gt;&lt;R&gt;1&lt;/R&gt;&lt;C&gt;1&lt;/C&gt;&lt;D xsi:type="xsd:double"&gt;10.11733961877434&lt;/D&gt;&lt;/FQL&gt;&lt;FQL&gt;&lt;Q&gt;DDR-US^FF_ROE(ANN_R,12/30/2015)&lt;/Q&gt;&lt;R&gt;1&lt;/R&gt;&lt;C&gt;1&lt;/C&gt;&lt;D xsi:type="xsd:double"&gt;0.5675376737365877&lt;/D&gt;&lt;/FQL&gt;&lt;FQL&gt;&lt;Q&gt;GTATQ-US^FF_ROE(ANN_R,12/30/2015)&lt;/Q&gt;&lt;R&gt;0&lt;/R&gt;&lt;C&gt;0&lt;/C&gt;&lt;/FQL&gt;&lt;FQL&gt;&lt;Q&gt;DYN-US^FF_ROE(ANN_R,12/30/2015)&lt;/Q&gt;&lt;R&gt;1&lt;/R&gt;&lt;C&gt;1&lt;/C&gt;&lt;D xsi:type="xsd:double"&gt;-10.433785591438941&lt;/D&gt;&lt;/FQL&gt;&lt;FQL&gt;&lt;Q&gt;CBRE-US^FF_ROE(ANN_R,12/30/2015)&lt;/Q&gt;&lt;R&gt;1&lt;/R&gt;&lt;C&gt;1&lt;/C&gt;&lt;D xsi:type="xsd:double"&gt;23.317992643688122&lt;/D&gt;&lt;/FQL&gt;&lt;FQL&gt;&lt;Q&gt;WP-US^FF_ROE(ANN_R,12/30/2015)&lt;/Q&gt;&lt;R&gt;1&lt;/R&gt;&lt;C&gt;1&lt;/C&gt;&lt;D xsi:type="xsd:double"&gt;14.996552846774041&lt;/D&gt;&lt;/FQL&gt;&lt;FQL&gt;&lt;Q&gt;ITT-US^FF_ROE(ANN_R,12/30/2015)&lt;/Q&gt;&lt;R&gt;1&lt;/R&gt;&lt;C&gt;1&lt;/C&gt;&lt;D xsi:type="xsd:double"&gt;15.596672047684089&lt;/D&gt;&lt;/FQL&gt;&lt;FQL&gt;&lt;Q&gt;TDS-US^FF_ROE(ANN_R,12/30/2015)&lt;/Q&gt;&lt;R&gt;1&lt;/R&gt;&lt;C&gt;1&lt;/C&gt;&lt;D xsi:type="xsd:double"&gt;-3.3894858697677268&lt;/D&gt;&lt;/FQL&gt;&lt;FQL&gt;&lt;Q&gt;TRIP-US^FF_ROE(ANN_R,12/30/2015)&lt;/Q&gt;&lt;R&gt;1&lt;/R&gt;&lt;C&gt;1&lt;/C&gt;&lt;D xsi:type="xsd:double"&gt;22.719504594165311&lt;/D&gt;&lt;/FQL&gt;&lt;FQL&gt;&lt;Q&gt;ALLY-US^FF_ROE(ANN_R,12/30/2015)&lt;/Q&gt;&lt;R&gt;1&lt;/R&gt;&lt;C&gt;1&lt;/C&gt;&lt;D xsi:type="xsd:double"&gt;6.2485223089134321&lt;/D&gt;&lt;/FQL&gt;&lt;FQL&gt;&lt;Q&gt;EXPE-US^FF_ROE(ANN_R,12/30/2015)&lt;/Q&gt;&lt;R&gt;1&lt;/R&gt;&lt;C&gt;1&lt;/C&gt;&lt;D xsi:type="xsd:double"&gt;20.260776119281449&lt;/D&gt;&lt;/FQL&gt;&lt;FQL&gt;&lt;Q&gt;LPLA-US^FF_ROE(ANN_R,12/30/2015)&lt;/Q&gt;&lt;R&gt;1&lt;/R&gt;&lt;C&gt;1&lt;/C&gt;&lt;D xsi:type="xsd:double"&gt;17.189176716607829&lt;/D&gt;&lt;/FQL&gt;&lt;FQL&gt;&lt;Q&gt;GRPN-US^FF_ROE(ANN_R,12/30/2015)&lt;/Q&gt;&lt;R&gt;1&lt;/R&gt;&lt;C&gt;1&lt;/C&gt;&lt;D xsi:type="xsd:double"&gt;-9.9005944555858321&lt;/D&gt;&lt;/FQL&gt;&lt;FQL&gt;&lt;Q&gt;PSX-US^FF_ROE(ANN_R,12/30/2015)&lt;/Q&gt;&lt;R&gt;1&lt;/R&gt;&lt;C&gt;1&lt;/C&gt;&lt;D xsi:type="xsd:double"&gt;18.5989894350023&lt;/D&gt;&lt;/FQL&gt;&lt;FQL&gt;&lt;Q&gt;ZNGA-US^FF_ROE(ANN_R,12/30/2015)&lt;/Q&gt;&lt;R&gt;1&lt;/R&gt;&lt;C&gt;1&lt;/C&gt;&lt;D xsi:type="xsd:double"&gt;-11.974673486063869&lt;/D&gt;&lt;/FQL&gt;&lt;FQL&gt;&lt;Q&gt;LPI-US^FF_ROE(ANN_R,12/30/2015)&lt;/Q&gt;&lt;R&gt;1&lt;/R&gt;&lt;C&gt;1&lt;/C&gt;&lt;D xsi:type="xsd:double"&gt;18.732289010201882&lt;/D&gt;&lt;/FQL&gt;&lt;FQL&gt;&lt;Q&gt;PBYI-US^FF_ROE(ANN_R,12/30/2015)&lt;/Q&gt;&lt;R&gt;1&lt;/R&gt;&lt;C&gt;1&lt;/C&gt;&lt;D xsi:type="xsd:double"&gt;-141.2341134628299&lt;/D&gt;&lt;/FQL&gt;&lt;FQL&gt;&lt;Q&gt;AMT-US^FF_ROE(ANN_R,12/30/2015)&lt;/Q&gt;&lt;R&gt;1&lt;/R&gt;&lt;C&gt;1&lt;/C&gt;&lt;D xsi:type="xsd:double"&gt;22.033661759746781&lt;/D&gt;&lt;/FQL&gt;&lt;FQL&gt;&lt;Q&gt;INGR-US^FF_ROE(ANN_R,12/30/2015)&lt;/Q&gt;&lt;R&gt;1&lt;/R&gt;&lt;C&gt;1&lt;/C&gt;&lt;D xsi:type="xsd:double"&gt;15.498799388779741&lt;/D&gt;&lt;/FQL&gt;&lt;FQL&gt;&lt;Q&gt;LMCA.XX1-US^FF_ROE(ANN_R,12/30/2015)&lt;/Q&gt;&lt;R&gt;1&lt;/R&gt;&lt;C&gt;1&lt;/C&gt;&lt;D xsi:type="xsd:double"&gt;1.3972290906236511&lt;/D&gt;&lt;/FQL&gt;&lt;FQL&gt;&lt;Q&gt;ICPT-US^FF_ROE(ANN_R,12/30/2015)&lt;/Q&gt;&lt;R&gt;1&lt;/R&gt;&lt;C&gt;1&lt;/C&gt;&lt;D xsi:type="xsd:double"&gt;-180.80370690749521&lt;/D&gt;&lt;/FQL&gt;&lt;FQL&gt;&lt;Q&gt;ESRX-US^FF_ROE(ANN_R,12/30/2015)&lt;/Q&gt;&lt;R&gt;1&lt;/R&gt;&lt;C&gt;1&lt;/C&gt;&lt;D xsi:type="xsd:double"&gt;9.5847377517211072&lt;/D&gt;&lt;/FQL&gt;&lt;FQL&gt;&lt;Q&gt;FB-US^FF_ROE(ANN_R,12/30/2015)&lt;/Q&gt;&lt;R&gt;1&lt;/R&gt;&lt;C&gt;1&lt;/C&gt;&lt;D xsi:type="xsd:double"&gt;11.344684482023039&lt;/D&gt;&lt;/FQL&gt;&lt;FQL&gt;&lt;Q&gt;DUK-US^FF_ROE(ANN_R,12/30/2015)&lt;/Q&gt;&lt;R&gt;1&lt;/R&gt;&lt;C&gt;1&lt;/C&gt;&lt;D xsi:type="xsd:double"&gt;5.9826044644486336&lt;/D&gt;&lt;/FQL&gt;&lt;FQL&gt;&lt;Q&gt;IQV-US^FF_ROE(ANN_R,12/30/2015)&lt;/Q&gt;&lt;R&gt;0&lt;/R&gt;&lt;C&gt;0&lt;/C&gt;&lt;/FQL&gt;&lt;FQL&gt;&lt;Q&gt;ADT.XX11-US^FF_ROE(ANN_R,12/30/2015)&lt;/Q&gt;&lt;R&gt;1&lt;/R&gt;&lt;C&gt;1&lt;/C&gt;&lt;D xsi:type="xsd:double"&gt;9.7899785017364&lt;/D&gt;&lt;/FQL&gt;&lt;FQL&gt;&lt;Q&gt;NOW-US^FF_ROE(ANN_R,12/30/2015)&lt;/Q&gt;&lt;R&gt;1&lt;/R&gt;&lt;C&gt;1&lt;/C&gt;&lt;D xsi:type="xsd:double"&gt;-43.596934869625017&lt;/D&gt;&lt;/FQL&gt;&lt;FQL&gt;&lt;Q&gt;WPC-US^FF_ROE(ANN_R,12/30/2015)&lt;/Q&gt;&lt;R&gt;1&lt;/R&gt;&lt;C&gt;1&lt;/C&gt;&lt;D xsi:type="xsd:double"&gt;7.2116370755665837&lt;/D&gt;&lt;/FQL&gt;&lt;FQL&gt;&lt;Q&gt;WWAV-US^FF_ROE(ANN_R,12/30/2015)&lt;/Q&gt;&lt;R&gt;1&lt;/R&gt;&lt;C&gt;1&lt;/C&gt;&lt;D xsi:type="xsd:double"&gt;13.757614358911949&lt;/D&gt;&lt;/FQL&gt;&lt;FQL&gt;&lt;Q&gt;RDC-US^FF_ROE(ANN_R,12/30/2015)&lt;/Q&gt;&lt;R&gt;1&lt;/R&gt;&lt;C&gt;1&lt;/C&gt;&lt;D xsi:type="xsd:double"&gt;-2.4803967800224509&lt;/D&gt;&lt;/FQL&gt;&lt;FQL&gt;&lt;Q&gt;BPOP-US^FF_ROE(ANN_R,12/30/2015)&lt;/Q&gt;&lt;R&gt;1&lt;/R&gt;&lt;C&gt;1&lt;/C&gt;&lt;D xsi:type="xsd:double"&gt;-4.2842371287358052&lt;/D&gt;&lt;/FQL&gt;&lt;FQL&gt;&lt;Q&gt;TILE-US^FF_ROE(ANN_R,12/30/2015)&lt;/Q&gt;&lt;R&gt;1&lt;/R&gt;&lt;C&gt;1&lt;/C&gt;&lt;D xsi:type="xsd:double"&gt;7.66357854025016&lt;/D&gt;&lt;/FQL&gt;&lt;FQL&gt;&lt;Q&gt;PANW-US^FF_ROE(ANN_R,12/30/2015)&lt;/Q&gt;&lt;R&gt;1&lt;/R&gt;&lt;C&gt;1&lt;/C&gt;&lt;D xsi:type="xsd:double"&gt;-34.497669585000033&lt;/D&gt;&lt;/FQL&gt;&lt;FQL&gt;&lt;Q&gt;TROX-US^FF_ROE(ANN_R,12/30/2015)&lt;/Q&gt;&lt;R&gt;1&lt;/R&gt;&lt;C&gt;1&lt;/C&gt;&lt;D xsi:type="xsd:double"&gt;-22.19334719334719&lt;/D&gt;&lt;/FQL&gt;&lt;FQL&gt;&lt;Q&gt;MDLZ-US^FF_ROE(ANN_R,12/30/2015)&lt;/Q&gt;&lt;R&gt;1&lt;/R&gt;&lt;C&gt;1&lt;/C&gt;&lt;D xsi:type="xsd:double"&gt;7.2651065316101988&lt;/D&gt;&lt;/FQL&gt;&lt;FQL&gt;&lt;Q&gt;DATA-US^FF_ROE(ANN_R,12/30/2015)&lt;/Q&gt;&lt;R&gt;1&lt;/R&gt;&lt;C&gt;1&lt;/C&gt;&lt;D xsi:type="xsd:double"&gt;1.281382750096546&lt;/D&gt;&lt;/FQL&gt;&lt;FQL&gt;&lt;Q&gt;THC-US^FF_ROE(ANN_R,12/30/2015)&lt;/Q&gt;&lt;R&gt;1&lt;/R&gt;&lt;C&gt;1&lt;/C&gt;&lt;D xsi:type="xsd:double"&gt;4.8364153627311524&lt;/D&gt;&lt;/FQL&gt;&lt;FQL&gt;&lt;Q&gt;STRZA-US^FF_ROE(ANN_R,12/30/2015)&lt;/Q&gt;&lt;R&gt;1&lt;/R&gt;&lt;C&gt;1&lt;/C&gt;&lt;D xsi:type="xsd:double"&gt;491.32529247709078&lt;/D&gt;&lt;/FQL&gt;&lt;FQL&gt;&lt;Q&gt;LVNTA-US^FF_ROE(ANN_R,12/30/2015)&lt;/Q&gt;&lt;R&gt;1&lt;/R&gt;&lt;C&gt;1&lt;/C&gt;&lt;D xsi:type="xsd:double"&gt;7.7563645015465141&lt;/D&gt;&lt;/FQL&gt;&lt;FQL&gt;&lt;Q&gt;MATX-US^FF_ROE(ANN_R,12/30/2015)&lt;/Q&gt;&lt;R&gt;1&lt;/R&gt;&lt;C&gt;1&lt;/C&gt;&lt;D xsi:type="xsd:double"&gt;20.17094017094017&lt;/D&gt;&lt;/FQL&gt;&lt;FQL&gt;&lt;Q&gt;WDAY-US^FF_ROE(ANN_R,12/30/2015)&lt;/Q&gt;&lt;R&gt;1&lt;/R&gt;&lt;C&gt;1&lt;/C&gt;&lt;D xsi:type="xsd:double"&gt;-21.440675914493909&lt;/D&gt;&lt;/FQL&gt;&lt;FQL&gt;&lt;Q&gt;SANM-US^FF_ROE(ANN_R,12/30/2015)&lt;/Q&gt;&lt;R&gt;1&lt;/R&gt;&lt;C&gt;1&lt;/C&gt;&lt;D xsi:type="xsd:double"&gt;27.266367112769249&lt;/D&gt;&lt;/FQL&gt;&lt;FQL&gt;&lt;Q&gt;ABBV-US^FF_ROE(ANN_R,12/30/2015)&lt;/Q&gt;&lt;R&gt;1&lt;/R&gt;&lt;C&gt;1&lt;/C&gt;&lt;D xsi:type="xsd:double"&gt;56.624959897337177&lt;/D&gt;&lt;/FQL&gt;&lt;FQL&gt;&lt;Q&gt;TMUS-US^FF_ROE(ANN_R,12/30/2015)&lt;/Q&gt;&lt;R&gt;1&lt;/R&gt;&lt;C&gt;1&lt;/C&gt;&lt;D xsi:type="xsd:double"&gt;1.6517319780660691&lt;/D&gt;&lt;/FQL&gt;&lt;FQL&gt;&lt;Q&gt;PTC-US^FF_ROE(ANN_R,12/30/2015)&lt;/Q&gt;&lt;R&gt;1&lt;/R&gt;&lt;C&gt;1&lt;/C&gt;&lt;D xsi:type="xsd:double"&gt;5.5490472912266791&lt;/D&gt;&lt;/FQL&gt;&lt;FQL&gt;&lt;Q&gt;ZTS-US^FF_ROE(ANN_R,12/30/2015)&lt;/Q&gt;&lt;R&gt;1&lt;/R&gt;&lt;C&gt;1&lt;/C&gt;&lt;D xsi:type="xsd:double"&gt;51.7992003553976&lt;/D&gt;&lt;/FQL&gt;&lt;FQL&gt;&lt;Q&gt;NCLH-US^FF_ROE(ANN_R,12/30/2015)&lt;/Q&gt;&lt;R&gt;1&lt;/R&gt;&lt;C&gt;1&lt;/C&gt;&lt;D xsi:type="xsd:double"&gt;11.04332263169292&lt;/D&gt;&lt;/FQL&gt;&lt;FQL&gt;&lt;Q&gt;HAWK-US^FF_ROE(ANN_R,12/30/2015)&lt;/Q&gt;&lt;R&gt;1&lt;/R&gt;&lt;C&gt;1&lt;/C&gt;&lt;D xsi:type="xsd:double"&gt;18.049937563109051&lt;/D&gt;&lt;/FQL&gt;&lt;FQL&gt;&lt;Q&gt;LB-US^FF_ROE(ANN_R,12/30/2015)&lt;/Q&gt;&lt;R&gt;0&lt;/R&gt;&lt;C&gt;0&lt;/C&gt;&lt;/FQL&gt;&lt;FQL&gt;&lt;Q&gt;SUNEQ-US^FF_ROE(ANN_R,12/30/2015)&lt;/Q&gt;&lt;R&gt;1&lt;/R&gt;&lt;C&gt;1&lt;/C&gt;&lt;D xsi:type="xsd:double"&gt;-509.82584390453661&lt;/D&gt;&lt;/FQL&gt;&lt;FQL&gt;&lt;Q&gt;FOSL-US^FF_ROE(ANN_R,12/30/2015)&lt;/Q&gt;&lt;R&gt;1&lt;/R&gt;&lt;C&gt;1&lt;/C&gt;&lt;D xsi:type="xsd:double"&gt;36.8140913162088&lt;/D&gt;&lt;/FQL&gt;&lt;FQL&gt;&lt;Q&gt;NWSA-US^FF_ROE(ANN_R,12/30/2015)&lt;/Q&gt;&lt;R&gt;1&lt;/R&gt;&lt;C&gt;1&lt;/C&gt;&lt;D xsi:type="xsd:double"&gt;2.3624544157285561&lt;/D&gt;&lt;/FQL&gt;&lt;FQL&gt;&lt;Q&gt;FOXA-US^FF_ROE(ANN_R,12/30/2015)&lt;/Q&gt;&lt;R&gt;1&lt;/R&gt;&lt;C&gt;1&lt;/C&gt;&lt;D xsi:type="xsd:double"&gt;48.345747445002587&lt;/D&gt;&lt;/FQL&gt;&lt;FQL&gt;&lt;Q&gt;S-US^FF_ROE(ANN_R,12/30/2015)&lt;/Q&gt;&lt;R&gt;1&lt;/R&gt;&lt;C&gt;1&lt;/C&gt;&lt;D xsi:type="xsd:double"&gt;-14.227382927140489&lt;/D&gt;&lt;/FQL&gt;&lt;FQL&gt;&lt;Q&gt;SFM-US^FF_ROE(ANN_R,12/30/2015)&lt;/Q&gt;&lt;R&gt;1&lt;/R&gt;&lt;C&gt;1&lt;/C&gt;&lt;D xsi:type="xsd:double"&gt;17.961239534340709&lt;/D&gt;&lt;/FQL&gt;&lt;FQL&gt;&lt;Q&gt;EVHC.XX1-US^FF_ROE(ANN_R,12/30/2015)&lt;/Q&gt;&lt;R&gt;1&lt;/R&gt;&lt;C&gt;1&lt;/C&gt;&lt;D xsi:type="xsd:double"&gt;7.48117903019104&lt;/D&gt;&lt;/FQL&gt;&lt;FQL&gt;&lt;Q&gt;AAL-US^FF_ROE(ANN_R,12/30/2015)&lt;/Q&gt;&lt;R&gt;0&lt;/R&gt;&lt;C&gt;0&lt;/C&gt;&lt;/FQL&gt;&lt;FQL&gt;&lt;Q&gt;FEYE-US^FF_ROE(ANN_R,12/30/2015)&lt;/Q&gt;&lt;R&gt;1&lt;/R&gt;&lt;C&gt;1&lt;/C&gt;&lt;D xsi:type="xsd:double"&gt;-38.608396079915437&lt;/D&gt;&lt;/FQL&gt;&lt;FQL&gt;&lt;Q&gt;DF-US^FF_ROE(ANN_R,12/30/2015)&lt;/Q&gt;&lt;R&gt;1&lt;/R&gt;&lt;C&gt;1&lt;/C&gt;&lt;D xsi:type="xsd:double"&gt;-3.0093177493397971&lt;/D&gt;&lt;/FQL&gt;&lt;FQL&gt;&lt;Q&gt;FCE.A-US^FF_ROE(ANN_R,12/30/2015)&lt;/Q&gt;&lt;R&gt;1&lt;/R&gt;&lt;C&gt;1&lt;/C&gt;&lt;D xsi:type="xsd:double"&gt;-1.2243039551801249&lt;/D&gt;&lt;/FQL&gt;&lt;FQL&gt;&lt;Q&gt;HUBB-US^FF_ROE(ANN_R,12/30/2015)&lt;/Q&gt;&lt;R&gt;1&lt;/R&gt;&lt;C&gt;1&lt;/C&gt;&lt;D xsi:type="xsd:double"&gt;16.924481544280681&lt;/D&gt;&lt;/FQL&gt;&lt;FQL&gt;&lt;Q&gt;IONS-US^FF_ROE(ANN_R,12/30/2015)&lt;/Q&gt;&lt;R&gt;1&lt;/R&gt;&lt;C&gt;1&lt;/C&gt;&lt;D xsi:type="xsd:double"&gt;-12.255843563827281&lt;/D&gt;&lt;/FQL&gt;&lt;FQL&gt;&lt;Q&gt;LDOS-US^FF_ROE(ANN_R,12/30/2015)&lt;/Q&gt;&lt;R&gt;1&lt;/R&gt;&lt;C&gt;1&lt;/C&gt;&lt;D xsi:type="xsd:double"&gt;-25.45314307751639&lt;/D&gt;&lt;/FQL&gt;&lt;FQL&gt;&lt;Q&gt;KODK-US^FF_ROE(ANN_R,12/30/2015)&lt;/Q&gt;&lt;R&gt;1&lt;/R&gt;&lt;C&gt;1&lt;/C&gt;&lt;D xsi:type="xsd:double"&gt;-28.06629834254143&lt;/D&gt;&lt;/FQL&gt;&lt;FQL&gt;&lt;Q&gt;AR-US^FF_ROE(ANN_R,12/30/2015)&lt;/Q&gt;&lt;R&gt;1&lt;/R&gt;&lt;C&gt;1&lt;/C&gt;&lt;D xsi:type="xsd:double"&gt;16.821320463772231&lt;/D&gt;&lt;/FQL&gt;&lt;FQL&gt;&lt;Q&gt;TWTR-US^FF_ROE(ANN_R,12/30/2015)&lt;/Q&gt;&lt;R&gt;1&lt;/R&gt;&lt;C&gt;1&lt;/C&gt;&lt;D xsi:type="xsd:double"&gt;-17.572508035920521&lt;/D&gt;&lt;/FQL&gt;&lt;FQL&gt;&lt;Q&gt;ICE-US^FF_ROE(ANN_R,12/30/2015)&lt;/Q&gt;&lt;R&gt;1&lt;/R&gt;&lt;C&gt;1&lt;/C&gt;&lt;D xsi:type="xsd:double"&gt;7.7777332317684316&lt;/D&gt;&lt;/FQL&gt;&lt;FQL&gt;&lt;Q&gt;BRX-US^FF_ROE(ANN_R,12/30/2015)&lt;/Q&gt;&lt;R&gt;1&lt;/R&gt;&lt;C&gt;1&lt;/C&gt;&lt;D xsi:type="xsd:double"&gt;3.3267266188833089&lt;/D&gt;&lt;/FQL&gt;&lt;FQL&gt;&lt;Q&gt;SIRI-US^FF_ROE(ANN_R,12/30/2015)&lt;/Q&gt;&lt;R&gt;1&lt;/R&gt;&lt;C&gt;1&lt;/C&gt;&lt;D xsi:type="xsd:double"&gt;24.324073085495311&lt;/D&gt;&lt;/FQL&gt;&lt;FQL&gt;&lt;Q&gt;GHC-US^FF_ROE(ANN_R,12/30/2015)&lt;/Q&gt;&lt;R&gt;1&lt;/R&gt;&lt;C&gt;1&lt;/C&gt;&lt;D xsi:type="xsd:double"&gt;23.670235939073979&lt;/D&gt;&lt;/FQL&gt;&lt;FQL&gt;&lt;Q&gt;HLT-US^FF_ROE(ANN_R,12/30/2015)&lt;/Q&gt;&lt;R&gt;1&lt;/R&gt;&lt;C&gt;1&lt;/C&gt;&lt;D xsi:type="xsd:double"&gt;14.766867800329131&lt;/D&gt;&lt;/FQL&gt;&lt;FQL&gt;&lt;Q&gt;ARMK-US^FF_ROE(ANN_R,12/30/2015)&lt;/Q&gt;&lt;R&gt;1&lt;/R&gt;&lt;C&gt;1&lt;/C&gt;&lt;D xsi:type="xsd:double"&gt;13.103033685557961&lt;/D&gt;&lt;/FQL&gt;&lt;FQL&gt;&lt;Q&gt;OGS-US^FF_ROE(ANN_R,12/30/2015)&lt;/Q&gt;&lt;R&gt;1&lt;/R&gt;&lt;C&gt;1&lt;/C&gt;&lt;D xsi:type="xsd:double"&gt;7.2395534542673081&lt;/D&gt;&lt;/FQL&gt;&lt;FQL&gt;&lt;Q&gt;KN-US^FF_ROE(ANN_R,12/30/2015)&lt;/Q&gt;&lt;R&gt;1&lt;/R&gt;&lt;C&gt;1&lt;/C&gt;&lt;D xsi:type="xsd:double"&gt;-5.570982481181125&lt;/D&gt;&lt;/FQL&gt;&lt;FQL&gt;&lt;Q&gt;GMCR-US^FF_ROE(ANN_R,12/30/2015)&lt;/Q&gt;&lt;R&gt;1&lt;/R&gt;&lt;C&gt;1&lt;/C&gt;&lt;D xsi:type="xsd:double"&gt;16.156674755136919&lt;/D&gt;&lt;/FQL&gt;&lt;FQL&gt;&lt;Q&gt;VOYA-US^FF_ROE(ANN_R,12/30/2015)&lt;/Q&gt;&lt;R&gt;1&lt;/R&gt;&lt;C&gt;1&lt;/C&gt;&lt;D xsi:type="xsd:double"&gt;15.65481397272303&lt;/D&gt;&lt;/FQL&gt;&lt;FQL&gt;&lt;Q&gt;LE-US^FF_ROE(ANN_R,12/30/2015)&lt;/Q&gt;&lt;R&gt;1&lt;/R&gt;&lt;C&gt;1&lt;/C&gt;&lt;D xsi:type="xsd:double"&gt;12.33574061831648&lt;/D&gt;&lt;/FQL&gt;&lt;FQL&gt;&lt;Q&gt;NAVI-US^FF_ROE(ANN_R,12/30/2015)&lt;/Q&gt;&lt;R&gt;1&lt;/R&gt;&lt;C&gt;1&lt;/C&gt;&lt;D xsi:type="xsd:double"&gt;23.365531265887139&lt;/D&gt;&lt;/FQL&gt;&lt;FQL&gt;&lt;Q&gt;ALM-GB^FF_ROE(ANN_R,12/30/2015)&lt;/Q&gt;&lt;R&gt;1&lt;/R&gt;&lt;C&gt;1&lt;/C&gt;&lt;D xsi:type="xsd:double"&gt;-24.04013278936629&lt;/D&gt;&lt;/FQL&gt;&lt;FQL&gt;&lt;Q&gt;DNOW-US^FF_ROE(ANN_R,12/30/2015)&lt;/Q&gt;&lt;R&gt;1&lt;/R&gt;&lt;C&gt;1&lt;/C&gt;&lt;D xsi:type="xsd:double"&gt;6.1040339702760082&lt;/D&gt;&lt;/FQL&gt;&lt;FQL&gt;&lt;Q&gt;SNV-US^FF_ROE(ANN_R,12/30/2015)&lt;/Q&gt;&lt;R&gt;1&lt;/R&gt;&lt;C&gt;1&lt;/C&gt;&lt;D xsi:type="xsd:double"&gt;6.5188877602038646&lt;/D&gt;&lt;/FQL&gt;&lt;FQL&gt;&lt;Q&gt;TIME-US^FF_ROE(ANN_R,12/30/2015)&lt;/Q&gt;&lt;R&gt;1&lt;/R&gt;&lt;C&gt;1&lt;/C&gt;&lt;D xsi:type="xsd:double"&gt;2.519311442210328&lt;/D&gt;&lt;/FQL&gt;&lt;FQL&gt;&lt;Q&gt;RYAM-US^FF_ROE(ANN_R,12/30/2015)&lt;/Q&gt;&lt;R&gt;1&lt;/R&gt;&lt;C&gt;1&lt;/C&gt;&lt;D xsi:type="xsd:double"&gt;6.9887149529357346&lt;/D&gt;&lt;/FQL&gt;&lt;FQL&gt;&lt;Q&gt;OR-CA^FF_ROE(ANN_R,12/30/2015)&lt;/Q&gt;&lt;R&gt;0&lt;/R&gt;&lt;C&gt;0&lt;/C&gt;&lt;/FQL&gt;&lt;FQL&gt;&lt;Q&gt;VRTV-US^FF_ROE(ANN_R,12/30/2015)&lt;/Q&gt;&lt;R&gt;1&lt;/R&gt;&lt;C&gt;1&lt;/C&gt;&lt;D xsi:type="xsd:double"&gt;-3.0183422335732528&lt;/D&gt;&lt;/FQL&gt;&lt;FQL&gt;&lt;Q&gt;FNF-US^FF_ROE(ANN_R,12/30/2015)&lt;/Q&gt;&lt;R&gt;1&lt;/R&gt;&lt;C&gt;1&lt;/C&gt;&lt;D xsi:type="xsd:double"&gt;10.414030012655941&lt;/D&gt;&lt;/FQL&gt;&lt;FQL&gt;&lt;Q&gt;PSG-CA^FF_ROE(ANN_R,12/30/2015)&lt;/Q&gt;&lt;R&gt;1&lt;/R&gt;&lt;C&gt;1&lt;/C&gt;&lt;D xsi:type="xsd:double"&gt;1.2601981023472291&lt;/D&gt;&lt;/FQL&gt;&lt;FQL&gt;&lt;Q&gt;GEO-US^FF_ROE(ANN_R,12/30/2015)&lt;/Q&gt;&lt;R&gt;1&lt;/R&gt;&lt;C&gt;1&lt;/C&gt;&lt;D xsi:type="xsd:double"&gt;13.91164995570754&lt;/D&gt;&lt;/FQL&gt;&lt;FQL&gt;&lt;Q&gt;SYF-US^FF_ROE(ANN_R,12/30/2015)&lt;/Q&gt;&lt;R&gt;1&lt;/R&gt;&lt;C&gt;1&lt;/C&gt;&lt;D xsi:type="xsd:double"&gt;25.6600559678793&lt;/D&gt;&lt;/FQL&gt;&lt;FQL&gt;&lt;Q&gt;EQC-US^FF_ROE(ANN_R,12/30/2015)&lt;/Q&gt;&lt;R&gt;1&lt;/R&gt;&lt;C&gt;1&lt;/C&gt;&lt;D xsi:type="xsd:double"&gt;0.63460912031403061&lt;/D&gt;&lt;/FQL&gt;&lt;FQL&gt;&lt;Q&gt;OSGB-US^FF_ROE(ANN_R,12/30/2015)&lt;/Q&gt;&lt;R&gt;1&lt;/R&gt;&lt;C&gt;1&lt;/C&gt;&lt;D xsi:type="xsd:double"&gt;-24.84386216798277&lt;/D&gt;&lt;/FQL&gt;&lt;FQL&gt;&lt;Q&gt;CFG-US^FF_ROE(ANN_R,12/30/2015)&lt;/Q&gt;&lt;R&gt;1&lt;/R&gt;&lt;C&gt;1&lt;/C&gt;&lt;D xsi:type="xsd:double"&gt;4.49771214642263&lt;/D&gt;&lt;/FQL&gt;&lt;FQL&gt;&lt;Q&gt;CDK-US^FF_ROE(ANN_R,12/30/2015)&lt;/Q&gt;&lt;R&gt;1&lt;/R&gt;&lt;C&gt;1&lt;/C&gt;&lt;D xsi:type="xsd:double"&gt;13.93532260584284&lt;/D&gt;&lt;/FQL&gt;&lt;FQL&gt;&lt;Q&gt;KEYS-US^FF_ROE(ANN_R,12/30/2015)&lt;/Q&gt;&lt;R&gt;1&lt;/R&gt;&lt;C&gt;1&lt;/C&gt;&lt;D xsi:type="xsd:double"&gt;49.541284403669728&lt;/D&gt;&lt;/FQL&gt;&lt;FQL&gt;&lt;Q&gt;QRVO-US^FF_ROE(ANN_R,12/30/2015)&lt;/Q&gt;&lt;R&gt;1&lt;/R&gt;&lt;C&gt;1&lt;/C&gt;&lt;D xsi:type="xsd:double"&gt;5.731883633736774&lt;/D&gt;&lt;/FQL&gt;&lt;FQL&gt;&lt;Q&gt;HYH-US^FF_ROE(ANN_R,12/30/2015)&lt;/Q&gt;&lt;R&gt;1&lt;/R&gt;&lt;C&gt;1&lt;/C&gt;&lt;D xsi:type="xsd:double"&gt;1.518079713189368&lt;/D&gt;&lt;/FQL&gt;&lt;FQL&gt;&lt;Q&gt;INDV-GB^FF_ROE(ANN_R,12/30/2015)&lt;/Q&gt;&lt;R&gt;0&lt;/R&gt;&lt;C&gt;0&lt;/C&gt;&lt;/FQL&gt;&lt;FQL&gt;&lt;Q&gt;LBRDK-US^FF_ROE(ANN_R,12/30/2015)&lt;/Q&gt;&lt;R&gt;1&lt;/R&gt;&lt;C&gt;1&lt;/C&gt;&lt;D xsi:type="xsd:double"&gt;-5.1045105928881176&lt;/D&gt;&lt;/FQL&gt;&lt;FQL&gt;&lt;Q&gt;AXTA-US^FF_ROE(ANN_R,12/30/2015)&lt;/Q&gt;&lt;R&gt;1&lt;/R&gt;&lt;C&gt;1&lt;/C&gt;&lt;D xsi:type="xsd:double"&gt;2.51826662377648&lt;/D&gt;&lt;/FQL&gt;&lt;FQL&gt;&lt;Q&gt;TECH-US^FF_ROE(ANN_R,12/30/2015)&lt;/Q&gt;&lt;R&gt;1&lt;/R&gt;&lt;C&gt;1&lt;/C&gt;&lt;D xsi:type="xsd:double"&gt;13.120813542808429&lt;/D&gt;&lt;/FQL&gt;&lt;FQL&gt;&lt;Q&gt;ANTM-US^FF_ROE(ANN_R,12/30/2015)&lt;/Q&gt;&lt;R&gt;1&lt;/R&gt;&lt;C&gt;1&lt;/C&gt;&lt;D xsi:type="xsd:double"&gt;10.445870268175&lt;/D&gt;&lt;/FQL&gt;&lt;FQL&gt;&lt;Q&gt;LAMR-US^FF_ROE(ANN_R,12/30/2015)&lt;/Q&gt;&lt;R&gt;1&lt;/R&gt;&lt;C&gt;1&lt;/C&gt;&lt;D xsi:type="xsd:double"&gt;26.485207990756429&lt;/D&gt;&lt;/FQL&gt;&lt;FQL&gt;&lt;Q&gt;KLXI-US^FF_ROE(ANN_R,12/30/2015)&lt;/Q&gt;&lt;R&gt;1&lt;/R&gt;&lt;C&gt;1&lt;/C&gt;&lt;D xsi:type="xsd:double"&gt;3.2515224211109062&lt;/D&gt;&lt;/FQL&gt;&lt;FQL&gt;&lt;Q&gt;CCI-US^FF_ROE(ANN_R,12/30/2015)&lt;/Q&gt;&lt;R&gt;1&lt;/R&gt;&lt;C&gt;1&lt;/C&gt;&lt;D xsi:type="xsd:double"&gt;5.7247622983371178&lt;/D&gt;&lt;/FQL&gt;&lt;FQL&gt;&lt;Q&gt;WBA-US^FF_ROE(ANN_R,12/30/2015)&lt;/Q&gt;&lt;R&gt;1&lt;/R&gt;&lt;C&gt;1&lt;/C&gt;&lt;D xsi:type="xsd:double"&gt;16.444227959084269&lt;/D&gt;&lt;/FQL&gt;&lt;FQL&gt;&lt;Q&gt;UE-US^FF_ROE(ANN_R,12/30/2015)&lt;/Q&gt;&lt;R&gt;0&lt;/R&gt;&lt;C&gt;0&lt;/C&gt;&lt;/FQL&gt;&lt;FQL&gt;&lt;Q&gt;WPG-US^FF_ROE(ANN_R,12/30/2015)&lt;/Q&gt;&lt;R&gt;1&lt;/R&gt;&lt;C&gt;1&lt;/C&gt;&lt;D xsi:type="xsd:double"&gt;12.723240760106419&lt;/D&gt;&lt;/FQL&gt;&lt;FQL&gt;&lt;Q&gt;IRM-US^FF_ROE(ANN_R,12/30/2015)&lt;/Q&gt;&lt;R&gt;1&lt;/R&gt;&lt;C&gt;1&lt;/C&gt;&lt;D xsi:type="xsd:double"&gt;33.410954392331107&lt;/D&gt;&lt;/FQL&gt;&lt;FQL&gt;&lt;Q&gt;OA-US^FF_ROE(ANN_R,12/30/2015)&lt;/Q&gt;&lt;R&gt;0&lt;/R&gt;&lt;C&gt;0&lt;/C&gt;&lt;/FQL&gt;&lt;FQL&gt;&lt;Q&gt;EQIX-US^FF_ROE(ANN_R,12/30/2015)&lt;/Q&gt;&lt;R&gt;1&lt;/R&gt;&lt;C&gt;1&lt;/C&gt;&lt;D xsi:type="xsd:double"&gt;-10.97637124288595&lt;/D&gt;&lt;/FQL&gt;&lt;FQL&gt;&lt;Q&gt;ES-US^FF_ROE(ANN_R,12/30/2015)&lt;/Q&gt;&lt;R&gt;1&lt;/R&gt;&lt;C&gt;1&lt;/C&gt;&lt;D xsi:type="xsd:double"&gt;8.3676909272009379&lt;/D&gt;&lt;/FQL&gt;&lt;FQL&gt;&lt;Q&gt;ZG-US^FF_ROE(ANN_R,12/30/2015)&lt;/Q&gt;&lt;R&gt;1&lt;/R&gt;&lt;C&gt;1&lt;/C&gt;&lt;D xsi:type="xsd:double"&gt;-7.5412316538054167&lt;/D&gt;&lt;/FQL&gt;&lt;FQL&gt;&lt;Q&gt;UNIT-US^FF_ROE(ANN_R,12/30/2015)&lt;/Q&gt;&lt;R&gt;0&lt;/R&gt;&lt;C&gt;0&lt;/C&gt;&lt;/FQL&gt;&lt;FQL&gt;&lt;Q&gt;CIM-US^FF_ROE(ANN_R,12/30/2015)&lt;/Q&gt;&lt;R&gt;1&lt;/R&gt;&lt;C&gt;1&lt;/C&gt;&lt;D xsi:type="xsd:double"&gt;16.981928752593959&lt;/D&gt;&lt;/FQL&gt;&lt;FQL&gt;&lt;Q&gt;WIN-US^FF_ROE(ANN_R,12/30/2015)&lt;/Q&gt;&lt;R&gt;1&lt;/R&gt;&lt;C&gt;1&lt;/C&gt;&lt;D xsi:type="xsd:double"&gt;-8.35680751173709&lt;/D&gt;&lt;/FQL&gt;&lt;FQL&gt;&lt;Q&gt;EPC-US^FF_ROE(ANN_R,12/30/2015)&lt;/Q&gt;&lt;R&gt;1&lt;/R&gt;&lt;C&gt;1&lt;/C&gt;&lt;D xsi:type="xsd:double"&gt;-13.50082071858472&lt;/D&gt;&lt;/FQL&gt;&lt;FQL&gt;&lt;Q&gt;TLN-US^FF_ROE(ANN_R,12/30/2015)&lt;/Q&gt;&lt;R&gt;0&lt;/R&gt;&lt;C&gt;0&lt;/C&gt;&lt;/FQL&gt;&lt;FQL&gt;&lt;Q&gt;XRAY-US^FF_ROE(ANN_R,12/30/2015)&lt;/Q&gt;&lt;R&gt;1&lt;/R&gt;&lt;C&gt;1&lt;/C&gt;&lt;D xsi:type="xsd:double"&gt;13.296207919886861&lt;/D&gt;&lt;/FQL&gt;&lt;FQL&gt;&lt;Q&gt;WRK-US^FF_ROE(ANN_R,12/30/2015)&lt;/Q&gt;&lt;R&gt;1&lt;/R&gt;&lt;C&gt;1&lt;/C&gt;&lt;D xsi:type="xsd:double"&gt;6.2398957302018987&lt;/D&gt;&lt;/FQL&gt;&lt;FQL&gt;&lt;Q&gt;AROC-US^FF_ROE(ANN_R,12/30/2015)&lt;/Q&gt;&lt;R&gt;1&lt;/R&gt;&lt;C&gt;1&lt;/C&gt;&lt;D xsi:type="xsd:double"&gt;-2.6881677382506091&lt;/D&gt;&lt;/FQL&gt;&lt;FQL&gt;&lt;Q&gt;KHC-US^FF_ROE(ANN_R,12/30/2015)&lt;/Q&gt;&lt;R&gt;1&lt;/R&gt;&lt;C&gt;1&lt;/C&gt;&lt;D xsi:type="xsd:double"&gt;6.37121799844841&lt;/D&gt;&lt;/FQL&gt;&lt;FQL&gt;&lt;Q&gt;OPTT-US^FF_ROE(ANN_R,12/30/2015)&lt;/Q&gt;&lt;R&gt;1&lt;/R&gt;&lt;C&gt;1&lt;/C&gt;&lt;D xsi:type="xsd:double"&gt;-59.391333740791872&lt;/D&gt;&lt;/FQL&gt;&lt;FQL&gt;&lt;Q&gt;VER-US^FF_ROE(ANN_R,12/30/2015)&lt;/Q&gt;&lt;R&gt;1&lt;/R&gt;&lt;C&gt;1&lt;/C&gt;&lt;D xsi:type="xsd:double"&gt;-16.999522555200372&lt;/D&gt;&lt;/FQL&gt;&lt;FQL&gt;&lt;Q&gt;GOOGL-US^FF_ROE(ANN_R,12/30/2015)&lt;/Q&gt;&lt;R&gt;1&lt;/R&gt;&lt;C&gt;1&lt;/C&gt;&lt;D xsi:type="xsd:double"&gt;14.24917219842129&lt;/D&gt;&lt;/FQL&gt;&lt;FQL&gt;&lt;Q&gt;WELL-US^FF_ROE(ANN_R,12/30/2015)&lt;/Q&gt;&lt;R&gt;1&lt;/R&gt;&lt;C&gt;1&lt;/C&gt;&lt;D xsi:type="xsd:double"&gt;2.9110275929761911&lt;/D&gt;&lt;/FQL&gt;&lt;FQL&gt;&lt;Q&gt;PYPL-US^FF_ROE(ANN_R,12/30/2015)&lt;/Q&gt;&lt;R&gt;1&lt;/R&gt;&lt;C&gt;1&lt;/C&gt;&lt;D xsi:type="xsd:double"&gt;5.3587415270494949&lt;/D&gt;&lt;/FQL&gt;&lt;FQL&gt;&lt;Q&gt;HPQ-US^FF_ROE(ANN_R,12/30/2015)&lt;/Q&gt;&lt;R&gt;1&lt;/R&gt;&lt;C&gt;1&lt;/C&gt;&lt;D xsi:type="xsd:double"&gt;13.64428705113855&lt;/D&gt;&lt;/FQL&gt;&lt;FQL&gt;&lt;Q&gt;ACIIQ-US^FF_ROE(ANN_R,12/30/2015)&lt;/Q&gt;&lt;R&gt;1&lt;/R&gt;&lt;C&gt;1&lt;/C&gt;&lt;D xsi:type="xsd:double"&gt;-28.47720573478421&lt;/D&gt;&lt;/FQL&gt;&lt;FQL&gt;&lt;Q&gt;VIAV-US^FF_ROE(ANN_R,12/30/2015)&lt;/Q&gt;&lt;R&gt;1&lt;/R&gt;&lt;C&gt;1&lt;/C&gt;&lt;D xsi:type="xsd:double"&gt;-11.480494517495959&lt;/D&gt;&lt;/FQL&gt;&lt;FQL&gt;&lt;Q&gt;WEC-US^FF_ROE(ANN_R,12/30/2015)&lt;/Q&gt;&lt;R&gt;1&lt;/R&gt;&lt;C&gt;1&lt;/C&gt;&lt;D xsi:type="xsd:double"&gt;13.5031847133758&lt;/D&gt;&lt;/FQL&gt;&lt;FQL&gt;&lt;Q&gt;MNST-US^FF_ROE(ANN_R,12/30/2015)&lt;/Q&gt;&lt;R&gt;1&lt;/R&gt;&lt;C&gt;1&lt;/C&gt;&lt;D xsi:type="xsd:double"&gt;38.5402737226059&lt;/D&gt;&lt;/FQL&gt;&lt;FQL&gt;&lt;Q&gt;TGNA-US^FF_ROE(ANN_R,12/30/2015)&lt;/Q&gt;&lt;R&gt;1&lt;/R&gt;&lt;C&gt;1&lt;/C&gt;&lt;D xsi:type="xsd:double"&gt;35.715159955965113&lt;/D&gt;&lt;/FQL&gt;&lt;FQL&gt;&lt;Q&gt;GCI-US^FF_ROE(ANN_R,12/30/2015)&lt;/Q&gt;&lt;R&gt;1&lt;/R&gt;&lt;C&gt;1&lt;/C&gt;&lt;D xsi:type="xsd:double"&gt;19.131581205369969&lt;/D&gt;&lt;/FQL&gt;&lt;FQL&gt;&lt;Q&gt;BWXT-US^FF_ROE(ANN_R,12/30/2015)&lt;/Q&gt;&lt;R&gt;1&lt;/R&gt;&lt;C&gt;1&lt;/C&gt;&lt;D xsi:type="xsd:double"&gt;2.71684591458502&lt;/D&gt;&lt;/FQL&gt;&lt;FQL&gt;&lt;Q&gt;BTUUQ-US^FF_ROE(ANN_R,12/30/2015)&lt;/Q&gt;&lt;R&gt;1&lt;/R&gt;&lt;C&gt;1&lt;/C&gt;&lt;D xsi:type="xsd:double"&gt;-22.907967136504109&lt;/D&gt;&lt;/FQL&gt;&lt;/Schema&gt;</t>
        </r>
      </text>
    </comment>
  </commentList>
</comments>
</file>

<file path=xl/sharedStrings.xml><?xml version="1.0" encoding="utf-8"?>
<sst xmlns="http://schemas.openxmlformats.org/spreadsheetml/2006/main" count="21758" uniqueCount="6569">
  <si>
    <t>SYMBOL</t>
  </si>
  <si>
    <t>DATE</t>
  </si>
  <si>
    <t>SEDOL</t>
  </si>
  <si>
    <t>TICKER-REGION</t>
  </si>
  <si>
    <t>SECURITY NAME</t>
  </si>
  <si>
    <t>NAME</t>
  </si>
  <si>
    <t>TICKER</t>
  </si>
  <si>
    <t>EXCHANGE</t>
  </si>
  <si>
    <t>PEER_GROUP</t>
  </si>
  <si>
    <t>REGION</t>
  </si>
  <si>
    <t>COUNTRY</t>
  </si>
  <si>
    <t>COMP_GROUP_AVG</t>
  </si>
  <si>
    <t>TOTAL_ESG_SCORE</t>
  </si>
  <si>
    <t>ENVIRONMENT_SCORE</t>
  </si>
  <si>
    <t>SOCIAL_SCORE</t>
  </si>
  <si>
    <t>GOVERNANCE_SCORE</t>
  </si>
  <si>
    <t>TOTAL_ESG_PTILE</t>
  </si>
  <si>
    <t>ENVIRONMENT_PTILE</t>
  </si>
  <si>
    <t>SOCIAL_PTILE</t>
  </si>
  <si>
    <t>GOVERNANCE_PTILE</t>
  </si>
  <si>
    <t>ENVIRONMENT_WEIGHT</t>
  </si>
  <si>
    <t>SOCIAL_WEIGHT</t>
  </si>
  <si>
    <t>GOVERNANCE_WEIGHT</t>
  </si>
  <si>
    <t>E_OPERATIONS_INCIDENTS</t>
  </si>
  <si>
    <t>E_SUPPLYCHAIN_INCIDENTS</t>
  </si>
  <si>
    <t>E_PRODSERVICE_INCIDENTS</t>
  </si>
  <si>
    <t>S_EMPLOYEE_INCIDENTS</t>
  </si>
  <si>
    <t>S_SUPPLYCHAIN_INCIDENTS</t>
  </si>
  <si>
    <t>S_CUSTOMER_INCIDENTS</t>
  </si>
  <si>
    <t>S_COMMUNITY_INCIDENTS</t>
  </si>
  <si>
    <t>G_BUSETHICS_INCIDENTS</t>
  </si>
  <si>
    <t>G_GOVERNANCE_INCIDENTS</t>
  </si>
  <si>
    <t>G_PUBLIC_POLICY_INCIDENTS</t>
  </si>
  <si>
    <t>OLD_SYMBOL</t>
  </si>
  <si>
    <t>CONTROVERSY_LEVEL</t>
  </si>
  <si>
    <t>LSE</t>
  </si>
  <si>
    <t>Diversified Financials</t>
  </si>
  <si>
    <t>Category 2</t>
  </si>
  <si>
    <t>Food Products</t>
  </si>
  <si>
    <t>Traders &amp; Distributors</t>
  </si>
  <si>
    <t>Building Products</t>
  </si>
  <si>
    <t>Energy Services</t>
  </si>
  <si>
    <t>Category 1</t>
  </si>
  <si>
    <t>AEP</t>
  </si>
  <si>
    <t>Diversified Metals</t>
  </si>
  <si>
    <t>Category 4</t>
  </si>
  <si>
    <t>Category 3</t>
  </si>
  <si>
    <t>@NA</t>
  </si>
  <si>
    <t>Paper &amp; Forestry</t>
  </si>
  <si>
    <t>BMS</t>
  </si>
  <si>
    <t>Commercial Services</t>
  </si>
  <si>
    <t>Aerospace &amp; Defense</t>
  </si>
  <si>
    <t>Homebuilders</t>
  </si>
  <si>
    <t>BBY</t>
  </si>
  <si>
    <t>Construction &amp; Engineering</t>
  </si>
  <si>
    <t>Pharmaceuticals</t>
  </si>
  <si>
    <t>Oil &amp; Gas Producers</t>
  </si>
  <si>
    <t>Textiles &amp; Apparel</t>
  </si>
  <si>
    <t>Healthcare</t>
  </si>
  <si>
    <t>Consumer Durables</t>
  </si>
  <si>
    <t>Food Retailers</t>
  </si>
  <si>
    <t>United States and Canada</t>
  </si>
  <si>
    <t>United States</t>
  </si>
  <si>
    <t>Real Estate</t>
  </si>
  <si>
    <t>Media</t>
  </si>
  <si>
    <t>Software &amp; Services</t>
  </si>
  <si>
    <t>Technology Hardware</t>
  </si>
  <si>
    <t>CLI</t>
  </si>
  <si>
    <t>Telecommunication Services</t>
  </si>
  <si>
    <t>Consumer Services</t>
  </si>
  <si>
    <t>CAR</t>
  </si>
  <si>
    <t>Chemicals</t>
  </si>
  <si>
    <t>Machinery</t>
  </si>
  <si>
    <t>Construction Materials</t>
  </si>
  <si>
    <t>Transportation</t>
  </si>
  <si>
    <t>Insurance</t>
  </si>
  <si>
    <t>Industrial Conglomerates</t>
  </si>
  <si>
    <t>Precious Metals</t>
  </si>
  <si>
    <t>Utilities</t>
  </si>
  <si>
    <t>Refiners &amp; Pipelines</t>
  </si>
  <si>
    <t>GNC</t>
  </si>
  <si>
    <t>Banks</t>
  </si>
  <si>
    <t>HAS</t>
  </si>
  <si>
    <t>Retailing</t>
  </si>
  <si>
    <t>MSI</t>
  </si>
  <si>
    <t>PKG</t>
  </si>
  <si>
    <t>INTU</t>
  </si>
  <si>
    <t>PRU</t>
  </si>
  <si>
    <t>Containers &amp; Packaging</t>
  </si>
  <si>
    <t>CBG</t>
  </si>
  <si>
    <t>08467070</t>
  </si>
  <si>
    <t>207339</t>
  </si>
  <si>
    <t>BRK.B-US</t>
  </si>
  <si>
    <t>Berkshire Hathaway Inc. Class B</t>
  </si>
  <si>
    <t>Berkshire Hathaway Inc.</t>
  </si>
  <si>
    <t>BRK.A</t>
  </si>
  <si>
    <t>NYSE</t>
  </si>
  <si>
    <t>US0846701086</t>
  </si>
  <si>
    <t>TSCO</t>
  </si>
  <si>
    <t>Semiconductors</t>
  </si>
  <si>
    <t>2000019</t>
  </si>
  <si>
    <t>200001</t>
  </si>
  <si>
    <t>AMZN-US</t>
  </si>
  <si>
    <t>Amazon.com, Inc.</t>
  </si>
  <si>
    <t>Amazon.com Inc.</t>
  </si>
  <si>
    <t>AMZN</t>
  </si>
  <si>
    <t>NasdaqGS</t>
  </si>
  <si>
    <t>US0231351067</t>
  </si>
  <si>
    <t>TSX</t>
  </si>
  <si>
    <t>NasdaqGM</t>
  </si>
  <si>
    <t>2002305</t>
  </si>
  <si>
    <t>200230</t>
  </si>
  <si>
    <t>ABT-US</t>
  </si>
  <si>
    <t>Abbott Laboratories</t>
  </si>
  <si>
    <t>ABT</t>
  </si>
  <si>
    <t>US0028241000</t>
  </si>
  <si>
    <t>2002479</t>
  </si>
  <si>
    <t>200247</t>
  </si>
  <si>
    <t>AES-US</t>
  </si>
  <si>
    <t>AES Corporation</t>
  </si>
  <si>
    <t>The AES Corporation</t>
  </si>
  <si>
    <t>AES</t>
  </si>
  <si>
    <t>US00130H1059</t>
  </si>
  <si>
    <t>2002918</t>
  </si>
  <si>
    <t>200291</t>
  </si>
  <si>
    <t>AAN-US</t>
  </si>
  <si>
    <t>Aaron's, Inc.</t>
  </si>
  <si>
    <t>Aaron's Inc.</t>
  </si>
  <si>
    <t>AAN</t>
  </si>
  <si>
    <t>US0025353006</t>
  </si>
  <si>
    <t>NasdaqCM</t>
  </si>
  <si>
    <t>2004185</t>
  </si>
  <si>
    <t>200418</t>
  </si>
  <si>
    <t>ANF-US</t>
  </si>
  <si>
    <t>Abercrombie &amp; Fitch Co. Class A</t>
  </si>
  <si>
    <t>Abercrombie &amp; Fitch Co.</t>
  </si>
  <si>
    <t>ANF</t>
  </si>
  <si>
    <t>US0028962076</t>
  </si>
  <si>
    <t>2005973</t>
  </si>
  <si>
    <t>200597</t>
  </si>
  <si>
    <t>IBM-US</t>
  </si>
  <si>
    <t>International Business Machines Corporation</t>
  </si>
  <si>
    <t>International Business Machines Corp.</t>
  </si>
  <si>
    <t>IBM</t>
  </si>
  <si>
    <t>US4592001014</t>
  </si>
  <si>
    <t>AMEX</t>
  </si>
  <si>
    <t>2007849</t>
  </si>
  <si>
    <t>200784</t>
  </si>
  <si>
    <t>AMD-US</t>
  </si>
  <si>
    <t>Advanced Micro Devices, Inc.</t>
  </si>
  <si>
    <t>Advanced Micro Devices Inc.</t>
  </si>
  <si>
    <t>AMD</t>
  </si>
  <si>
    <t>US0079031078</t>
  </si>
  <si>
    <t>2008154</t>
  </si>
  <si>
    <t>200815</t>
  </si>
  <si>
    <t>ADBE-US</t>
  </si>
  <si>
    <t>Adobe Systems Incorporated</t>
  </si>
  <si>
    <t>ADBE</t>
  </si>
  <si>
    <t>US00724F1012</t>
  </si>
  <si>
    <t>2009210</t>
  </si>
  <si>
    <t>200921</t>
  </si>
  <si>
    <t>ARE-US</t>
  </si>
  <si>
    <t>Alexandria Real Estate Equities, Inc.</t>
  </si>
  <si>
    <t>Alexandria Real Estate Equities Inc.</t>
  </si>
  <si>
    <t>ARE</t>
  </si>
  <si>
    <t>US0152711091</t>
  </si>
  <si>
    <t>2010278</t>
  </si>
  <si>
    <t>201027</t>
  </si>
  <si>
    <t>AGCO-US</t>
  </si>
  <si>
    <t>AGCO Corporation</t>
  </si>
  <si>
    <t>AGCO</t>
  </si>
  <si>
    <t>US0010841023</t>
  </si>
  <si>
    <t>2011561</t>
  </si>
  <si>
    <t>201156</t>
  </si>
  <si>
    <t>ARG-US</t>
  </si>
  <si>
    <t>Airgas, Inc.</t>
  </si>
  <si>
    <t>Airgas Inc.</t>
  </si>
  <si>
    <t>US0093631028</t>
  </si>
  <si>
    <t>2011602</t>
  </si>
  <si>
    <t>201160</t>
  </si>
  <si>
    <t>APD-US</t>
  </si>
  <si>
    <t>Air Products and Chemicals, Inc.</t>
  </si>
  <si>
    <t>Air Products and Chemicals Inc.</t>
  </si>
  <si>
    <t>APD</t>
  </si>
  <si>
    <t>US0091581068</t>
  </si>
  <si>
    <t>2012672</t>
  </si>
  <si>
    <t>201267</t>
  </si>
  <si>
    <t>EGN-US</t>
  </si>
  <si>
    <t>Energen Corporation</t>
  </si>
  <si>
    <t>EGN</t>
  </si>
  <si>
    <t>US29265N1081</t>
  </si>
  <si>
    <t>2016801</t>
  </si>
  <si>
    <t>201680</t>
  </si>
  <si>
    <t>Y-US</t>
  </si>
  <si>
    <t>Alleghany Corporation</t>
  </si>
  <si>
    <t>Y</t>
  </si>
  <si>
    <t>US0171751003</t>
  </si>
  <si>
    <t>2018175</t>
  </si>
  <si>
    <t>201817</t>
  </si>
  <si>
    <t>DD-US</t>
  </si>
  <si>
    <t>E. I. du Pont de Nemours and Company</t>
  </si>
  <si>
    <t>DD</t>
  </si>
  <si>
    <t>US2635341090</t>
  </si>
  <si>
    <t>2019479</t>
  </si>
  <si>
    <t>201947</t>
  </si>
  <si>
    <t>BXP-US</t>
  </si>
  <si>
    <t>Boston Properties, Inc.</t>
  </si>
  <si>
    <t>Boston Properties Inc.</t>
  </si>
  <si>
    <t>BXP</t>
  </si>
  <si>
    <t>US1011211018</t>
  </si>
  <si>
    <t>2019952</t>
  </si>
  <si>
    <t>201995</t>
  </si>
  <si>
    <t>ALL-US</t>
  </si>
  <si>
    <t>Allstate Corporation</t>
  </si>
  <si>
    <t>The Allstate Corporation</t>
  </si>
  <si>
    <t>ALL</t>
  </si>
  <si>
    <t>US0200021014</t>
  </si>
  <si>
    <t>2020415</t>
  </si>
  <si>
    <t>202041</t>
  </si>
  <si>
    <t>THG-US</t>
  </si>
  <si>
    <t>Hanover Insurance Group, Inc.</t>
  </si>
  <si>
    <t>The Hanover Insurance Group Inc.</t>
  </si>
  <si>
    <t>THG</t>
  </si>
  <si>
    <t>US4108671052</t>
  </si>
  <si>
    <t>2020459</t>
  </si>
  <si>
    <t>202045</t>
  </si>
  <si>
    <t>HON-US</t>
  </si>
  <si>
    <t>Honeywell International Inc.</t>
  </si>
  <si>
    <t>HON</t>
  </si>
  <si>
    <t>US4385161066</t>
  </si>
  <si>
    <t>2023607</t>
  </si>
  <si>
    <t>202360</t>
  </si>
  <si>
    <t>AMGN-US</t>
  </si>
  <si>
    <t>Amgen Inc.</t>
  </si>
  <si>
    <t>AMGN</t>
  </si>
  <si>
    <t>US0311621009</t>
  </si>
  <si>
    <t>2023748</t>
  </si>
  <si>
    <t>202374</t>
  </si>
  <si>
    <t>HES-US</t>
  </si>
  <si>
    <t>Hess Corporation</t>
  </si>
  <si>
    <t>HES</t>
  </si>
  <si>
    <t>US42809H1077</t>
  </si>
  <si>
    <t>2023975</t>
  </si>
  <si>
    <t>202397</t>
  </si>
  <si>
    <t>IEP-US</t>
  </si>
  <si>
    <t>Icahn Enterprises L.P.</t>
  </si>
  <si>
    <t>IEP</t>
  </si>
  <si>
    <t>US4511001012</t>
  </si>
  <si>
    <t>Category 5</t>
  </si>
  <si>
    <t>2026082</t>
  </si>
  <si>
    <t>202608</t>
  </si>
  <si>
    <t>AXP-US</t>
  </si>
  <si>
    <t>American Express Company</t>
  </si>
  <si>
    <t>AXP</t>
  </si>
  <si>
    <t>US0258161092</t>
  </si>
  <si>
    <t>2026242</t>
  </si>
  <si>
    <t>202624</t>
  </si>
  <si>
    <t>AEP-US</t>
  </si>
  <si>
    <t>American Electric Power Company, Inc.</t>
  </si>
  <si>
    <t>American Electric Power Company Inc.</t>
  </si>
  <si>
    <t>US0255371017</t>
  </si>
  <si>
    <t>2026361</t>
  </si>
  <si>
    <t>202636</t>
  </si>
  <si>
    <t>AFL-US</t>
  </si>
  <si>
    <t>Aflac Incorporated</t>
  </si>
  <si>
    <t>AFL</t>
  </si>
  <si>
    <t>US0010551028</t>
  </si>
  <si>
    <t>2027342</t>
  </si>
  <si>
    <t>202734</t>
  </si>
  <si>
    <t>AIG-US</t>
  </si>
  <si>
    <t>American International Group, Inc.</t>
  </si>
  <si>
    <t>American International Group Inc.</t>
  </si>
  <si>
    <t>AIG</t>
  </si>
  <si>
    <t>US0268747849</t>
  </si>
  <si>
    <t>2028420</t>
  </si>
  <si>
    <t>202842</t>
  </si>
  <si>
    <t>ANAT-US</t>
  </si>
  <si>
    <t>American National Insurance Company</t>
  </si>
  <si>
    <t>ANAT</t>
  </si>
  <si>
    <t>US0285911055</t>
  </si>
  <si>
    <t>Steel</t>
  </si>
  <si>
    <t>2032067</t>
  </si>
  <si>
    <t>203206</t>
  </si>
  <si>
    <t>ADI-US</t>
  </si>
  <si>
    <t>Analog Devices, Inc.</t>
  </si>
  <si>
    <t>Analog Devices Inc.</t>
  </si>
  <si>
    <t>ADI</t>
  </si>
  <si>
    <t>US0326541051</t>
  </si>
  <si>
    <t>2032380</t>
  </si>
  <si>
    <t>203238</t>
  </si>
  <si>
    <t>APC-US</t>
  </si>
  <si>
    <t>Anadarko Petroleum Corporation</t>
  </si>
  <si>
    <t>APC</t>
  </si>
  <si>
    <t>US0325111070</t>
  </si>
  <si>
    <t>2036070</t>
  </si>
  <si>
    <t>203607</t>
  </si>
  <si>
    <t>ALXN-US</t>
  </si>
  <si>
    <t>Alexion Pharmaceuticals, Inc.</t>
  </si>
  <si>
    <t>Alexion Pharmaceuticals Inc.</t>
  </si>
  <si>
    <t>ALXN</t>
  </si>
  <si>
    <t>US0153511094</t>
  </si>
  <si>
    <t>2037062</t>
  </si>
  <si>
    <t>203706</t>
  </si>
  <si>
    <t>HLX-US</t>
  </si>
  <si>
    <t>Helix Energy Solutions Group, Inc.</t>
  </si>
  <si>
    <t>Helix Energy Solutions Group Inc.</t>
  </si>
  <si>
    <t>HLX</t>
  </si>
  <si>
    <t>US42330P1075</t>
  </si>
  <si>
    <t>2040640</t>
  </si>
  <si>
    <t>204064</t>
  </si>
  <si>
    <t>JLL-US</t>
  </si>
  <si>
    <t>Jones Lang LaSalle Incorporated</t>
  </si>
  <si>
    <t>JLL</t>
  </si>
  <si>
    <t>US48020Q1076</t>
  </si>
  <si>
    <t>2041364</t>
  </si>
  <si>
    <t>204136</t>
  </si>
  <si>
    <t>VLO-US</t>
  </si>
  <si>
    <t>Valero Energy Corporation</t>
  </si>
  <si>
    <t>VLO</t>
  </si>
  <si>
    <t>US91913Y1001</t>
  </si>
  <si>
    <t>OTCPK</t>
  </si>
  <si>
    <t>2043694</t>
  </si>
  <si>
    <t>204369</t>
  </si>
  <si>
    <t>APOL-US</t>
  </si>
  <si>
    <t>Apollo Education Group, Inc. Class A</t>
  </si>
  <si>
    <t>Apollo Education Group Inc.</t>
  </si>
  <si>
    <t>US0376041051</t>
  </si>
  <si>
    <t>2043962</t>
  </si>
  <si>
    <t>204396</t>
  </si>
  <si>
    <t>APA-US</t>
  </si>
  <si>
    <t>Apache Corporation</t>
  </si>
  <si>
    <t>APA</t>
  </si>
  <si>
    <t>US0374111054</t>
  </si>
  <si>
    <t>2044545</t>
  </si>
  <si>
    <t>204454</t>
  </si>
  <si>
    <t>CMCSA-US</t>
  </si>
  <si>
    <t>Comcast Corporation Class A</t>
  </si>
  <si>
    <t>Comcast Corporation</t>
  </si>
  <si>
    <t>CMCS.A</t>
  </si>
  <si>
    <t>US20030N1019</t>
  </si>
  <si>
    <t>2045247</t>
  </si>
  <si>
    <t>204524</t>
  </si>
  <si>
    <t>ATR-US</t>
  </si>
  <si>
    <t>Aptargroup, Inc.</t>
  </si>
  <si>
    <t>AptarGroup Inc.</t>
  </si>
  <si>
    <t>ATR</t>
  </si>
  <si>
    <t>US0383361039</t>
  </si>
  <si>
    <t>2045623</t>
  </si>
  <si>
    <t>204562</t>
  </si>
  <si>
    <t>ANSS-US</t>
  </si>
  <si>
    <t>ANSYS, Inc.</t>
  </si>
  <si>
    <t>Ansys Inc.</t>
  </si>
  <si>
    <t>ANSS</t>
  </si>
  <si>
    <t>US03662Q1058</t>
  </si>
  <si>
    <t>2046176</t>
  </si>
  <si>
    <t>204617</t>
  </si>
  <si>
    <t>APOG-US</t>
  </si>
  <si>
    <t>Apogee Enterprises, Inc.</t>
  </si>
  <si>
    <t>Apogee Enterprises Inc.</t>
  </si>
  <si>
    <t>APOG</t>
  </si>
  <si>
    <t>US0375981091</t>
  </si>
  <si>
    <t>2046251</t>
  </si>
  <si>
    <t>204625</t>
  </si>
  <si>
    <t>AAPL-US</t>
  </si>
  <si>
    <t>Apple Inc.</t>
  </si>
  <si>
    <t>AAPL</t>
  </si>
  <si>
    <t>US0378331005</t>
  </si>
  <si>
    <t>2046552</t>
  </si>
  <si>
    <t>204655</t>
  </si>
  <si>
    <t>AMAT-US</t>
  </si>
  <si>
    <t>Applied Materials, Inc.</t>
  </si>
  <si>
    <t>Applied Materials Inc.</t>
  </si>
  <si>
    <t>AMAT</t>
  </si>
  <si>
    <t>US0382221051</t>
  </si>
  <si>
    <t>2046853</t>
  </si>
  <si>
    <t>204685</t>
  </si>
  <si>
    <t>ALB-US</t>
  </si>
  <si>
    <t>Albemarle Corporation</t>
  </si>
  <si>
    <t>ALB</t>
  </si>
  <si>
    <t>US0126531013</t>
  </si>
  <si>
    <t>2047317</t>
  </si>
  <si>
    <t>204731</t>
  </si>
  <si>
    <t>ADM-US</t>
  </si>
  <si>
    <t>Archer-Daniels-Midland Company</t>
  </si>
  <si>
    <t>Archer Daniels Midland Company</t>
  </si>
  <si>
    <t>ADM</t>
  </si>
  <si>
    <t>US0394831020</t>
  </si>
  <si>
    <t>2048592</t>
  </si>
  <si>
    <t>204859</t>
  </si>
  <si>
    <t>AEO-US</t>
  </si>
  <si>
    <t>American Eagle Outfitters, Inc.</t>
  </si>
  <si>
    <t>American Eagle Outfitters Inc.</t>
  </si>
  <si>
    <t>AEO</t>
  </si>
  <si>
    <t>US02553E1064</t>
  </si>
  <si>
    <t>2048804</t>
  </si>
  <si>
    <t>204880</t>
  </si>
  <si>
    <t>PNW-US</t>
  </si>
  <si>
    <t>Pinnacle West Capital Corporation</t>
  </si>
  <si>
    <t>PNW</t>
  </si>
  <si>
    <t>US7234841010</t>
  </si>
  <si>
    <t>2050832</t>
  </si>
  <si>
    <t>205083</t>
  </si>
  <si>
    <t>AEE-US</t>
  </si>
  <si>
    <t>Ameren Corporation</t>
  </si>
  <si>
    <t>AEE</t>
  </si>
  <si>
    <t>US0236081024</t>
  </si>
  <si>
    <t>2051404</t>
  </si>
  <si>
    <t>205140</t>
  </si>
  <si>
    <t>ARW-US</t>
  </si>
  <si>
    <t>Arrow Electronics, Inc.</t>
  </si>
  <si>
    <t>Arrow Electronics Inc.</t>
  </si>
  <si>
    <t>ARW</t>
  </si>
  <si>
    <t>US0427351004</t>
  </si>
  <si>
    <t>2052924</t>
  </si>
  <si>
    <t>205292</t>
  </si>
  <si>
    <t>ADTN-US</t>
  </si>
  <si>
    <t>ADTRAN, Inc.</t>
  </si>
  <si>
    <t>ADTRAN Inc.</t>
  </si>
  <si>
    <t>ADTN</t>
  </si>
  <si>
    <t>US00738A1060</t>
  </si>
  <si>
    <t>2053983</t>
  </si>
  <si>
    <t>205398</t>
  </si>
  <si>
    <t>AVX-US</t>
  </si>
  <si>
    <t>AVX Corporation</t>
  </si>
  <si>
    <t>AVX</t>
  </si>
  <si>
    <t>US0024441075</t>
  </si>
  <si>
    <t>2055718</t>
  </si>
  <si>
    <t>205571</t>
  </si>
  <si>
    <t>ASB-US</t>
  </si>
  <si>
    <t>Associated Banc-Corp</t>
  </si>
  <si>
    <t>ASB</t>
  </si>
  <si>
    <t>US0454871056</t>
  </si>
  <si>
    <t>2057059</t>
  </si>
  <si>
    <t>205705</t>
  </si>
  <si>
    <t>AIV-US</t>
  </si>
  <si>
    <t>Apartment Investment and Management Company Class A</t>
  </si>
  <si>
    <t>Apartment Investment and Management Company</t>
  </si>
  <si>
    <t>AIV</t>
  </si>
  <si>
    <t>US03748R1014</t>
  </si>
  <si>
    <t>2060961</t>
  </si>
  <si>
    <t>206096</t>
  </si>
  <si>
    <t>GAS-US</t>
  </si>
  <si>
    <t>AGL Resources, Inc.</t>
  </si>
  <si>
    <t>Southern Company Gas</t>
  </si>
  <si>
    <t>US0012041069</t>
  </si>
  <si>
    <t>2062310</t>
  </si>
  <si>
    <t>206231</t>
  </si>
  <si>
    <t>ATML-US</t>
  </si>
  <si>
    <t>Atmel Corporation</t>
  </si>
  <si>
    <t>US0495131049</t>
  </si>
  <si>
    <t>2062440</t>
  </si>
  <si>
    <t>206244</t>
  </si>
  <si>
    <t>ATW-US</t>
  </si>
  <si>
    <t>Atwood Oceanics, Inc.</t>
  </si>
  <si>
    <t>Atwood Oceanics Inc.</t>
  </si>
  <si>
    <t>ATW</t>
  </si>
  <si>
    <t>US0500951084</t>
  </si>
  <si>
    <t>2063034</t>
  </si>
  <si>
    <t>206303</t>
  </si>
  <si>
    <t>PNRA-US</t>
  </si>
  <si>
    <t>Panera Bread Company Class A</t>
  </si>
  <si>
    <t>Panera Bread Company</t>
  </si>
  <si>
    <t>PNRA</t>
  </si>
  <si>
    <t>US69840W1080</t>
  </si>
  <si>
    <t>Auto Components</t>
  </si>
  <si>
    <t>2065159</t>
  </si>
  <si>
    <t>206515</t>
  </si>
  <si>
    <t>ADSK-US</t>
  </si>
  <si>
    <t>Autodesk, Inc.</t>
  </si>
  <si>
    <t>Autodesk Inc.</t>
  </si>
  <si>
    <t>ADSK</t>
  </si>
  <si>
    <t>US0527691069</t>
  </si>
  <si>
    <t>2065308</t>
  </si>
  <si>
    <t>206530</t>
  </si>
  <si>
    <t>ADP-US</t>
  </si>
  <si>
    <t>Automatic Data Processing, Inc.</t>
  </si>
  <si>
    <t>Automatic Data Processing Inc.</t>
  </si>
  <si>
    <t>ADP</t>
  </si>
  <si>
    <t>US0530151036</t>
  </si>
  <si>
    <t>2065955</t>
  </si>
  <si>
    <t>206595</t>
  </si>
  <si>
    <t>AZO-US</t>
  </si>
  <si>
    <t>AutoZone, Inc.</t>
  </si>
  <si>
    <t>AutoZone Inc.</t>
  </si>
  <si>
    <t>AZO</t>
  </si>
  <si>
    <t>US0533321024</t>
  </si>
  <si>
    <t>2066408</t>
  </si>
  <si>
    <t>206640</t>
  </si>
  <si>
    <t>AVY-US</t>
  </si>
  <si>
    <t>Avery Dennison Corporation</t>
  </si>
  <si>
    <t>AVY</t>
  </si>
  <si>
    <t>US0536111091</t>
  </si>
  <si>
    <t>2066505</t>
  </si>
  <si>
    <t>206650</t>
  </si>
  <si>
    <t>AVT-US</t>
  </si>
  <si>
    <t>Avnet, Inc.</t>
  </si>
  <si>
    <t>Avnet Inc.</t>
  </si>
  <si>
    <t>AVT</t>
  </si>
  <si>
    <t>US0538071038</t>
  </si>
  <si>
    <t>2066624</t>
  </si>
  <si>
    <t>206662</t>
  </si>
  <si>
    <t>ARIA-US</t>
  </si>
  <si>
    <t>ARIAD Pharmaceuticals, Inc.</t>
  </si>
  <si>
    <t>Ariad Pharmaceuticals Inc.</t>
  </si>
  <si>
    <t>US04033A1007</t>
  </si>
  <si>
    <t>2066721</t>
  </si>
  <si>
    <t>206672</t>
  </si>
  <si>
    <t>AVP-US</t>
  </si>
  <si>
    <t>Avon Products, Inc.</t>
  </si>
  <si>
    <t>Avon Products Inc.</t>
  </si>
  <si>
    <t>AVP</t>
  </si>
  <si>
    <t>Household Products</t>
  </si>
  <si>
    <t>US0543031027</t>
  </si>
  <si>
    <t>Electrical Equipment</t>
  </si>
  <si>
    <t>2067735</t>
  </si>
  <si>
    <t>206773</t>
  </si>
  <si>
    <t>AKS-US</t>
  </si>
  <si>
    <t>AK Steel Holding Corporation</t>
  </si>
  <si>
    <t>AKS</t>
  </si>
  <si>
    <t>US0015471081</t>
  </si>
  <si>
    <t>2072085</t>
  </si>
  <si>
    <t>BDHLTQ</t>
  </si>
  <si>
    <t>BHGE-US</t>
  </si>
  <si>
    <t>Baker Hughes, a GE Company Class A</t>
  </si>
  <si>
    <t>Baker Hughes Incorporated</t>
  </si>
  <si>
    <t>BHI</t>
  </si>
  <si>
    <t>US0572241075</t>
  </si>
  <si>
    <t>2073022</t>
  </si>
  <si>
    <t>207302</t>
  </si>
  <si>
    <t>BLL-US</t>
  </si>
  <si>
    <t>Ball Corporation</t>
  </si>
  <si>
    <t>BLL</t>
  </si>
  <si>
    <t>US0584981064</t>
  </si>
  <si>
    <t>2074070</t>
  </si>
  <si>
    <t>207407</t>
  </si>
  <si>
    <t>BOH-US</t>
  </si>
  <si>
    <t>Bank of Hawaii Corporation</t>
  </si>
  <si>
    <t>BOH</t>
  </si>
  <si>
    <t>US0625401098</t>
  </si>
  <si>
    <t>2074111</t>
  </si>
  <si>
    <t>BF3BNF</t>
  </si>
  <si>
    <t>BXS-US</t>
  </si>
  <si>
    <t>BancorpSouth Bank</t>
  </si>
  <si>
    <t>BancorpSouth Inc.</t>
  </si>
  <si>
    <t>BXS</t>
  </si>
  <si>
    <t>US0596921033</t>
  </si>
  <si>
    <t>LB</t>
  </si>
  <si>
    <t>2077905</t>
  </si>
  <si>
    <t>207790</t>
  </si>
  <si>
    <t>BCR-US</t>
  </si>
  <si>
    <t>C. R. Bard, Inc.</t>
  </si>
  <si>
    <t>C. R. Bard Inc.</t>
  </si>
  <si>
    <t>BCR</t>
  </si>
  <si>
    <t>US0673831097</t>
  </si>
  <si>
    <t>2081144</t>
  </si>
  <si>
    <t>208114</t>
  </si>
  <si>
    <t>BKS-US</t>
  </si>
  <si>
    <t>Barnes &amp; Noble, Inc.</t>
  </si>
  <si>
    <t>Barnes &amp; Noble Inc.</t>
  </si>
  <si>
    <t>BKS</t>
  </si>
  <si>
    <t>US0677741094</t>
  </si>
  <si>
    <t>2085102</t>
  </si>
  <si>
    <t>208510</t>
  </si>
  <si>
    <t>BAX-US</t>
  </si>
  <si>
    <t>Baxter International Inc.</t>
  </si>
  <si>
    <t>BAX</t>
  </si>
  <si>
    <t>US0718131099</t>
  </si>
  <si>
    <t>2085878</t>
  </si>
  <si>
    <t>208587</t>
  </si>
  <si>
    <t>BBBY-US</t>
  </si>
  <si>
    <t>Bed Bath &amp; Beyond Inc.</t>
  </si>
  <si>
    <t>BBBY</t>
  </si>
  <si>
    <t>US0758961009</t>
  </si>
  <si>
    <t>2087807</t>
  </si>
  <si>
    <t>208780</t>
  </si>
  <si>
    <t>BDX-US</t>
  </si>
  <si>
    <t>Becton, Dickinson and Company</t>
  </si>
  <si>
    <t>Becton Dickinson and Company</t>
  </si>
  <si>
    <t>BDX</t>
  </si>
  <si>
    <t>US0758871091</t>
  </si>
  <si>
    <t>2089212</t>
  </si>
  <si>
    <t>208921</t>
  </si>
  <si>
    <t>AME-US</t>
  </si>
  <si>
    <t>AMETEK, Inc.</t>
  </si>
  <si>
    <t>AMETEK Inc.</t>
  </si>
  <si>
    <t>AME</t>
  </si>
  <si>
    <t>US0311001004</t>
  </si>
  <si>
    <t>2089427</t>
  </si>
  <si>
    <t>208942</t>
  </si>
  <si>
    <t>BEAV-US</t>
  </si>
  <si>
    <t>B/E Aerospace, Inc.</t>
  </si>
  <si>
    <t>BE Aerospace Inc.</t>
  </si>
  <si>
    <t>BEAV</t>
  </si>
  <si>
    <t>US0733021010</t>
  </si>
  <si>
    <t>2090173</t>
  </si>
  <si>
    <t>209017</t>
  </si>
  <si>
    <t>BMS-US</t>
  </si>
  <si>
    <t>Bemis Company, Inc.</t>
  </si>
  <si>
    <t>Bemis Company Inc.</t>
  </si>
  <si>
    <t>US0814371052</t>
  </si>
  <si>
    <t>2090571</t>
  </si>
  <si>
    <t>209057</t>
  </si>
  <si>
    <t>VZ-US</t>
  </si>
  <si>
    <t>Verizon Communications Inc.</t>
  </si>
  <si>
    <t>VZ</t>
  </si>
  <si>
    <t>US92343V1044</t>
  </si>
  <si>
    <t>2093644</t>
  </si>
  <si>
    <t>209364</t>
  </si>
  <si>
    <t>WRB-US</t>
  </si>
  <si>
    <t>W. R. Berkley Corporation</t>
  </si>
  <si>
    <t>WRB</t>
  </si>
  <si>
    <t>US0844231029</t>
  </si>
  <si>
    <t>2093666</t>
  </si>
  <si>
    <t>209366</t>
  </si>
  <si>
    <t>BRK.A-US</t>
  </si>
  <si>
    <t>Berkshire Hathaway Inc. Class A</t>
  </si>
  <si>
    <t>2094670</t>
  </si>
  <si>
    <t>209467</t>
  </si>
  <si>
    <t>BBY-US</t>
  </si>
  <si>
    <t>Best Buy Co., Inc.</t>
  </si>
  <si>
    <t>Best Buy Co. Inc.</t>
  </si>
  <si>
    <t>US0865161014</t>
  </si>
  <si>
    <t>2096847</t>
  </si>
  <si>
    <t>209684</t>
  </si>
  <si>
    <t>SLG-US</t>
  </si>
  <si>
    <t>SL Green Realty Corp.</t>
  </si>
  <si>
    <t>SLG</t>
  </si>
  <si>
    <t>US78440X1019</t>
  </si>
  <si>
    <t>2098508</t>
  </si>
  <si>
    <t>209850</t>
  </si>
  <si>
    <t>BIO-US</t>
  </si>
  <si>
    <t>Bio-Rad Laboratories, Inc. Class A</t>
  </si>
  <si>
    <t>Bio-Rad Laboratories Inc.</t>
  </si>
  <si>
    <t>BIO</t>
  </si>
  <si>
    <t>US0905722072</t>
  </si>
  <si>
    <t>2098876</t>
  </si>
  <si>
    <t>209887</t>
  </si>
  <si>
    <t>YUM-US</t>
  </si>
  <si>
    <t>Yum! Brands, Inc.</t>
  </si>
  <si>
    <t>Yum! Brands Inc.</t>
  </si>
  <si>
    <t>YUM</t>
  </si>
  <si>
    <t>US9884981013</t>
  </si>
  <si>
    <t>2100920</t>
  </si>
  <si>
    <t>210092</t>
  </si>
  <si>
    <t>FE-US</t>
  </si>
  <si>
    <t>FirstEnergy Corp.</t>
  </si>
  <si>
    <t>FE</t>
  </si>
  <si>
    <t>US3379321074</t>
  </si>
  <si>
    <t>2101967</t>
  </si>
  <si>
    <t>210196</t>
  </si>
  <si>
    <t>SLM-US</t>
  </si>
  <si>
    <t>SLM Corp</t>
  </si>
  <si>
    <t>SLM Corporation</t>
  </si>
  <si>
    <t>SLM</t>
  </si>
  <si>
    <t>US78442P1066</t>
  </si>
  <si>
    <t>2101990</t>
  </si>
  <si>
    <t>210199</t>
  </si>
  <si>
    <t>ACAS-US</t>
  </si>
  <si>
    <t>American Capital, Ltd.</t>
  </si>
  <si>
    <t>American Capital Ltd.</t>
  </si>
  <si>
    <t>US02503Y1038</t>
  </si>
  <si>
    <t>2105505</t>
  </si>
  <si>
    <t>210550</t>
  </si>
  <si>
    <t>HRB-US</t>
  </si>
  <si>
    <t>H&amp;R Block, Inc.</t>
  </si>
  <si>
    <t>H&amp;R Block Inc.</t>
  </si>
  <si>
    <t>HRB</t>
  </si>
  <si>
    <t>US0936711052</t>
  </si>
  <si>
    <t>2106780</t>
  </si>
  <si>
    <t>210678</t>
  </si>
  <si>
    <t>CHH-US</t>
  </si>
  <si>
    <t>Choice Hotels International, Inc.</t>
  </si>
  <si>
    <t>Choice Hotels International Inc.</t>
  </si>
  <si>
    <t>CHH</t>
  </si>
  <si>
    <t>US1699051066</t>
  </si>
  <si>
    <t>2108601</t>
  </si>
  <si>
    <t>210860</t>
  </si>
  <si>
    <t>BA-US</t>
  </si>
  <si>
    <t>Boeing Company</t>
  </si>
  <si>
    <t>The Boeing Company</t>
  </si>
  <si>
    <t>BA</t>
  </si>
  <si>
    <t>US0970231058</t>
  </si>
  <si>
    <t>2109091</t>
  </si>
  <si>
    <t>210909</t>
  </si>
  <si>
    <t>BOKF-US</t>
  </si>
  <si>
    <t>BOK Financial Corporation</t>
  </si>
  <si>
    <t>BOKF</t>
  </si>
  <si>
    <t>US05561Q2012</t>
  </si>
  <si>
    <t>2110703</t>
  </si>
  <si>
    <t>211070</t>
  </si>
  <si>
    <t>RHI-US</t>
  </si>
  <si>
    <t>Robert Half International Inc.</t>
  </si>
  <si>
    <t>RHI</t>
  </si>
  <si>
    <t>US7703231032</t>
  </si>
  <si>
    <t>2111955</t>
  </si>
  <si>
    <t>211195</t>
  </si>
  <si>
    <t>BWA-US</t>
  </si>
  <si>
    <t>BorgWarner Inc.</t>
  </si>
  <si>
    <t>BWA</t>
  </si>
  <si>
    <t>US0997241064</t>
  </si>
  <si>
    <t>2113434</t>
  </si>
  <si>
    <t>211343</t>
  </si>
  <si>
    <t>BSX-US</t>
  </si>
  <si>
    <t>Boston Scientific Corporation</t>
  </si>
  <si>
    <t>BSX</t>
  </si>
  <si>
    <t>US1011371077</t>
  </si>
  <si>
    <t>2113456</t>
  </si>
  <si>
    <t>211345</t>
  </si>
  <si>
    <t>NLY-US</t>
  </si>
  <si>
    <t>Annaly Capital Management, Inc.</t>
  </si>
  <si>
    <t>Annaly Capital Management Inc.</t>
  </si>
  <si>
    <t>NLY</t>
  </si>
  <si>
    <t>US0357104092</t>
  </si>
  <si>
    <t>2116228</t>
  </si>
  <si>
    <t>211622</t>
  </si>
  <si>
    <t>CHRW-US</t>
  </si>
  <si>
    <t>C.H. Robinson Worldwide, Inc.</t>
  </si>
  <si>
    <t>C.H. Robinson Worldwide Inc.</t>
  </si>
  <si>
    <t>CHRW</t>
  </si>
  <si>
    <t>US12541W2098</t>
  </si>
  <si>
    <t>2116767</t>
  </si>
  <si>
    <t>211676</t>
  </si>
  <si>
    <t>DRQ-US</t>
  </si>
  <si>
    <t>Dril-Quip, Inc.</t>
  </si>
  <si>
    <t>Dril-Quip Inc.</t>
  </si>
  <si>
    <t>DRQ</t>
  </si>
  <si>
    <t>US2620371045</t>
  </si>
  <si>
    <t>2117232</t>
  </si>
  <si>
    <t>211723</t>
  </si>
  <si>
    <t>BYD-US</t>
  </si>
  <si>
    <t>Boyd Gaming Corporation</t>
  </si>
  <si>
    <t>Boyd Gaming Corp.</t>
  </si>
  <si>
    <t>BYD</t>
  </si>
  <si>
    <t>US1033041013</t>
  </si>
  <si>
    <t>2126249</t>
  </si>
  <si>
    <t>212624</t>
  </si>
  <si>
    <t>MTD-US</t>
  </si>
  <si>
    <t>Mettler-Toledo International Inc.</t>
  </si>
  <si>
    <t>MTD</t>
  </si>
  <si>
    <t>US5926881054</t>
  </si>
  <si>
    <t>2126335</t>
  </si>
  <si>
    <t>212633</t>
  </si>
  <si>
    <t>BMY-US</t>
  </si>
  <si>
    <t>Bristol-Myers Squibb Company</t>
  </si>
  <si>
    <t>BMY</t>
  </si>
  <si>
    <t>US1101221083</t>
  </si>
  <si>
    <t>2127899</t>
  </si>
  <si>
    <t>212789</t>
  </si>
  <si>
    <t>AMG-US</t>
  </si>
  <si>
    <t>Affiliated Managers Group, Inc.</t>
  </si>
  <si>
    <t>Affiliated Managers Group Inc.</t>
  </si>
  <si>
    <t>AMG</t>
  </si>
  <si>
    <t>US0082521081</t>
  </si>
  <si>
    <t>2130109</t>
  </si>
  <si>
    <t>213010</t>
  </si>
  <si>
    <t>OKE-US</t>
  </si>
  <si>
    <t>ONEOK, Inc.</t>
  </si>
  <si>
    <t>ONEOK Inc.</t>
  </si>
  <si>
    <t>OKE</t>
  </si>
  <si>
    <t>US6826801036</t>
  </si>
  <si>
    <t>2131179</t>
  </si>
  <si>
    <t>213117</t>
  </si>
  <si>
    <t>AVB-US</t>
  </si>
  <si>
    <t>AvalonBay Communities, Inc.</t>
  </si>
  <si>
    <t>AvalonBay Communities Inc.</t>
  </si>
  <si>
    <t>AVB</t>
  </si>
  <si>
    <t>US0534841012</t>
  </si>
  <si>
    <t>2134532</t>
  </si>
  <si>
    <t>213453</t>
  </si>
  <si>
    <t>AFG-US</t>
  </si>
  <si>
    <t>American Financial Group, Inc.</t>
  </si>
  <si>
    <t>American Financial Group Inc.</t>
  </si>
  <si>
    <t>AFG</t>
  </si>
  <si>
    <t>US0259321042</t>
  </si>
  <si>
    <t>2134781</t>
  </si>
  <si>
    <t>213478</t>
  </si>
  <si>
    <t>URI-US</t>
  </si>
  <si>
    <t>United Rentals, Inc.</t>
  </si>
  <si>
    <t>United Rentals Inc.</t>
  </si>
  <si>
    <t>URI</t>
  </si>
  <si>
    <t>US9113631090</t>
  </si>
  <si>
    <t>2138158</t>
  </si>
  <si>
    <t>213815</t>
  </si>
  <si>
    <t>SRE-US</t>
  </si>
  <si>
    <t>Sempra Energy</t>
  </si>
  <si>
    <t>SRE</t>
  </si>
  <si>
    <t>US8168511090</t>
  </si>
  <si>
    <t>2142784</t>
  </si>
  <si>
    <t>214278</t>
  </si>
  <si>
    <t>FDX-US</t>
  </si>
  <si>
    <t>FedEx Corporation</t>
  </si>
  <si>
    <t>FDX</t>
  </si>
  <si>
    <t>US31428X1063</t>
  </si>
  <si>
    <t>2142922</t>
  </si>
  <si>
    <t>214292</t>
  </si>
  <si>
    <t>VRSN-US</t>
  </si>
  <si>
    <t>VeriSign, Inc.</t>
  </si>
  <si>
    <t>VeriSign Inc.</t>
  </si>
  <si>
    <t>VRSN</t>
  </si>
  <si>
    <t>US92343E1029</t>
  </si>
  <si>
    <t>2143646</t>
  </si>
  <si>
    <t>214364</t>
  </si>
  <si>
    <t>CECO-US</t>
  </si>
  <si>
    <t>Career Education Corporation</t>
  </si>
  <si>
    <t>CECO</t>
  </si>
  <si>
    <t>US1416651099</t>
  </si>
  <si>
    <t>2145084</t>
  </si>
  <si>
    <t>214508</t>
  </si>
  <si>
    <t>APH-US</t>
  </si>
  <si>
    <t>Amphenol Corporation Class A</t>
  </si>
  <si>
    <t>Amphenol Corporation</t>
  </si>
  <si>
    <t>APH</t>
  </si>
  <si>
    <t>US0320951017</t>
  </si>
  <si>
    <t>2146838</t>
  </si>
  <si>
    <t>214683</t>
  </si>
  <si>
    <t>BF.B-US</t>
  </si>
  <si>
    <t>Brown-Forman Corporation Class B</t>
  </si>
  <si>
    <t>Brown-Forman Corporation</t>
  </si>
  <si>
    <t>BF.B</t>
  </si>
  <si>
    <t>US1156372096</t>
  </si>
  <si>
    <t>2150204</t>
  </si>
  <si>
    <t>215020</t>
  </si>
  <si>
    <t>PWR-US</t>
  </si>
  <si>
    <t>Quanta Services, Inc.</t>
  </si>
  <si>
    <t>Quanta Services Inc.</t>
  </si>
  <si>
    <t>PWR</t>
  </si>
  <si>
    <t>US74762E1029</t>
  </si>
  <si>
    <t>2155306</t>
  </si>
  <si>
    <t>215530</t>
  </si>
  <si>
    <t>MTZ-US</t>
  </si>
  <si>
    <t>MasTec, Inc.</t>
  </si>
  <si>
    <t>MasTec Inc.</t>
  </si>
  <si>
    <t>MTZ</t>
  </si>
  <si>
    <t>US5763231090</t>
  </si>
  <si>
    <t>2156503</t>
  </si>
  <si>
    <t>215650</t>
  </si>
  <si>
    <t>WDR-US</t>
  </si>
  <si>
    <t>Waddell &amp; Reed Financial, Inc. Class A</t>
  </si>
  <si>
    <t>Waddell &amp; Reed Financial Inc.</t>
  </si>
  <si>
    <t>WDR</t>
  </si>
  <si>
    <t>US9300591008</t>
  </si>
  <si>
    <t>2160753</t>
  </si>
  <si>
    <t>216075</t>
  </si>
  <si>
    <t>CSX-US</t>
  </si>
  <si>
    <t>CSX Corporation</t>
  </si>
  <si>
    <t>CSX</t>
  </si>
  <si>
    <t>US1264081035</t>
  </si>
  <si>
    <t>2162243</t>
  </si>
  <si>
    <t>216224</t>
  </si>
  <si>
    <t>CVC-US</t>
  </si>
  <si>
    <t>Cablevision Systems Corporation Class A</t>
  </si>
  <si>
    <t>Cablevision Systems Corporation</t>
  </si>
  <si>
    <t>US12686C1099</t>
  </si>
  <si>
    <t>2162340</t>
  </si>
  <si>
    <t>216234</t>
  </si>
  <si>
    <t>COG-US</t>
  </si>
  <si>
    <t>Cabot Oil &amp; Gas Corporation</t>
  </si>
  <si>
    <t>COG</t>
  </si>
  <si>
    <t>US1270971039</t>
  </si>
  <si>
    <t>2162500</t>
  </si>
  <si>
    <t>216250</t>
  </si>
  <si>
    <t>CBT-US</t>
  </si>
  <si>
    <t>Cabot Corporation</t>
  </si>
  <si>
    <t>CBT</t>
  </si>
  <si>
    <t>US1270551013</t>
  </si>
  <si>
    <t>2162845</t>
  </si>
  <si>
    <t>216284</t>
  </si>
  <si>
    <t>CPB-US</t>
  </si>
  <si>
    <t>Campbell Soup Company</t>
  </si>
  <si>
    <t>CPB</t>
  </si>
  <si>
    <t>US1344291091</t>
  </si>
  <si>
    <t>2164368</t>
  </si>
  <si>
    <t>216436</t>
  </si>
  <si>
    <t>CCC-US</t>
  </si>
  <si>
    <t>Calgon Carbon Corporation</t>
  </si>
  <si>
    <t>CCC</t>
  </si>
  <si>
    <t>US1296031065</t>
  </si>
  <si>
    <t>CCO</t>
  </si>
  <si>
    <t>2166320</t>
  </si>
  <si>
    <t>216632</t>
  </si>
  <si>
    <t>CPT-US</t>
  </si>
  <si>
    <t>Camden Property Trust</t>
  </si>
  <si>
    <t>CPT</t>
  </si>
  <si>
    <t>US1331311027</t>
  </si>
  <si>
    <t>2166397</t>
  </si>
  <si>
    <t>216639</t>
  </si>
  <si>
    <t>KRO-US</t>
  </si>
  <si>
    <t>Kronos Worldwide, Inc.</t>
  </si>
  <si>
    <t>Kronos Worldwide Inc.</t>
  </si>
  <si>
    <t>KRO</t>
  </si>
  <si>
    <t>US50105F1057</t>
  </si>
  <si>
    <t>2168003</t>
  </si>
  <si>
    <t>BYWSWR</t>
  </si>
  <si>
    <t>WLL-US</t>
  </si>
  <si>
    <t>Whiting Petroleum Corporation</t>
  </si>
  <si>
    <t>WLL</t>
  </si>
  <si>
    <t>US9663871021</t>
  </si>
  <si>
    <t>2170473</t>
  </si>
  <si>
    <t>217047</t>
  </si>
  <si>
    <t>STZ-US</t>
  </si>
  <si>
    <t>Constellation Brands, Inc. Class A</t>
  </si>
  <si>
    <t>Constellation Brands Inc.</t>
  </si>
  <si>
    <t>STZ</t>
  </si>
  <si>
    <t>US21036P1084</t>
  </si>
  <si>
    <t>2175672</t>
  </si>
  <si>
    <t>217567</t>
  </si>
  <si>
    <t>CAH-US</t>
  </si>
  <si>
    <t>Cardinal Health, Inc.</t>
  </si>
  <si>
    <t>Cardinal Health Inc.</t>
  </si>
  <si>
    <t>CAH</t>
  </si>
  <si>
    <t>US14149Y1082</t>
  </si>
  <si>
    <t>2176318</t>
  </si>
  <si>
    <t>217631</t>
  </si>
  <si>
    <t>CSL-US</t>
  </si>
  <si>
    <t>Carlisle Companies Incorporated</t>
  </si>
  <si>
    <t>CSL</t>
  </si>
  <si>
    <t>US1423391002</t>
  </si>
  <si>
    <t>2177504</t>
  </si>
  <si>
    <t>217750</t>
  </si>
  <si>
    <t>CRS-US</t>
  </si>
  <si>
    <t>Carpenter Technology Corporation</t>
  </si>
  <si>
    <t>CRS</t>
  </si>
  <si>
    <t>US1442851036</t>
  </si>
  <si>
    <t>2180201</t>
  </si>
  <si>
    <t>218020</t>
  </si>
  <si>
    <t>CAT-US</t>
  </si>
  <si>
    <t>Caterpillar Inc.</t>
  </si>
  <si>
    <t>CAT</t>
  </si>
  <si>
    <t>US1491231015</t>
  </si>
  <si>
    <t>2181334</t>
  </si>
  <si>
    <t>218133</t>
  </si>
  <si>
    <t>CHKP-US</t>
  </si>
  <si>
    <t>Check Point Software Technologies Ltd.</t>
  </si>
  <si>
    <t>CHKP</t>
  </si>
  <si>
    <t>IL0010824113</t>
  </si>
  <si>
    <t>2182348</t>
  </si>
  <si>
    <t>218234</t>
  </si>
  <si>
    <t>CELG-US</t>
  </si>
  <si>
    <t>Celgene Corporation</t>
  </si>
  <si>
    <t>CELG</t>
  </si>
  <si>
    <t>US1510201049</t>
  </si>
  <si>
    <t>2182553</t>
  </si>
  <si>
    <t>218255</t>
  </si>
  <si>
    <t>CTXS-US</t>
  </si>
  <si>
    <t>Citrix Systems, Inc.</t>
  </si>
  <si>
    <t>Citrix Systems Inc.</t>
  </si>
  <si>
    <t>CTXS</t>
  </si>
  <si>
    <t>US1773761002</t>
  </si>
  <si>
    <t>2182779</t>
  </si>
  <si>
    <t>218277</t>
  </si>
  <si>
    <t>CHK-US</t>
  </si>
  <si>
    <t>Chesapeake Energy Corporation</t>
  </si>
  <si>
    <t>CHK</t>
  </si>
  <si>
    <t>US1651671075</t>
  </si>
  <si>
    <t>2185046</t>
  </si>
  <si>
    <t>218504</t>
  </si>
  <si>
    <t>CTL-US</t>
  </si>
  <si>
    <t>CenturyLink, Inc.</t>
  </si>
  <si>
    <t>CenturyLink Inc.</t>
  </si>
  <si>
    <t>CTL</t>
  </si>
  <si>
    <t>US1567001060</t>
  </si>
  <si>
    <t>2185284</t>
  </si>
  <si>
    <t>218528</t>
  </si>
  <si>
    <t>CERN-US</t>
  </si>
  <si>
    <t>Cerner Corporation</t>
  </si>
  <si>
    <t>CERN</t>
  </si>
  <si>
    <t>US1567821046</t>
  </si>
  <si>
    <t>2190385</t>
  </si>
  <si>
    <t>219038</t>
  </si>
  <si>
    <t>JPM-US</t>
  </si>
  <si>
    <t>JPMorgan Chase &amp; Co.</t>
  </si>
  <si>
    <t>JPM</t>
  </si>
  <si>
    <t>US46625H1005</t>
  </si>
  <si>
    <t>2191399</t>
  </si>
  <si>
    <t>219139</t>
  </si>
  <si>
    <t>EXP-US</t>
  </si>
  <si>
    <t>Eagle Materials Inc.</t>
  </si>
  <si>
    <t>EXP</t>
  </si>
  <si>
    <t>US26969P1084</t>
  </si>
  <si>
    <t>2192314</t>
  </si>
  <si>
    <t>219231</t>
  </si>
  <si>
    <t>CLI-US</t>
  </si>
  <si>
    <t>Mack-Cali Realty Corporation</t>
  </si>
  <si>
    <t>US5544891048</t>
  </si>
  <si>
    <t>2193544</t>
  </si>
  <si>
    <t>219354</t>
  </si>
  <si>
    <t>EAT-US</t>
  </si>
  <si>
    <t>Brinker International, Inc.</t>
  </si>
  <si>
    <t>Brinker International Inc.</t>
  </si>
  <si>
    <t>EAT</t>
  </si>
  <si>
    <t>US1096411004</t>
  </si>
  <si>
    <t>2195841</t>
  </si>
  <si>
    <t>219584</t>
  </si>
  <si>
    <t>CHD-US</t>
  </si>
  <si>
    <t>Church &amp; Dwight Co., Inc.</t>
  </si>
  <si>
    <t>Church &amp; Dwight Co. Inc.</t>
  </si>
  <si>
    <t>CHD</t>
  </si>
  <si>
    <t>US1713401024</t>
  </si>
  <si>
    <t>2196479</t>
  </si>
  <si>
    <t>219647</t>
  </si>
  <si>
    <t>CI-US</t>
  </si>
  <si>
    <t>Cigna Corporation</t>
  </si>
  <si>
    <t>CI</t>
  </si>
  <si>
    <t>US1255091092</t>
  </si>
  <si>
    <t>2196781</t>
  </si>
  <si>
    <t>219678</t>
  </si>
  <si>
    <t>CHS-US</t>
  </si>
  <si>
    <t>Chico's FAS, Inc.</t>
  </si>
  <si>
    <t>Chico's FAS Inc.</t>
  </si>
  <si>
    <t>CHS</t>
  </si>
  <si>
    <t>US1686151028</t>
  </si>
  <si>
    <t>2196888</t>
  </si>
  <si>
    <t>219688</t>
  </si>
  <si>
    <t>CINF-US</t>
  </si>
  <si>
    <t>Cincinnati Financial Corporation</t>
  </si>
  <si>
    <t>CINF</t>
  </si>
  <si>
    <t>US1720621010</t>
  </si>
  <si>
    <t>2197137</t>
  </si>
  <si>
    <t>219713</t>
  </si>
  <si>
    <t>CTAS-US</t>
  </si>
  <si>
    <t>Cintas Corporation</t>
  </si>
  <si>
    <t>CTAS</t>
  </si>
  <si>
    <t>US1729081059</t>
  </si>
  <si>
    <t>2197933</t>
  </si>
  <si>
    <t>BF0HZC</t>
  </si>
  <si>
    <t>FTR-US</t>
  </si>
  <si>
    <t>Frontier Communications Corporation Class B</t>
  </si>
  <si>
    <t>Frontier Communications Corporation</t>
  </si>
  <si>
    <t>FTR</t>
  </si>
  <si>
    <t>US35906A1088</t>
  </si>
  <si>
    <t>2198163</t>
  </si>
  <si>
    <t>219816</t>
  </si>
  <si>
    <t>CSCO-US</t>
  </si>
  <si>
    <t>Cisco Systems, Inc.</t>
  </si>
  <si>
    <t>Cisco Systems Inc.</t>
  </si>
  <si>
    <t>CSCO</t>
  </si>
  <si>
    <t>US17275R1023</t>
  </si>
  <si>
    <t>CVG</t>
  </si>
  <si>
    <t>2202473</t>
  </si>
  <si>
    <t>220247</t>
  </si>
  <si>
    <t>CLH-US</t>
  </si>
  <si>
    <t>Clean Harbors, Inc.</t>
  </si>
  <si>
    <t>Clean Harbors Inc.</t>
  </si>
  <si>
    <t>CLH</t>
  </si>
  <si>
    <t>US1844961078</t>
  </si>
  <si>
    <t>2202707</t>
  </si>
  <si>
    <t>BYVZ18</t>
  </si>
  <si>
    <t>CLF-US</t>
  </si>
  <si>
    <t>Cleveland-Cliffs Inc</t>
  </si>
  <si>
    <t>Cliffs Natural Resources Inc.</t>
  </si>
  <si>
    <t>CLF</t>
  </si>
  <si>
    <t>US18683K1016</t>
  </si>
  <si>
    <t>2202763</t>
  </si>
  <si>
    <t>220276</t>
  </si>
  <si>
    <t>CMP-US</t>
  </si>
  <si>
    <t>Compass Minerals International, Inc.</t>
  </si>
  <si>
    <t>Compass Minerals International Inc.</t>
  </si>
  <si>
    <t>CMP</t>
  </si>
  <si>
    <t>US20451N1019</t>
  </si>
  <si>
    <t>2204026</t>
  </si>
  <si>
    <t>220402</t>
  </si>
  <si>
    <t>CLX-US</t>
  </si>
  <si>
    <t>Clorox Company</t>
  </si>
  <si>
    <t>The Clorox Company</t>
  </si>
  <si>
    <t>CLX</t>
  </si>
  <si>
    <t>US1890541097</t>
  </si>
  <si>
    <t>2204866</t>
  </si>
  <si>
    <t>220486</t>
  </si>
  <si>
    <t>CNA-US</t>
  </si>
  <si>
    <t>CNA Financial Corporation</t>
  </si>
  <si>
    <t>CNA</t>
  </si>
  <si>
    <t>US1261171003</t>
  </si>
  <si>
    <t>2206657</t>
  </si>
  <si>
    <t>220665</t>
  </si>
  <si>
    <t>KO-US</t>
  </si>
  <si>
    <t>Coca-Cola Company</t>
  </si>
  <si>
    <t>The Coca-Cola Company</t>
  </si>
  <si>
    <t>KO</t>
  </si>
  <si>
    <t>US1912161007</t>
  </si>
  <si>
    <t>2208073</t>
  </si>
  <si>
    <t>220807</t>
  </si>
  <si>
    <t>CPRT-US</t>
  </si>
  <si>
    <t>Copart, Inc.</t>
  </si>
  <si>
    <t>Copart Inc.</t>
  </si>
  <si>
    <t>CPRT</t>
  </si>
  <si>
    <t>US2172041061</t>
  </si>
  <si>
    <t>2209106</t>
  </si>
  <si>
    <t>220910</t>
  </si>
  <si>
    <t>CL-US</t>
  </si>
  <si>
    <t>Colgate-Palmolive Company</t>
  </si>
  <si>
    <t>Colgate-Palmolive Co.</t>
  </si>
  <si>
    <t>CL</t>
  </si>
  <si>
    <t>US1941621039</t>
  </si>
  <si>
    <t>2210614</t>
  </si>
  <si>
    <t>221061</t>
  </si>
  <si>
    <t>MAR-US</t>
  </si>
  <si>
    <t>Marriott International, Inc. Class A</t>
  </si>
  <si>
    <t>Marriott International Inc.</t>
  </si>
  <si>
    <t>MAR</t>
  </si>
  <si>
    <t>US5719032022</t>
  </si>
  <si>
    <t>2212870</t>
  </si>
  <si>
    <t>221287</t>
  </si>
  <si>
    <t>CMA-US</t>
  </si>
  <si>
    <t>Comerica Incorporated</t>
  </si>
  <si>
    <t>CMA</t>
  </si>
  <si>
    <t>US2003401070</t>
  </si>
  <si>
    <t>2212922</t>
  </si>
  <si>
    <t>221292</t>
  </si>
  <si>
    <t>NRG-US</t>
  </si>
  <si>
    <t>NRG Energy, Inc.</t>
  </si>
  <si>
    <t>NRG Energy Inc.</t>
  </si>
  <si>
    <t>NRG</t>
  </si>
  <si>
    <t>US6293775085</t>
  </si>
  <si>
    <t>2213204</t>
  </si>
  <si>
    <t>221320</t>
  </si>
  <si>
    <t>CBSH-US</t>
  </si>
  <si>
    <t>Commerce Bancshares, Inc.</t>
  </si>
  <si>
    <t>Commerce Bancshares Inc.</t>
  </si>
  <si>
    <t>CBSH</t>
  </si>
  <si>
    <t>US2005251036</t>
  </si>
  <si>
    <t>2213260</t>
  </si>
  <si>
    <t>221326</t>
  </si>
  <si>
    <t>CMC-US</t>
  </si>
  <si>
    <t>Commercial Metals Company</t>
  </si>
  <si>
    <t>CMC</t>
  </si>
  <si>
    <t>US2017231034</t>
  </si>
  <si>
    <t>2214832</t>
  </si>
  <si>
    <t>221483</t>
  </si>
  <si>
    <t>CA-US</t>
  </si>
  <si>
    <t>CA, Inc.</t>
  </si>
  <si>
    <t>CA Inc.</t>
  </si>
  <si>
    <t>CA</t>
  </si>
  <si>
    <t>US12673P1057</t>
  </si>
  <si>
    <t>2215200</t>
  </si>
  <si>
    <t>BYXD7B</t>
  </si>
  <si>
    <t>DXC-US</t>
  </si>
  <si>
    <t>DXC Technology Co.</t>
  </si>
  <si>
    <t>Computer Sciences Corporation</t>
  </si>
  <si>
    <t>CSC</t>
  </si>
  <si>
    <t>US2053631048</t>
  </si>
  <si>
    <t>2215460</t>
  </si>
  <si>
    <t>221546</t>
  </si>
  <si>
    <t>CAG-US</t>
  </si>
  <si>
    <t>Conagra Brands, Inc.</t>
  </si>
  <si>
    <t>Conagra Brands Inc.</t>
  </si>
  <si>
    <t>CAG</t>
  </si>
  <si>
    <t>US2058871029</t>
  </si>
  <si>
    <t>2216850</t>
  </si>
  <si>
    <t>221685</t>
  </si>
  <si>
    <t>ED-US</t>
  </si>
  <si>
    <t>Consolidated Edison, Inc.</t>
  </si>
  <si>
    <t>Consolidated Edison Inc.</t>
  </si>
  <si>
    <t>ED</t>
  </si>
  <si>
    <t>US2091151041</t>
  </si>
  <si>
    <t>2216991</t>
  </si>
  <si>
    <t>221699</t>
  </si>
  <si>
    <t>TPX-US</t>
  </si>
  <si>
    <t>Tempur Sealy International Inc</t>
  </si>
  <si>
    <t>Tempur Sealy International Inc.</t>
  </si>
  <si>
    <t>TPX</t>
  </si>
  <si>
    <t>US88023U1016</t>
  </si>
  <si>
    <t>2218447</t>
  </si>
  <si>
    <t>221844</t>
  </si>
  <si>
    <t>BIG-US</t>
  </si>
  <si>
    <t>Big Lots, Inc.</t>
  </si>
  <si>
    <t>Big Lots Inc.</t>
  </si>
  <si>
    <t>BIG</t>
  </si>
  <si>
    <t>US0893021032</t>
  </si>
  <si>
    <t>2219224</t>
  </si>
  <si>
    <t>221922</t>
  </si>
  <si>
    <t>CMS-US</t>
  </si>
  <si>
    <t>CMS Energy Corporation</t>
  </si>
  <si>
    <t>CMS</t>
  </si>
  <si>
    <t>US1258961002</t>
  </si>
  <si>
    <t>2222631</t>
  </si>
  <si>
    <t>222263</t>
  </si>
  <si>
    <t>COO-US</t>
  </si>
  <si>
    <t>Cooper Companies, Inc.</t>
  </si>
  <si>
    <t>The Cooper Companies Inc.</t>
  </si>
  <si>
    <t>COO</t>
  </si>
  <si>
    <t>US2166484020</t>
  </si>
  <si>
    <t>CMG</t>
  </si>
  <si>
    <t>2224701</t>
  </si>
  <si>
    <t>222470</t>
  </si>
  <si>
    <t>GLW-US</t>
  </si>
  <si>
    <t>Corning Inc</t>
  </si>
  <si>
    <t>Corning Incorporated</t>
  </si>
  <si>
    <t>GLW</t>
  </si>
  <si>
    <t>US2193501051</t>
  </si>
  <si>
    <t>2231897</t>
  </si>
  <si>
    <t>223189</t>
  </si>
  <si>
    <t>CR-US</t>
  </si>
  <si>
    <t>Crane Co.</t>
  </si>
  <si>
    <t>CR</t>
  </si>
  <si>
    <t>US2243991054</t>
  </si>
  <si>
    <t>2232351</t>
  </si>
  <si>
    <t>223235</t>
  </si>
  <si>
    <t>CREE-US</t>
  </si>
  <si>
    <t>Cree, Inc.</t>
  </si>
  <si>
    <t>Cree Inc.</t>
  </si>
  <si>
    <t>CREE</t>
  </si>
  <si>
    <t>US2254471012</t>
  </si>
  <si>
    <t>2232685</t>
  </si>
  <si>
    <t>223268</t>
  </si>
  <si>
    <t>GRA-US</t>
  </si>
  <si>
    <t>W. R. Grace &amp; Co.</t>
  </si>
  <si>
    <t>GRA</t>
  </si>
  <si>
    <t>US38388F1084</t>
  </si>
  <si>
    <t>2232793</t>
  </si>
  <si>
    <t>223279</t>
  </si>
  <si>
    <t>SEE-US</t>
  </si>
  <si>
    <t>Sealed Air Corporation</t>
  </si>
  <si>
    <t>SEE</t>
  </si>
  <si>
    <t>US81211K1007</t>
  </si>
  <si>
    <t>2238661</t>
  </si>
  <si>
    <t>223866</t>
  </si>
  <si>
    <t>CDZI-US</t>
  </si>
  <si>
    <t>Cadiz Inc.</t>
  </si>
  <si>
    <t>CDZI</t>
  </si>
  <si>
    <t>US1275372076</t>
  </si>
  <si>
    <t>2238821</t>
  </si>
  <si>
    <t>223882</t>
  </si>
  <si>
    <t>CRR-US</t>
  </si>
  <si>
    <t>CARBO Ceramics Inc.</t>
  </si>
  <si>
    <t>CRR</t>
  </si>
  <si>
    <t>US1407811058</t>
  </si>
  <si>
    <t>2239556</t>
  </si>
  <si>
    <t>223955</t>
  </si>
  <si>
    <t>CFR-US</t>
  </si>
  <si>
    <t>Cullen/Frost Bankers, Inc.</t>
  </si>
  <si>
    <t>Cullen/Frost Bankers Inc.</t>
  </si>
  <si>
    <t>CFR</t>
  </si>
  <si>
    <t>US2298991090</t>
  </si>
  <si>
    <t>2240202</t>
  </si>
  <si>
    <t>224020</t>
  </si>
  <si>
    <t>CMI-US</t>
  </si>
  <si>
    <t>Cummins Inc.</t>
  </si>
  <si>
    <t>CMI</t>
  </si>
  <si>
    <t>US2310211063</t>
  </si>
  <si>
    <t>2244549</t>
  </si>
  <si>
    <t>224454</t>
  </si>
  <si>
    <t>CY-US</t>
  </si>
  <si>
    <t>Cypress Semiconductor Corporation</t>
  </si>
  <si>
    <t>CY</t>
  </si>
  <si>
    <t>US2328061096</t>
  </si>
  <si>
    <t>2246288</t>
  </si>
  <si>
    <t>224628</t>
  </si>
  <si>
    <t>FII-US</t>
  </si>
  <si>
    <t>Federated Investors, Inc. Class B</t>
  </si>
  <si>
    <t>Federated Investors Inc.</t>
  </si>
  <si>
    <t>FII</t>
  </si>
  <si>
    <t>US3142111034</t>
  </si>
  <si>
    <t>2250687</t>
  </si>
  <si>
    <t>225068</t>
  </si>
  <si>
    <t>DHI-US</t>
  </si>
  <si>
    <t>D.R. Horton, Inc.</t>
  </si>
  <si>
    <t>DR Horton Inc.</t>
  </si>
  <si>
    <t>DHI</t>
  </si>
  <si>
    <t>US23331A1097</t>
  </si>
  <si>
    <t>2250870</t>
  </si>
  <si>
    <t>225087</t>
  </si>
  <si>
    <t>DHR-US</t>
  </si>
  <si>
    <t>Danaher Corporation</t>
  </si>
  <si>
    <t>DHR</t>
  </si>
  <si>
    <t>US2358511028</t>
  </si>
  <si>
    <t>2252058</t>
  </si>
  <si>
    <t>225205</t>
  </si>
  <si>
    <t>MCO-US</t>
  </si>
  <si>
    <t>Moody's Corporation</t>
  </si>
  <si>
    <t>MCO</t>
  </si>
  <si>
    <t>US6153691059</t>
  </si>
  <si>
    <t>2255778</t>
  </si>
  <si>
    <t>225577</t>
  </si>
  <si>
    <t>CVA-US</t>
  </si>
  <si>
    <t>Covanta Holding Corporation</t>
  </si>
  <si>
    <t>CVA</t>
  </si>
  <si>
    <t>US22282E1029</t>
  </si>
  <si>
    <t>2257019</t>
  </si>
  <si>
    <t>225701</t>
  </si>
  <si>
    <t>CTSH-US</t>
  </si>
  <si>
    <t>Cognizant Technology Solutions Corporation Class A</t>
  </si>
  <si>
    <t>Cognizant Technology Solutions Corporation</t>
  </si>
  <si>
    <t>CTSH</t>
  </si>
  <si>
    <t>US1924461023</t>
  </si>
  <si>
    <t>2259101</t>
  </si>
  <si>
    <t>225910</t>
  </si>
  <si>
    <t>TGT-US</t>
  </si>
  <si>
    <t>Target Corporation</t>
  </si>
  <si>
    <t>TGT</t>
  </si>
  <si>
    <t>US87612E1064</t>
  </si>
  <si>
    <t>2261021</t>
  </si>
  <si>
    <t>226102</t>
  </si>
  <si>
    <t>DO-US</t>
  </si>
  <si>
    <t>Diamond Offshore Drilling, Inc.</t>
  </si>
  <si>
    <t>Diamond Offshore Drilling Inc.</t>
  </si>
  <si>
    <t>DO</t>
  </si>
  <si>
    <t>US25271C1027</t>
  </si>
  <si>
    <t>2261203</t>
  </si>
  <si>
    <t>226120</t>
  </si>
  <si>
    <t>DE-US</t>
  </si>
  <si>
    <t>Deere &amp; Company</t>
  </si>
  <si>
    <t>DE</t>
  </si>
  <si>
    <t>US2441991054</t>
  </si>
  <si>
    <t>2262314</t>
  </si>
  <si>
    <t>226231</t>
  </si>
  <si>
    <t>MS-US</t>
  </si>
  <si>
    <t>Morgan Stanley</t>
  </si>
  <si>
    <t>MS</t>
  </si>
  <si>
    <t>US6174464486</t>
  </si>
  <si>
    <t>2262530</t>
  </si>
  <si>
    <t>226253</t>
  </si>
  <si>
    <t>RSG-US</t>
  </si>
  <si>
    <t>Republic Services, Inc.</t>
  </si>
  <si>
    <t>Republic Services Inc.</t>
  </si>
  <si>
    <t>RSG</t>
  </si>
  <si>
    <t>US7607591002</t>
  </si>
  <si>
    <t>2267278</t>
  </si>
  <si>
    <t>226727</t>
  </si>
  <si>
    <t>DECK-US</t>
  </si>
  <si>
    <t>Deckers Outdoor Corporation</t>
  </si>
  <si>
    <t>DECK</t>
  </si>
  <si>
    <t>US2435371073</t>
  </si>
  <si>
    <t>2267609</t>
  </si>
  <si>
    <t>BZ12TX</t>
  </si>
  <si>
    <t>ATGE-US</t>
  </si>
  <si>
    <t>Adtalem Global Education Inc.</t>
  </si>
  <si>
    <t>DeVry Education Group Inc.</t>
  </si>
  <si>
    <t>DV</t>
  </si>
  <si>
    <t>US2518931033</t>
  </si>
  <si>
    <t>2269229</t>
  </si>
  <si>
    <t>226922</t>
  </si>
  <si>
    <t>DBD-US</t>
  </si>
  <si>
    <t>Diebold Nixdorf Incorporated</t>
  </si>
  <si>
    <t>DBD</t>
  </si>
  <si>
    <t>US2536511031</t>
  </si>
  <si>
    <t>2269768</t>
  </si>
  <si>
    <t>226976</t>
  </si>
  <si>
    <t>DDS-US</t>
  </si>
  <si>
    <t>Dillard's, Inc. Class A</t>
  </si>
  <si>
    <t>Dillard's Inc.</t>
  </si>
  <si>
    <t>DDS</t>
  </si>
  <si>
    <t>US2540671011</t>
  </si>
  <si>
    <t>2270726</t>
  </si>
  <si>
    <t>227072</t>
  </si>
  <si>
    <t>DIS-US</t>
  </si>
  <si>
    <t>Walt Disney Company</t>
  </si>
  <si>
    <t>The Walt Disney Company</t>
  </si>
  <si>
    <t>DIS</t>
  </si>
  <si>
    <t>US2546871060</t>
  </si>
  <si>
    <t>2272476</t>
  </si>
  <si>
    <t>227247</t>
  </si>
  <si>
    <t>DLTR-US</t>
  </si>
  <si>
    <t>Dollar Tree, Inc.</t>
  </si>
  <si>
    <t>Dollar Tree Inc.</t>
  </si>
  <si>
    <t>DLTR</t>
  </si>
  <si>
    <t>US2567461080</t>
  </si>
  <si>
    <t>2276467</t>
  </si>
  <si>
    <t>227646</t>
  </si>
  <si>
    <t>DCI-US</t>
  </si>
  <si>
    <t>Donaldson Company, Inc.</t>
  </si>
  <si>
    <t>Donaldson Company Inc.</t>
  </si>
  <si>
    <t>DCI</t>
  </si>
  <si>
    <t>US2576511099</t>
  </si>
  <si>
    <t>2278407</t>
  </si>
  <si>
    <t>227840</t>
  </si>
  <si>
    <t>DOV-US</t>
  </si>
  <si>
    <t>Dover Corporation</t>
  </si>
  <si>
    <t>DOV</t>
  </si>
  <si>
    <t>US2600031080</t>
  </si>
  <si>
    <t>2278719</t>
  </si>
  <si>
    <t>BYP66M</t>
  </si>
  <si>
    <t>DWDP-US</t>
  </si>
  <si>
    <t>DowDuPont Inc.</t>
  </si>
  <si>
    <t>The Dow Chemical Company</t>
  </si>
  <si>
    <t>DOW</t>
  </si>
  <si>
    <t>US2605431038</t>
  </si>
  <si>
    <t>2279303</t>
  </si>
  <si>
    <t>227930</t>
  </si>
  <si>
    <t>OMC-US</t>
  </si>
  <si>
    <t>Omnicom Group Inc</t>
  </si>
  <si>
    <t>Omnicom Group Inc.</t>
  </si>
  <si>
    <t>OMC</t>
  </si>
  <si>
    <t>US6819191064</t>
  </si>
  <si>
    <t>2280220</t>
  </si>
  <si>
    <t>228022</t>
  </si>
  <si>
    <t>DTE-US</t>
  </si>
  <si>
    <t>DTE Energy Company</t>
  </si>
  <si>
    <t>DTE</t>
  </si>
  <si>
    <t>US2333311072</t>
  </si>
  <si>
    <t>2282947</t>
  </si>
  <si>
    <t>228294</t>
  </si>
  <si>
    <t>DST-US</t>
  </si>
  <si>
    <t>DST Systems, Inc.</t>
  </si>
  <si>
    <t>DST Systems Inc.</t>
  </si>
  <si>
    <t>DST</t>
  </si>
  <si>
    <t>US2333261079</t>
  </si>
  <si>
    <t>2284084</t>
  </si>
  <si>
    <t>228408</t>
  </si>
  <si>
    <t>DRE-US</t>
  </si>
  <si>
    <t>Duke Realty Corporation</t>
  </si>
  <si>
    <t>DRE</t>
  </si>
  <si>
    <t>US2644115055</t>
  </si>
  <si>
    <t>2284761</t>
  </si>
  <si>
    <t>228476</t>
  </si>
  <si>
    <t>CVG-US</t>
  </si>
  <si>
    <t>Convergys Corporation</t>
  </si>
  <si>
    <t>US2124851062</t>
  </si>
  <si>
    <t>2288406</t>
  </si>
  <si>
    <t>228840</t>
  </si>
  <si>
    <t>FLS-US</t>
  </si>
  <si>
    <t>Flowserve Corporation</t>
  </si>
  <si>
    <t>FLS</t>
  </si>
  <si>
    <t>US34354P1057</t>
  </si>
  <si>
    <t>2289874</t>
  </si>
  <si>
    <t>228987</t>
  </si>
  <si>
    <t>DRI-US</t>
  </si>
  <si>
    <t>Darden Restaurants, Inc.</t>
  </si>
  <si>
    <t>Darden Restaurants Inc.</t>
  </si>
  <si>
    <t>DRI</t>
  </si>
  <si>
    <t>US2371941053</t>
  </si>
  <si>
    <t>2293819</t>
  </si>
  <si>
    <t>229381</t>
  </si>
  <si>
    <t>EBAY-US</t>
  </si>
  <si>
    <t>eBay Inc.</t>
  </si>
  <si>
    <t>Ebay Inc.</t>
  </si>
  <si>
    <t>EBAY</t>
  </si>
  <si>
    <t>US2786421030</t>
  </si>
  <si>
    <t>2295677</t>
  </si>
  <si>
    <t>229567</t>
  </si>
  <si>
    <t>BAC-US</t>
  </si>
  <si>
    <t>Bank of America Corporation</t>
  </si>
  <si>
    <t>BAC</t>
  </si>
  <si>
    <t>US0605051046</t>
  </si>
  <si>
    <t>2297907</t>
  </si>
  <si>
    <t>229790</t>
  </si>
  <si>
    <t>C-US</t>
  </si>
  <si>
    <t>Citigroup Inc.</t>
  </si>
  <si>
    <t>C</t>
  </si>
  <si>
    <t>US1729674242</t>
  </si>
  <si>
    <t>2298386</t>
  </si>
  <si>
    <t>229838</t>
  </si>
  <si>
    <t>EMN-US</t>
  </si>
  <si>
    <t>Eastman Chemical Company</t>
  </si>
  <si>
    <t>EMN</t>
  </si>
  <si>
    <t>US2774321002</t>
  </si>
  <si>
    <t>2299011</t>
  </si>
  <si>
    <t>229901</t>
  </si>
  <si>
    <t>ETFC-US</t>
  </si>
  <si>
    <t>E*TRADE Financial Corporation</t>
  </si>
  <si>
    <t>ETFC</t>
  </si>
  <si>
    <t>US2692464017</t>
  </si>
  <si>
    <t>2301057</t>
  </si>
  <si>
    <t>230105</t>
  </si>
  <si>
    <t>EV-US</t>
  </si>
  <si>
    <t>Eaton Vance Corp.</t>
  </si>
  <si>
    <t>EV</t>
  </si>
  <si>
    <t>US2782651036</t>
  </si>
  <si>
    <t>2302232</t>
  </si>
  <si>
    <t>230223</t>
  </si>
  <si>
    <t>CDNS-US</t>
  </si>
  <si>
    <t>Cadence Design Systems, Inc.</t>
  </si>
  <si>
    <t>Cadence Design Systems Inc.</t>
  </si>
  <si>
    <t>CDNS</t>
  </si>
  <si>
    <t>US1273871087</t>
  </si>
  <si>
    <t>2303581</t>
  </si>
  <si>
    <t>230358</t>
  </si>
  <si>
    <t>DISH-US</t>
  </si>
  <si>
    <t>DISH Network Corporation Class A</t>
  </si>
  <si>
    <t>Dish Network Corp.</t>
  </si>
  <si>
    <t>DISH</t>
  </si>
  <si>
    <t>US25470M1099</t>
  </si>
  <si>
    <t>2304227</t>
  </si>
  <si>
    <t>230422</t>
  </si>
  <si>
    <t>ECL-US</t>
  </si>
  <si>
    <t>Ecolab Inc.</t>
  </si>
  <si>
    <t>ECL</t>
  </si>
  <si>
    <t>US2788651006</t>
  </si>
  <si>
    <t>2305844</t>
  </si>
  <si>
    <t>230584</t>
  </si>
  <si>
    <t>PKI-US</t>
  </si>
  <si>
    <t>PerkinElmer, Inc.</t>
  </si>
  <si>
    <t>PerkinElmer Inc.</t>
  </si>
  <si>
    <t>PKI</t>
  </si>
  <si>
    <t>US7140461093</t>
  </si>
  <si>
    <t>2310194</t>
  </si>
  <si>
    <t>231019</t>
  </si>
  <si>
    <t>EA-US</t>
  </si>
  <si>
    <t>Electronic Arts Inc.</t>
  </si>
  <si>
    <t>EA</t>
  </si>
  <si>
    <t>US2855121099</t>
  </si>
  <si>
    <t>2310525</t>
  </si>
  <si>
    <t>231052</t>
  </si>
  <si>
    <t>CRM-US</t>
  </si>
  <si>
    <t>salesforce.com, inc.</t>
  </si>
  <si>
    <t>Salesforce.com inc.</t>
  </si>
  <si>
    <t>CRM</t>
  </si>
  <si>
    <t>US79466L3024</t>
  </si>
  <si>
    <t>2311711</t>
  </si>
  <si>
    <t>231171</t>
  </si>
  <si>
    <t>ERIE-US</t>
  </si>
  <si>
    <t>Erie Indemnity Company Class A</t>
  </si>
  <si>
    <t>Erie Indemnity Company</t>
  </si>
  <si>
    <t>ERIE</t>
  </si>
  <si>
    <t>US29530P1021</t>
  </si>
  <si>
    <t>2313405</t>
  </si>
  <si>
    <t>231340</t>
  </si>
  <si>
    <t>EMR-US</t>
  </si>
  <si>
    <t>Emerson Electric Co.</t>
  </si>
  <si>
    <t>EMR</t>
  </si>
  <si>
    <t>US2910111044</t>
  </si>
  <si>
    <t>2315359</t>
  </si>
  <si>
    <t>231535</t>
  </si>
  <si>
    <t>ATO-US</t>
  </si>
  <si>
    <t>Atmos Energy Corporation</t>
  </si>
  <si>
    <t>ATO</t>
  </si>
  <si>
    <t>US0495601058</t>
  </si>
  <si>
    <t>2316619</t>
  </si>
  <si>
    <t>231661</t>
  </si>
  <si>
    <t>ESS-US</t>
  </si>
  <si>
    <t>Essex Property Trust, Inc.</t>
  </si>
  <si>
    <t>Essex Property Trust Inc.</t>
  </si>
  <si>
    <t>ESS</t>
  </si>
  <si>
    <t>US2971781057</t>
  </si>
  <si>
    <t>2317087</t>
  </si>
  <si>
    <t>231708</t>
  </si>
  <si>
    <t>ETR-US</t>
  </si>
  <si>
    <t>Entergy Corporation</t>
  </si>
  <si>
    <t>ETR</t>
  </si>
  <si>
    <t>US29364G1031</t>
  </si>
  <si>
    <t>2318024</t>
  </si>
  <si>
    <t>231802</t>
  </si>
  <si>
    <t>EOG-US</t>
  </si>
  <si>
    <t>EOG Resources, Inc.</t>
  </si>
  <si>
    <t>EOG Resources Inc.</t>
  </si>
  <si>
    <t>EOG</t>
  </si>
  <si>
    <t>US26875P1012</t>
  </si>
  <si>
    <t>2319146</t>
  </si>
  <si>
    <t>231914</t>
  </si>
  <si>
    <t>EFX-US</t>
  </si>
  <si>
    <t>Equifax Inc.</t>
  </si>
  <si>
    <t>EFX</t>
  </si>
  <si>
    <t>US2944291051</t>
  </si>
  <si>
    <t>2319157</t>
  </si>
  <si>
    <t>231915</t>
  </si>
  <si>
    <t>EQR-US</t>
  </si>
  <si>
    <t>Equity Residential</t>
  </si>
  <si>
    <t>EQR</t>
  </si>
  <si>
    <t>US29476L1070</t>
  </si>
  <si>
    <t>2319414</t>
  </si>
  <si>
    <t>231941</t>
  </si>
  <si>
    <t>EQT-US</t>
  </si>
  <si>
    <t>EQT Corporation</t>
  </si>
  <si>
    <t>EQT</t>
  </si>
  <si>
    <t>US26884L1098</t>
  </si>
  <si>
    <t>2320524</t>
  </si>
  <si>
    <t>232052</t>
  </si>
  <si>
    <t>EL-US</t>
  </si>
  <si>
    <t>Estee Lauder Companies Inc. Class A</t>
  </si>
  <si>
    <t>The Estée Lauder Companies Inc.</t>
  </si>
  <si>
    <t>EL</t>
  </si>
  <si>
    <t>US5184391044</t>
  </si>
  <si>
    <t>2325507</t>
  </si>
  <si>
    <t>232550</t>
  </si>
  <si>
    <t>EXPD-US</t>
  </si>
  <si>
    <t>Expeditors International of Washington, Inc.</t>
  </si>
  <si>
    <t>Expeditors International of Washington Inc.</t>
  </si>
  <si>
    <t>EXPD</t>
  </si>
  <si>
    <t>US3021301094</t>
  </si>
  <si>
    <t>2326618</t>
  </si>
  <si>
    <t>232661</t>
  </si>
  <si>
    <t>XOM-US</t>
  </si>
  <si>
    <t>Exxon Mobil Corporation</t>
  </si>
  <si>
    <t>XOM</t>
  </si>
  <si>
    <t>US30231G1022</t>
  </si>
  <si>
    <t>2328603</t>
  </si>
  <si>
    <t>232860</t>
  </si>
  <si>
    <t>FMC-US</t>
  </si>
  <si>
    <t>FMC Corporation</t>
  </si>
  <si>
    <t>FMC</t>
  </si>
  <si>
    <t>US3024913036</t>
  </si>
  <si>
    <t>2328915</t>
  </si>
  <si>
    <t>232891</t>
  </si>
  <si>
    <t>NEE-US</t>
  </si>
  <si>
    <t>NextEra Energy, Inc.</t>
  </si>
  <si>
    <t>NextEra Energy Inc.</t>
  </si>
  <si>
    <t>NEE</t>
  </si>
  <si>
    <t>US65339F1012</t>
  </si>
  <si>
    <t>2329770</t>
  </si>
  <si>
    <t>232977</t>
  </si>
  <si>
    <t>FDS-US</t>
  </si>
  <si>
    <t>FactSet Research Systems Inc.</t>
  </si>
  <si>
    <t>FDS</t>
  </si>
  <si>
    <t>US3030751057</t>
  </si>
  <si>
    <t>2331430</t>
  </si>
  <si>
    <t>233143</t>
  </si>
  <si>
    <t>AIZ-US</t>
  </si>
  <si>
    <t>Assurant, Inc.</t>
  </si>
  <si>
    <t>Assurant Inc.</t>
  </si>
  <si>
    <t>AIZ</t>
  </si>
  <si>
    <t>US04621X1081</t>
  </si>
  <si>
    <t>2332262</t>
  </si>
  <si>
    <t>233226</t>
  </si>
  <si>
    <t>FAST-US</t>
  </si>
  <si>
    <t>Fastenal Company</t>
  </si>
  <si>
    <t>FAST</t>
  </si>
  <si>
    <t>US3119001044</t>
  </si>
  <si>
    <t>2333889</t>
  </si>
  <si>
    <t>233388</t>
  </si>
  <si>
    <t>FNMA-US</t>
  </si>
  <si>
    <t>Federal National Mortgage Association</t>
  </si>
  <si>
    <t>FNMA</t>
  </si>
  <si>
    <t>US3135861090</t>
  </si>
  <si>
    <t>2333931</t>
  </si>
  <si>
    <t>233393</t>
  </si>
  <si>
    <t>FRT-US</t>
  </si>
  <si>
    <t>Federal Realty Investment Trust</t>
  </si>
  <si>
    <t>FRT</t>
  </si>
  <si>
    <t>US3137472060</t>
  </si>
  <si>
    <t>2334150</t>
  </si>
  <si>
    <t>233415</t>
  </si>
  <si>
    <t>FMCC-US</t>
  </si>
  <si>
    <t>Freddie Mac</t>
  </si>
  <si>
    <t>Federal Home Loan Mortgage Corporation</t>
  </si>
  <si>
    <t>FMCC</t>
  </si>
  <si>
    <t>US3134003017</t>
  </si>
  <si>
    <t>2336747</t>
  </si>
  <si>
    <t>233674</t>
  </si>
  <si>
    <t>FITB-US</t>
  </si>
  <si>
    <t>Fifth Third Bancorp</t>
  </si>
  <si>
    <t>FITB</t>
  </si>
  <si>
    <t>US3167731005</t>
  </si>
  <si>
    <t>2340168</t>
  </si>
  <si>
    <t>234016</t>
  </si>
  <si>
    <t>MTB-US</t>
  </si>
  <si>
    <t>M&amp;T Bank Corporation</t>
  </si>
  <si>
    <t>MTB</t>
  </si>
  <si>
    <t>US55261F1049</t>
  </si>
  <si>
    <t>2341484</t>
  </si>
  <si>
    <t>234148</t>
  </si>
  <si>
    <t>FHN-US</t>
  </si>
  <si>
    <t>First Horizon National Corporation</t>
  </si>
  <si>
    <t>FHN</t>
  </si>
  <si>
    <t>US3205171057</t>
  </si>
  <si>
    <t>2342034</t>
  </si>
  <si>
    <t>234203</t>
  </si>
  <si>
    <t>FISV-US</t>
  </si>
  <si>
    <t>Fiserv, Inc.</t>
  </si>
  <si>
    <t>Fiserv Inc.</t>
  </si>
  <si>
    <t>FISV</t>
  </si>
  <si>
    <t>US3377381088</t>
  </si>
  <si>
    <t>2344717</t>
  </si>
  <si>
    <t>234471</t>
  </si>
  <si>
    <t>FLIR-US</t>
  </si>
  <si>
    <t>FLIR Systems, Inc.</t>
  </si>
  <si>
    <t>FLIR Systems Inc.</t>
  </si>
  <si>
    <t>FLIR</t>
  </si>
  <si>
    <t>US3024451011</t>
  </si>
  <si>
    <t>2345022</t>
  </si>
  <si>
    <t>234502</t>
  </si>
  <si>
    <t>M-US</t>
  </si>
  <si>
    <t>Macy's Inc</t>
  </si>
  <si>
    <t>Macy's Inc.</t>
  </si>
  <si>
    <t>M</t>
  </si>
  <si>
    <t>US55616P1049</t>
  </si>
  <si>
    <t>2350684</t>
  </si>
  <si>
    <t>235068</t>
  </si>
  <si>
    <t>BEN-US</t>
  </si>
  <si>
    <t>Franklin Resources, Inc.</t>
  </si>
  <si>
    <t>Franklin Resources Inc.</t>
  </si>
  <si>
    <t>BEN</t>
  </si>
  <si>
    <t>US3546131018</t>
  </si>
  <si>
    <t>2351449</t>
  </si>
  <si>
    <t>235144</t>
  </si>
  <si>
    <t>FCN-US</t>
  </si>
  <si>
    <t>FTI Consulting, Inc.</t>
  </si>
  <si>
    <t>FTI Consulting Inc.</t>
  </si>
  <si>
    <t>FCN</t>
  </si>
  <si>
    <t>US3029411093</t>
  </si>
  <si>
    <t>2352118</t>
  </si>
  <si>
    <t>235211</t>
  </si>
  <si>
    <t>FCX-US</t>
  </si>
  <si>
    <t>Freeport-McMoRan, Inc.</t>
  </si>
  <si>
    <t>Freeport-McMoRan Inc.</t>
  </si>
  <si>
    <t>FCX</t>
  </si>
  <si>
    <t>US35671D8570</t>
  </si>
  <si>
    <t>2354460</t>
  </si>
  <si>
    <t>235446</t>
  </si>
  <si>
    <t>FTEK-US</t>
  </si>
  <si>
    <t>Fuel Tech, Inc.</t>
  </si>
  <si>
    <t>Fuel-Tech Inc.</t>
  </si>
  <si>
    <t>FTEK</t>
  </si>
  <si>
    <t>US3595231073</t>
  </si>
  <si>
    <t>2355582</t>
  </si>
  <si>
    <t>235558</t>
  </si>
  <si>
    <t>FCNCA-US</t>
  </si>
  <si>
    <t>First Citizens BancShares, Inc. Class A</t>
  </si>
  <si>
    <t>First Citizens BancShares Inc.</t>
  </si>
  <si>
    <t>FCNC.A</t>
  </si>
  <si>
    <t>US31946M1036</t>
  </si>
  <si>
    <t>2356585</t>
  </si>
  <si>
    <t>235658</t>
  </si>
  <si>
    <t>FULT-US</t>
  </si>
  <si>
    <t>Fulton Financial Corporation</t>
  </si>
  <si>
    <t>FULT</t>
  </si>
  <si>
    <t>US3602711000</t>
  </si>
  <si>
    <t>2359506</t>
  </si>
  <si>
    <t>235950</t>
  </si>
  <si>
    <t>AJG-US</t>
  </si>
  <si>
    <t>Arthur J. Gallagher &amp; Co.</t>
  </si>
  <si>
    <t>AJG</t>
  </si>
  <si>
    <t>US3635761097</t>
  </si>
  <si>
    <t>2360326</t>
  </si>
  <si>
    <t>236032</t>
  </si>
  <si>
    <t>GPS-US</t>
  </si>
  <si>
    <t>Gap, Inc.</t>
  </si>
  <si>
    <t>The Gap Inc.</t>
  </si>
  <si>
    <t>GPS</t>
  </si>
  <si>
    <t>US3647601083</t>
  </si>
  <si>
    <t>2362128</t>
  </si>
  <si>
    <t>236212</t>
  </si>
  <si>
    <t>GATX-US</t>
  </si>
  <si>
    <t>GATX Corporation</t>
  </si>
  <si>
    <t>GATX</t>
  </si>
  <si>
    <t>US3614481030</t>
  </si>
  <si>
    <t>2365161</t>
  </si>
  <si>
    <t>236516</t>
  </si>
  <si>
    <t>GD-US</t>
  </si>
  <si>
    <t>General Dynamics Corporation</t>
  </si>
  <si>
    <t>GD</t>
  </si>
  <si>
    <t>US3695501086</t>
  </si>
  <si>
    <t>2366799</t>
  </si>
  <si>
    <t>236679</t>
  </si>
  <si>
    <t>GNTX-US</t>
  </si>
  <si>
    <t>Gentex Corporation</t>
  </si>
  <si>
    <t>GNTX</t>
  </si>
  <si>
    <t>US3719011096</t>
  </si>
  <si>
    <t>2367026</t>
  </si>
  <si>
    <t>236702</t>
  </si>
  <si>
    <t>GIS-US</t>
  </si>
  <si>
    <t>General Mills, Inc.</t>
  </si>
  <si>
    <t>General Mills Inc.</t>
  </si>
  <si>
    <t>GIS</t>
  </si>
  <si>
    <t>US3703341046</t>
  </si>
  <si>
    <t>2367480</t>
  </si>
  <si>
    <t>236748</t>
  </si>
  <si>
    <t>GPC-US</t>
  </si>
  <si>
    <t>Genuine Parts Company</t>
  </si>
  <si>
    <t>GPC</t>
  </si>
  <si>
    <t>US3724601055</t>
  </si>
  <si>
    <t>2369174</t>
  </si>
  <si>
    <t>236917</t>
  </si>
  <si>
    <t>GILD-US</t>
  </si>
  <si>
    <t>Gilead Sciences, Inc.</t>
  </si>
  <si>
    <t>Gilead Sciences Inc.</t>
  </si>
  <si>
    <t>GILD</t>
  </si>
  <si>
    <t>US3755581036</t>
  </si>
  <si>
    <t>2369851</t>
  </si>
  <si>
    <t>236985</t>
  </si>
  <si>
    <t>BGC-US</t>
  </si>
  <si>
    <t>General Cable Corporation</t>
  </si>
  <si>
    <t>BGC</t>
  </si>
  <si>
    <t>US3693001089</t>
  </si>
  <si>
    <t>2372763</t>
  </si>
  <si>
    <t>237276</t>
  </si>
  <si>
    <t>IT-US</t>
  </si>
  <si>
    <t>Gartner, Inc.</t>
  </si>
  <si>
    <t>Gartner Inc.</t>
  </si>
  <si>
    <t>IT</t>
  </si>
  <si>
    <t>US3666511072</t>
  </si>
  <si>
    <t>2378200</t>
  </si>
  <si>
    <t>237820</t>
  </si>
  <si>
    <t>GT-US</t>
  </si>
  <si>
    <t>Goodyear Tire &amp; Rubber Company</t>
  </si>
  <si>
    <t>The Goodyear Tire &amp; Rubber Company</t>
  </si>
  <si>
    <t>GT</t>
  </si>
  <si>
    <t>US3825501014</t>
  </si>
  <si>
    <t>2378534</t>
  </si>
  <si>
    <t>237853</t>
  </si>
  <si>
    <t>MCK-US</t>
  </si>
  <si>
    <t>McKesson Corporation</t>
  </si>
  <si>
    <t>MCK</t>
  </si>
  <si>
    <t>US58155Q1031</t>
  </si>
  <si>
    <t>2379504</t>
  </si>
  <si>
    <t>237950</t>
  </si>
  <si>
    <t>NVDA-US</t>
  </si>
  <si>
    <t>NVIDIA Corporation</t>
  </si>
  <si>
    <t>NVDA</t>
  </si>
  <si>
    <t>US67066G1040</t>
  </si>
  <si>
    <t>2380443</t>
  </si>
  <si>
    <t>238044</t>
  </si>
  <si>
    <t>GGG-US</t>
  </si>
  <si>
    <t>Graco Inc.</t>
  </si>
  <si>
    <t>GGG</t>
  </si>
  <si>
    <t>US3841091040</t>
  </si>
  <si>
    <t>2380498</t>
  </si>
  <si>
    <t>238049</t>
  </si>
  <si>
    <t>GE-US</t>
  </si>
  <si>
    <t>General Electric Company</t>
  </si>
  <si>
    <t>GE</t>
  </si>
  <si>
    <t>US3696041033</t>
  </si>
  <si>
    <t>2380863</t>
  </si>
  <si>
    <t>238086</t>
  </si>
  <si>
    <t>GWW-US</t>
  </si>
  <si>
    <t>W.W. Grainger, Inc.</t>
  </si>
  <si>
    <t>W.W. Grainger Inc.</t>
  </si>
  <si>
    <t>GWW</t>
  </si>
  <si>
    <t>US3848021040</t>
  </si>
  <si>
    <t>T</t>
  </si>
  <si>
    <t>2387109</t>
  </si>
  <si>
    <t>238710</t>
  </si>
  <si>
    <t>GES-US</t>
  </si>
  <si>
    <t>Guess?, Inc.</t>
  </si>
  <si>
    <t>Guess? Inc.</t>
  </si>
  <si>
    <t>GES</t>
  </si>
  <si>
    <t>US4016171054</t>
  </si>
  <si>
    <t>2388016</t>
  </si>
  <si>
    <t>238801</t>
  </si>
  <si>
    <t>GEF-US</t>
  </si>
  <si>
    <t>Greif Class A</t>
  </si>
  <si>
    <t>Greif Inc.</t>
  </si>
  <si>
    <t>GEF</t>
  </si>
  <si>
    <t>US3976241071</t>
  </si>
  <si>
    <t>2402121</t>
  </si>
  <si>
    <t>240212</t>
  </si>
  <si>
    <t>NUAN-US</t>
  </si>
  <si>
    <t>Nuance Communications, Inc.</t>
  </si>
  <si>
    <t>Nuance Communications Inc.</t>
  </si>
  <si>
    <t>NUAN</t>
  </si>
  <si>
    <t>US67020Y1001</t>
  </si>
  <si>
    <t>2405302</t>
  </si>
  <si>
    <t>240530</t>
  </si>
  <si>
    <t>HAL-US</t>
  </si>
  <si>
    <t>Halliburton Company</t>
  </si>
  <si>
    <t>HAL</t>
  </si>
  <si>
    <t>US4062161017</t>
  </si>
  <si>
    <t>2407966</t>
  </si>
  <si>
    <t>240796</t>
  </si>
  <si>
    <t>GS-US</t>
  </si>
  <si>
    <t>Goldman Sachs Group, Inc.</t>
  </si>
  <si>
    <t>The Goldman Sachs Group Inc.</t>
  </si>
  <si>
    <t>GS</t>
  </si>
  <si>
    <t>US38141G1040</t>
  </si>
  <si>
    <t>2409575</t>
  </si>
  <si>
    <t>240957</t>
  </si>
  <si>
    <t>SFG-US</t>
  </si>
  <si>
    <t>StanCorp Financial Group, Inc.</t>
  </si>
  <si>
    <t>StanCorp Financial Group Inc.</t>
  </si>
  <si>
    <t>US8528911006</t>
  </si>
  <si>
    <t>2411053</t>
  </si>
  <si>
    <t>241105</t>
  </si>
  <si>
    <t>HOG-US</t>
  </si>
  <si>
    <t>Harley-Davidson, Inc.</t>
  </si>
  <si>
    <t>Harley-Davidson Inc.</t>
  </si>
  <si>
    <t>HOG</t>
  </si>
  <si>
    <t>Automobiles</t>
  </si>
  <si>
    <t>US4128221086</t>
  </si>
  <si>
    <t>2411138</t>
  </si>
  <si>
    <t>241113</t>
  </si>
  <si>
    <t>HAR-US</t>
  </si>
  <si>
    <t>Harman International Industries, Incorporated</t>
  </si>
  <si>
    <t>Harman International Industries Inc.</t>
  </si>
  <si>
    <t>US4130861093</t>
  </si>
  <si>
    <t>2412001</t>
  </si>
  <si>
    <t>241200</t>
  </si>
  <si>
    <t>HRS-US</t>
  </si>
  <si>
    <t>Harris Corporation</t>
  </si>
  <si>
    <t>HRS</t>
  </si>
  <si>
    <t>US4138751056</t>
  </si>
  <si>
    <t>2412700</t>
  </si>
  <si>
    <t>241270</t>
  </si>
  <si>
    <t>HSC-US</t>
  </si>
  <si>
    <t>Harsco Corporation</t>
  </si>
  <si>
    <t>HSC</t>
  </si>
  <si>
    <t>US4158641070</t>
  </si>
  <si>
    <t>2413037</t>
  </si>
  <si>
    <t>241303</t>
  </si>
  <si>
    <t>LPNT-US</t>
  </si>
  <si>
    <t>LifePoint Health, Inc.</t>
  </si>
  <si>
    <t>LifePoint Health Inc.</t>
  </si>
  <si>
    <t>LPNT</t>
  </si>
  <si>
    <t>US53219L1098</t>
  </si>
  <si>
    <t>2413758</t>
  </si>
  <si>
    <t>BF3FTF</t>
  </si>
  <si>
    <t>CNX-US</t>
  </si>
  <si>
    <t>CNX Resources Corporation</t>
  </si>
  <si>
    <t>CONSOL Energy Inc.</t>
  </si>
  <si>
    <t>CNX</t>
  </si>
  <si>
    <t>US20854P1093</t>
  </si>
  <si>
    <t>2414580</t>
  </si>
  <si>
    <t>241458</t>
  </si>
  <si>
    <t>HAS-US</t>
  </si>
  <si>
    <t>Hasbro, Inc.</t>
  </si>
  <si>
    <t>Hasbro Inc.</t>
  </si>
  <si>
    <t>US4180561072</t>
  </si>
  <si>
    <t>2415204</t>
  </si>
  <si>
    <t>241520</t>
  </si>
  <si>
    <t>HE-US</t>
  </si>
  <si>
    <t>Hawaiian Electric Industries, Inc.</t>
  </si>
  <si>
    <t>Hawaiian Electric Industries Inc.</t>
  </si>
  <si>
    <t>HE</t>
  </si>
  <si>
    <t>US4198701009</t>
  </si>
  <si>
    <t>2416962</t>
  </si>
  <si>
    <t>241696</t>
  </si>
  <si>
    <t>HSIC-US</t>
  </si>
  <si>
    <t>Henry Schein, Inc.</t>
  </si>
  <si>
    <t>Henry Schein Inc.</t>
  </si>
  <si>
    <t>HSIC</t>
  </si>
  <si>
    <t>US8064071025</t>
  </si>
  <si>
    <t>2416973</t>
  </si>
  <si>
    <t>241697</t>
  </si>
  <si>
    <t>WCC-US</t>
  </si>
  <si>
    <t>WESCO International, Inc.</t>
  </si>
  <si>
    <t>WESCO International Inc.</t>
  </si>
  <si>
    <t>WCC</t>
  </si>
  <si>
    <t>US95082P1057</t>
  </si>
  <si>
    <t>2417578</t>
  </si>
  <si>
    <t>241757</t>
  </si>
  <si>
    <t>HCP-US</t>
  </si>
  <si>
    <t>HCP, Inc.</t>
  </si>
  <si>
    <t>HCP Inc.</t>
  </si>
  <si>
    <t>HCP</t>
  </si>
  <si>
    <t>US40414L1098</t>
  </si>
  <si>
    <t>2418162</t>
  </si>
  <si>
    <t>241816</t>
  </si>
  <si>
    <t>MFA-US</t>
  </si>
  <si>
    <t>MFA Financial, Inc.</t>
  </si>
  <si>
    <t>MFA Financial Inc.</t>
  </si>
  <si>
    <t>MFA</t>
  </si>
  <si>
    <t>US55272X1028</t>
  </si>
  <si>
    <t>2418474</t>
  </si>
  <si>
    <t>241847</t>
  </si>
  <si>
    <t>DNR-US</t>
  </si>
  <si>
    <t>Denbury Resources Inc.</t>
  </si>
  <si>
    <t>DNR</t>
  </si>
  <si>
    <t>US2479162081</t>
  </si>
  <si>
    <t>2418623</t>
  </si>
  <si>
    <t>241862</t>
  </si>
  <si>
    <t>HNT-US</t>
  </si>
  <si>
    <t>Health Net, Inc.</t>
  </si>
  <si>
    <t>Health Net Inc.</t>
  </si>
  <si>
    <t>US42222G1085</t>
  </si>
  <si>
    <t>2420101</t>
  </si>
  <si>
    <t>242010</t>
  </si>
  <si>
    <t>HP-US</t>
  </si>
  <si>
    <t>Helmerich &amp; Payne, Inc.</t>
  </si>
  <si>
    <t>Helmerich &amp; Payne Inc.</t>
  </si>
  <si>
    <t>HP</t>
  </si>
  <si>
    <t>US4234521015</t>
  </si>
  <si>
    <t>2421171</t>
  </si>
  <si>
    <t>242117</t>
  </si>
  <si>
    <t>FNFG-US</t>
  </si>
  <si>
    <t>First Niagara Financial Group, Inc.</t>
  </si>
  <si>
    <t>First Niagara Financial Group Inc.</t>
  </si>
  <si>
    <t>US33582V1089</t>
  </si>
  <si>
    <t>2422174</t>
  </si>
  <si>
    <t>242217</t>
  </si>
  <si>
    <t>BRCD-US</t>
  </si>
  <si>
    <t>Brocade Communications Systems, Inc.</t>
  </si>
  <si>
    <t>Brocade Communications Systems Inc.</t>
  </si>
  <si>
    <t>BRCD</t>
  </si>
  <si>
    <t>US1116213067</t>
  </si>
  <si>
    <t>2422806</t>
  </si>
  <si>
    <t>242280</t>
  </si>
  <si>
    <t>HSY-US</t>
  </si>
  <si>
    <t>Hershey Company</t>
  </si>
  <si>
    <t>The Hershey Company</t>
  </si>
  <si>
    <t>HSY</t>
  </si>
  <si>
    <t>US4278661081</t>
  </si>
  <si>
    <t>2425924</t>
  </si>
  <si>
    <t>242592</t>
  </si>
  <si>
    <t>HRC-US</t>
  </si>
  <si>
    <t>Hill-Rom Holdings, Inc.</t>
  </si>
  <si>
    <t>Hill-Rom Holdings Inc.</t>
  </si>
  <si>
    <t>HRC</t>
  </si>
  <si>
    <t>US4314751029</t>
  </si>
  <si>
    <t>2427599</t>
  </si>
  <si>
    <t>242759</t>
  </si>
  <si>
    <t>FFIV-US</t>
  </si>
  <si>
    <t>F5 Networks, Inc.</t>
  </si>
  <si>
    <t>F5 Networks Inc.</t>
  </si>
  <si>
    <t>FFIV</t>
  </si>
  <si>
    <t>US3156161024</t>
  </si>
  <si>
    <t>2427986</t>
  </si>
  <si>
    <t>242798</t>
  </si>
  <si>
    <t>CCK-US</t>
  </si>
  <si>
    <t>Crown Holdings, Inc.</t>
  </si>
  <si>
    <t>Crown Holdings Inc.</t>
  </si>
  <si>
    <t>CCK</t>
  </si>
  <si>
    <t>US2283681060</t>
  </si>
  <si>
    <t>2429090</t>
  </si>
  <si>
    <t>242909</t>
  </si>
  <si>
    <t>RAI-US</t>
  </si>
  <si>
    <t>Reynolds American Inc.</t>
  </si>
  <si>
    <t>RAI</t>
  </si>
  <si>
    <t>US7617131062</t>
  </si>
  <si>
    <t>2430412</t>
  </si>
  <si>
    <t>243041</t>
  </si>
  <si>
    <t>UTHR-US</t>
  </si>
  <si>
    <t>United Therapeutics Corporation</t>
  </si>
  <si>
    <t>UTHR</t>
  </si>
  <si>
    <t>US91307C1027</t>
  </si>
  <si>
    <t>2431846</t>
  </si>
  <si>
    <t>243184</t>
  </si>
  <si>
    <t>JNPR-US</t>
  </si>
  <si>
    <t>Juniper Networks, Inc.</t>
  </si>
  <si>
    <t>Juniper Networks Inc.</t>
  </si>
  <si>
    <t>JNPR</t>
  </si>
  <si>
    <t>US48203R1041</t>
  </si>
  <si>
    <t>2433530</t>
  </si>
  <si>
    <t>243353</t>
  </si>
  <si>
    <t>HOLX-US</t>
  </si>
  <si>
    <t>Hologic, Inc.</t>
  </si>
  <si>
    <t>Hologic Inc.</t>
  </si>
  <si>
    <t>HOLX</t>
  </si>
  <si>
    <t>US4364401012</t>
  </si>
  <si>
    <t>2433842</t>
  </si>
  <si>
    <t>243384</t>
  </si>
  <si>
    <t>UNM-US</t>
  </si>
  <si>
    <t>Unum Group</t>
  </si>
  <si>
    <t>UNM</t>
  </si>
  <si>
    <t>US91529Y1064</t>
  </si>
  <si>
    <t>2434209</t>
  </si>
  <si>
    <t>243420</t>
  </si>
  <si>
    <t>HD-US</t>
  </si>
  <si>
    <t>Home Depot, Inc.</t>
  </si>
  <si>
    <t>The Home Depot Inc.</t>
  </si>
  <si>
    <t>HD</t>
  </si>
  <si>
    <t>US4370761029</t>
  </si>
  <si>
    <t>2437071</t>
  </si>
  <si>
    <t>243707</t>
  </si>
  <si>
    <t>BMRN-US</t>
  </si>
  <si>
    <t>BioMarin Pharmaceutical Inc.</t>
  </si>
  <si>
    <t>BMRN</t>
  </si>
  <si>
    <t>US09061G1013</t>
  </si>
  <si>
    <t>2437264</t>
  </si>
  <si>
    <t>243726</t>
  </si>
  <si>
    <t>HRL-US</t>
  </si>
  <si>
    <t>Hormel Foods Corporation</t>
  </si>
  <si>
    <t>HRL</t>
  </si>
  <si>
    <t>US4404521001</t>
  </si>
  <si>
    <t>2438966</t>
  </si>
  <si>
    <t>243896</t>
  </si>
  <si>
    <t>HPT-US</t>
  </si>
  <si>
    <t>Hospitality Properties Trust</t>
  </si>
  <si>
    <t>HPT</t>
  </si>
  <si>
    <t>US44106M1027</t>
  </si>
  <si>
    <t>2439806</t>
  </si>
  <si>
    <t>243980</t>
  </si>
  <si>
    <t>TCM-CA</t>
  </si>
  <si>
    <t>Thompson Creek Metals Company Inc.</t>
  </si>
  <si>
    <t>TCM</t>
  </si>
  <si>
    <t>CA8847681027</t>
  </si>
  <si>
    <t>2440637</t>
  </si>
  <si>
    <t>244063</t>
  </si>
  <si>
    <t>CNP-US</t>
  </si>
  <si>
    <t>CenterPoint Energy, Inc.</t>
  </si>
  <si>
    <t>CenterPoint Energy Inc.</t>
  </si>
  <si>
    <t>CNP</t>
  </si>
  <si>
    <t>US15189T1079</t>
  </si>
  <si>
    <t>2442053</t>
  </si>
  <si>
    <t>244205</t>
  </si>
  <si>
    <t>LII-US</t>
  </si>
  <si>
    <t>Lennox International Inc.</t>
  </si>
  <si>
    <t>LII</t>
  </si>
  <si>
    <t>US5261071071</t>
  </si>
  <si>
    <t>2445063</t>
  </si>
  <si>
    <t>244506</t>
  </si>
  <si>
    <t>HUM-US</t>
  </si>
  <si>
    <t>Humana Inc.</t>
  </si>
  <si>
    <t>HUM</t>
  </si>
  <si>
    <t>US4448591028</t>
  </si>
  <si>
    <t>2445416</t>
  </si>
  <si>
    <t>244541</t>
  </si>
  <si>
    <t>JBHT-US</t>
  </si>
  <si>
    <t>J.B. Hunt Transport Services, Inc.</t>
  </si>
  <si>
    <t>J.B. Hunt Transport Services Inc.</t>
  </si>
  <si>
    <t>JBHT</t>
  </si>
  <si>
    <t>US4456581077</t>
  </si>
  <si>
    <t>2445966</t>
  </si>
  <si>
    <t>244596</t>
  </si>
  <si>
    <t>HBAN-US</t>
  </si>
  <si>
    <t>Huntington Bancshares Incorporated</t>
  </si>
  <si>
    <t>HBAN</t>
  </si>
  <si>
    <t>US4461501045</t>
  </si>
  <si>
    <t>2447218</t>
  </si>
  <si>
    <t>244721</t>
  </si>
  <si>
    <t>RHT-US</t>
  </si>
  <si>
    <t>Red Hat, Inc.</t>
  </si>
  <si>
    <t>Red Hat Inc.</t>
  </si>
  <si>
    <t>RHT</t>
  </si>
  <si>
    <t>US7565771026</t>
  </si>
  <si>
    <t>2452375</t>
  </si>
  <si>
    <t>245237</t>
  </si>
  <si>
    <t>ESINQ-US</t>
  </si>
  <si>
    <t>ITT Educational Services, Inc.</t>
  </si>
  <si>
    <t>ITT Educational Services Inc.</t>
  </si>
  <si>
    <t>ESIN.Q</t>
  </si>
  <si>
    <t>US45068B1098</t>
  </si>
  <si>
    <t>2455761</t>
  </si>
  <si>
    <t>245576</t>
  </si>
  <si>
    <t>EGP-US</t>
  </si>
  <si>
    <t>EastGroup Properties, Inc.</t>
  </si>
  <si>
    <t>EastGroup Properties Inc.</t>
  </si>
  <si>
    <t>EGP</t>
  </si>
  <si>
    <t>US2772761019</t>
  </si>
  <si>
    <t>2455965</t>
  </si>
  <si>
    <t>245596</t>
  </si>
  <si>
    <t>BIIB-US</t>
  </si>
  <si>
    <t>Biogen Inc.</t>
  </si>
  <si>
    <t>BIIB</t>
  </si>
  <si>
    <t>US09062X1037</t>
  </si>
  <si>
    <t>2456612</t>
  </si>
  <si>
    <t>245661</t>
  </si>
  <si>
    <t>IEX-US</t>
  </si>
  <si>
    <t>IDEX Corporation</t>
  </si>
  <si>
    <t>IEX</t>
  </si>
  <si>
    <t>US45167R1041</t>
  </si>
  <si>
    <t>2457552</t>
  </si>
  <si>
    <t>245755</t>
  </si>
  <si>
    <t>ITW-US</t>
  </si>
  <si>
    <t>Illinois Tool Works Inc.</t>
  </si>
  <si>
    <t>ITW</t>
  </si>
  <si>
    <t>US4523081093</t>
  </si>
  <si>
    <t>2459020</t>
  </si>
  <si>
    <t>245902</t>
  </si>
  <si>
    <t>INTU-US</t>
  </si>
  <si>
    <t>Intuit Inc.</t>
  </si>
  <si>
    <t>US4612021034</t>
  </si>
  <si>
    <t>2459202</t>
  </si>
  <si>
    <t>245920</t>
  </si>
  <si>
    <t>IDXX-US</t>
  </si>
  <si>
    <t>IDEXX Laboratories, Inc.</t>
  </si>
  <si>
    <t>IDEXX Laboratories Inc.</t>
  </si>
  <si>
    <t>IDXX</t>
  </si>
  <si>
    <t>US45168D1046</t>
  </si>
  <si>
    <t>2462437</t>
  </si>
  <si>
    <t>246243</t>
  </si>
  <si>
    <t>IDTI-US</t>
  </si>
  <si>
    <t>Integrated Device Technology, Inc.</t>
  </si>
  <si>
    <t>Integrated Device Technology Inc.</t>
  </si>
  <si>
    <t>IDTI</t>
  </si>
  <si>
    <t>US4581181066</t>
  </si>
  <si>
    <t>2463247</t>
  </si>
  <si>
    <t>246324</t>
  </si>
  <si>
    <t>INTC-US</t>
  </si>
  <si>
    <t>Intel Corporation</t>
  </si>
  <si>
    <t>INTC</t>
  </si>
  <si>
    <t>US4581401001</t>
  </si>
  <si>
    <t>2464165</t>
  </si>
  <si>
    <t>246416</t>
  </si>
  <si>
    <t>IFF-US</t>
  </si>
  <si>
    <t>International Flavors &amp; Fragrances Inc.</t>
  </si>
  <si>
    <t>IFF</t>
  </si>
  <si>
    <t>US4595061015</t>
  </si>
  <si>
    <t>2465254</t>
  </si>
  <si>
    <t>246525</t>
  </si>
  <si>
    <t>IP-US</t>
  </si>
  <si>
    <t>International Paper Company</t>
  </si>
  <si>
    <t>IP</t>
  </si>
  <si>
    <t>US4601461035</t>
  </si>
  <si>
    <t>2465737</t>
  </si>
  <si>
    <t>246573</t>
  </si>
  <si>
    <t>IDCC-US</t>
  </si>
  <si>
    <t>InterDigital, Inc.</t>
  </si>
  <si>
    <t>InterDigital Inc.</t>
  </si>
  <si>
    <t>IDCC</t>
  </si>
  <si>
    <t>US45867G1013</t>
  </si>
  <si>
    <t>2466321</t>
  </si>
  <si>
    <t>246632</t>
  </si>
  <si>
    <t>IPG-US</t>
  </si>
  <si>
    <t>Interpublic Group of Companies, Inc.</t>
  </si>
  <si>
    <t>The Interpublic Group of Companies Inc.</t>
  </si>
  <si>
    <t>IPG</t>
  </si>
  <si>
    <t>US4606901001</t>
  </si>
  <si>
    <t>2469052</t>
  </si>
  <si>
    <t>246905</t>
  </si>
  <si>
    <t>JEC-US</t>
  </si>
  <si>
    <t>Jacobs Engineering Group Inc.</t>
  </si>
  <si>
    <t>JEC</t>
  </si>
  <si>
    <t>US4698141078</t>
  </si>
  <si>
    <t>2471789</t>
  </si>
  <si>
    <t>247178</t>
  </si>
  <si>
    <t>JBL-US</t>
  </si>
  <si>
    <t>Jabil Inc.</t>
  </si>
  <si>
    <t>JBL</t>
  </si>
  <si>
    <t>US4663131039</t>
  </si>
  <si>
    <t>2471949</t>
  </si>
  <si>
    <t>247194</t>
  </si>
  <si>
    <t>ITRI-US</t>
  </si>
  <si>
    <t>Itron, Inc.</t>
  </si>
  <si>
    <t>Itron Inc.</t>
  </si>
  <si>
    <t>ITRI</t>
  </si>
  <si>
    <t>US4657411066</t>
  </si>
  <si>
    <t>2471950</t>
  </si>
  <si>
    <t>247195</t>
  </si>
  <si>
    <t>INCY-US</t>
  </si>
  <si>
    <t>Incyte Corporation</t>
  </si>
  <si>
    <t>INCY</t>
  </si>
  <si>
    <t>US45337C1027</t>
  </si>
  <si>
    <t>2472759</t>
  </si>
  <si>
    <t>247275</t>
  </si>
  <si>
    <t>ITG-US</t>
  </si>
  <si>
    <t>Investment Technology Group, Inc.</t>
  </si>
  <si>
    <t>Investment Technology Group Inc.</t>
  </si>
  <si>
    <t>ITG</t>
  </si>
  <si>
    <t>US46145F1057</t>
  </si>
  <si>
    <t>2473138</t>
  </si>
  <si>
    <t>247313</t>
  </si>
  <si>
    <t>RYN-US</t>
  </si>
  <si>
    <t>Rayonier Inc.</t>
  </si>
  <si>
    <t>RYN</t>
  </si>
  <si>
    <t>US7549071030</t>
  </si>
  <si>
    <t>2474164</t>
  </si>
  <si>
    <t>247416</t>
  </si>
  <si>
    <t>EME-US</t>
  </si>
  <si>
    <t>EMCOR Group, Inc.</t>
  </si>
  <si>
    <t>EMCOR Group Inc.</t>
  </si>
  <si>
    <t>EME</t>
  </si>
  <si>
    <t>US29084Q1004</t>
  </si>
  <si>
    <t>2475833</t>
  </si>
  <si>
    <t>247583</t>
  </si>
  <si>
    <t>JNJ-US</t>
  </si>
  <si>
    <t>Johnson &amp; Johnson</t>
  </si>
  <si>
    <t>JNJ</t>
  </si>
  <si>
    <t>US4781601046</t>
  </si>
  <si>
    <t>2476193</t>
  </si>
  <si>
    <t>247619</t>
  </si>
  <si>
    <t>HIG-US</t>
  </si>
  <si>
    <t>Hartford Financial Services Group, Inc.</t>
  </si>
  <si>
    <t>The Hartford Financial Services Group Inc.</t>
  </si>
  <si>
    <t>HIG</t>
  </si>
  <si>
    <t>US4165151048</t>
  </si>
  <si>
    <t>2478144</t>
  </si>
  <si>
    <t>247814</t>
  </si>
  <si>
    <t>ISCA-US</t>
  </si>
  <si>
    <t>International Speedway Corporation Class A</t>
  </si>
  <si>
    <t>International Speedway Corporation</t>
  </si>
  <si>
    <t>ISCA</t>
  </si>
  <si>
    <t>US4603352018</t>
  </si>
  <si>
    <t>2480138</t>
  </si>
  <si>
    <t>248013</t>
  </si>
  <si>
    <t>KLAC-US</t>
  </si>
  <si>
    <t>KLA-Tencor Corporation</t>
  </si>
  <si>
    <t>KLAC</t>
  </si>
  <si>
    <t>US4824801009</t>
  </si>
  <si>
    <t>2480677</t>
  </si>
  <si>
    <t>248067</t>
  </si>
  <si>
    <t>DVN-US</t>
  </si>
  <si>
    <t>Devon Energy Corporation</t>
  </si>
  <si>
    <t>DVN</t>
  </si>
  <si>
    <t>US25179M1036</t>
  </si>
  <si>
    <t>2483706</t>
  </si>
  <si>
    <t>248370</t>
  </si>
  <si>
    <t>GXP-US</t>
  </si>
  <si>
    <t>Great Plains Energy Incorporated</t>
  </si>
  <si>
    <t>GXP</t>
  </si>
  <si>
    <t>US3911641005</t>
  </si>
  <si>
    <t>2484000</t>
  </si>
  <si>
    <t>248400</t>
  </si>
  <si>
    <t>WR-US</t>
  </si>
  <si>
    <t>Westar Energy, Inc.</t>
  </si>
  <si>
    <t>Westar Energy Inc.</t>
  </si>
  <si>
    <t>WR</t>
  </si>
  <si>
    <t>US95709T1007</t>
  </si>
  <si>
    <t>2485070</t>
  </si>
  <si>
    <t>248507</t>
  </si>
  <si>
    <t>KBH-US</t>
  </si>
  <si>
    <t>KB Home</t>
  </si>
  <si>
    <t>KBH</t>
  </si>
  <si>
    <t>US48666K1097</t>
  </si>
  <si>
    <t>2486813</t>
  </si>
  <si>
    <t>248681</t>
  </si>
  <si>
    <t>K-US</t>
  </si>
  <si>
    <t>Kellogg Company</t>
  </si>
  <si>
    <t>K</t>
  </si>
  <si>
    <t>US4878361082</t>
  </si>
  <si>
    <t>2487407</t>
  </si>
  <si>
    <t>248740</t>
  </si>
  <si>
    <t>EWBC-US</t>
  </si>
  <si>
    <t>East West Bancorp, Inc.</t>
  </si>
  <si>
    <t>East West Bancorp Inc.</t>
  </si>
  <si>
    <t>EWBC</t>
  </si>
  <si>
    <t>US27579R1041</t>
  </si>
  <si>
    <t>2488121</t>
  </si>
  <si>
    <t>248812</t>
  </si>
  <si>
    <t>KMT-US</t>
  </si>
  <si>
    <t>Kennametal Inc.</t>
  </si>
  <si>
    <t>KMT</t>
  </si>
  <si>
    <t>US4891701009</t>
  </si>
  <si>
    <t>2489094</t>
  </si>
  <si>
    <t>248909</t>
  </si>
  <si>
    <t>IM-US</t>
  </si>
  <si>
    <t>Ingram Micro Inc. Class A</t>
  </si>
  <si>
    <t>Ingram Micro Inc.</t>
  </si>
  <si>
    <t>IM</t>
  </si>
  <si>
    <t>US4571531049</t>
  </si>
  <si>
    <t>2490911</t>
  </si>
  <si>
    <t>249091</t>
  </si>
  <si>
    <t>KEY-US</t>
  </si>
  <si>
    <t>KeyCorp</t>
  </si>
  <si>
    <t>KEY</t>
  </si>
  <si>
    <t>US4932671088</t>
  </si>
  <si>
    <t>2491594</t>
  </si>
  <si>
    <t>249159</t>
  </si>
  <si>
    <t>KIM-US</t>
  </si>
  <si>
    <t>Kimco Realty Corporation</t>
  </si>
  <si>
    <t>KIM</t>
  </si>
  <si>
    <t>US49446R1095</t>
  </si>
  <si>
    <t>2491839</t>
  </si>
  <si>
    <t>249183</t>
  </si>
  <si>
    <t>KMB-US</t>
  </si>
  <si>
    <t>Kimberly-Clark Corporation</t>
  </si>
  <si>
    <t>KMB</t>
  </si>
  <si>
    <t>US4943681035</t>
  </si>
  <si>
    <t>2493534</t>
  </si>
  <si>
    <t>249353</t>
  </si>
  <si>
    <t>KEX-US</t>
  </si>
  <si>
    <t>Kirby Corporation</t>
  </si>
  <si>
    <t>KEX</t>
  </si>
  <si>
    <t>US4972661064</t>
  </si>
  <si>
    <t>2494504</t>
  </si>
  <si>
    <t>249450</t>
  </si>
  <si>
    <t>BLK-US</t>
  </si>
  <si>
    <t>BlackRock, Inc.</t>
  </si>
  <si>
    <t>BlackRock Inc.</t>
  </si>
  <si>
    <t>BLK</t>
  </si>
  <si>
    <t>US09247X1019</t>
  </si>
  <si>
    <t>2496113</t>
  </si>
  <si>
    <t>249611</t>
  </si>
  <si>
    <t>KSS-US</t>
  </si>
  <si>
    <t>Kohl's Corporation</t>
  </si>
  <si>
    <t>KSS</t>
  </si>
  <si>
    <t>US5002551043</t>
  </si>
  <si>
    <t>2497406</t>
  </si>
  <si>
    <t>249740</t>
  </si>
  <si>
    <t>KR-US</t>
  </si>
  <si>
    <t>Kroger Co.</t>
  </si>
  <si>
    <t>The Kroger Co.</t>
  </si>
  <si>
    <t>KR</t>
  </si>
  <si>
    <t>US5010441013</t>
  </si>
  <si>
    <t>2501631</t>
  </si>
  <si>
    <t>250163</t>
  </si>
  <si>
    <t>SNH-US</t>
  </si>
  <si>
    <t>Senior Housing Properties Trust</t>
  </si>
  <si>
    <t>SNH</t>
  </si>
  <si>
    <t>US81721M1099</t>
  </si>
  <si>
    <t>2502247</t>
  </si>
  <si>
    <t>250224</t>
  </si>
  <si>
    <t>LRCX-US</t>
  </si>
  <si>
    <t>Lam Research Corporation</t>
  </si>
  <si>
    <t>LRCX</t>
  </si>
  <si>
    <t>US5128071082</t>
  </si>
  <si>
    <t>2503994</t>
  </si>
  <si>
    <t>250399</t>
  </si>
  <si>
    <t>LSTR-US</t>
  </si>
  <si>
    <t>Landstar System, Inc.</t>
  </si>
  <si>
    <t>Landstar System Inc.</t>
  </si>
  <si>
    <t>LSTR</t>
  </si>
  <si>
    <t>US5150981018</t>
  </si>
  <si>
    <t>2504566</t>
  </si>
  <si>
    <t>250456</t>
  </si>
  <si>
    <t>PKG-US</t>
  </si>
  <si>
    <t>Packaging Corporation of America</t>
  </si>
  <si>
    <t>US6951561090</t>
  </si>
  <si>
    <t>2507457</t>
  </si>
  <si>
    <t>250745</t>
  </si>
  <si>
    <t>AKAM-US</t>
  </si>
  <si>
    <t>Akamai Technologies, Inc.</t>
  </si>
  <si>
    <t>Akamai Technologies Inc.</t>
  </si>
  <si>
    <t>AKAM</t>
  </si>
  <si>
    <t>US00971T1016</t>
  </si>
  <si>
    <t>2510615</t>
  </si>
  <si>
    <t>251061</t>
  </si>
  <si>
    <t>LM-US</t>
  </si>
  <si>
    <t>Legg Mason, Inc.</t>
  </si>
  <si>
    <t>Legg Mason Inc.</t>
  </si>
  <si>
    <t>LM</t>
  </si>
  <si>
    <t>US5249011058</t>
  </si>
  <si>
    <t>2510682</t>
  </si>
  <si>
    <t>251068</t>
  </si>
  <si>
    <t>LEG-US</t>
  </si>
  <si>
    <t>Leggett &amp; Platt, Incorporated</t>
  </si>
  <si>
    <t>Leggett &amp; Platt Incorporated</t>
  </si>
  <si>
    <t>LEG</t>
  </si>
  <si>
    <t>US5246601075</t>
  </si>
  <si>
    <t>2511908</t>
  </si>
  <si>
    <t>251190</t>
  </si>
  <si>
    <t>LXK-US</t>
  </si>
  <si>
    <t>Lexmark International, Inc. Class A</t>
  </si>
  <si>
    <t>Lexmark International Inc.</t>
  </si>
  <si>
    <t>US5297711070</t>
  </si>
  <si>
    <t>2511920</t>
  </si>
  <si>
    <t>251192</t>
  </si>
  <si>
    <t>LEN-US</t>
  </si>
  <si>
    <t>Lennar Corporation Class A</t>
  </si>
  <si>
    <t>Lennar Corp.</t>
  </si>
  <si>
    <t>LEN</t>
  </si>
  <si>
    <t>US5260571048</t>
  </si>
  <si>
    <t>2512600</t>
  </si>
  <si>
    <t>251260</t>
  </si>
  <si>
    <t>TEN-US</t>
  </si>
  <si>
    <t>Tenneco Inc.</t>
  </si>
  <si>
    <t>TEN</t>
  </si>
  <si>
    <t>US8803491054</t>
  </si>
  <si>
    <t>2513012</t>
  </si>
  <si>
    <t>251301</t>
  </si>
  <si>
    <t>LUK-US</t>
  </si>
  <si>
    <t>Leucadia National Corporation</t>
  </si>
  <si>
    <t>LUK</t>
  </si>
  <si>
    <t>US5272881047</t>
  </si>
  <si>
    <t>2513681</t>
  </si>
  <si>
    <t>251368</t>
  </si>
  <si>
    <t>LPT-US</t>
  </si>
  <si>
    <t>Liberty Property Trust</t>
  </si>
  <si>
    <t>LPT</t>
  </si>
  <si>
    <t>US5311721048</t>
  </si>
  <si>
    <t>2516152</t>
  </si>
  <si>
    <t>251615</t>
  </si>
  <si>
    <t>LLY-US</t>
  </si>
  <si>
    <t>Eli Lilly and Company</t>
  </si>
  <si>
    <t>Eli Lilly &amp; Co.</t>
  </si>
  <si>
    <t>LLY</t>
  </si>
  <si>
    <t>US5324571083</t>
  </si>
  <si>
    <t>2516378</t>
  </si>
  <si>
    <t>251637</t>
  </si>
  <si>
    <t>LNC-US</t>
  </si>
  <si>
    <t>Lincoln National Corporation</t>
  </si>
  <si>
    <t>LNC</t>
  </si>
  <si>
    <t>US5341871094</t>
  </si>
  <si>
    <t>2516839</t>
  </si>
  <si>
    <t>251683</t>
  </si>
  <si>
    <t>LLTC-US</t>
  </si>
  <si>
    <t>Linear Technology Corporation</t>
  </si>
  <si>
    <t>Linear Technology Corp.</t>
  </si>
  <si>
    <t>US5356781063</t>
  </si>
  <si>
    <t>2516851</t>
  </si>
  <si>
    <t>251685</t>
  </si>
  <si>
    <t>LECO-US</t>
  </si>
  <si>
    <t>Lincoln Electric Holdings, Inc.</t>
  </si>
  <si>
    <t>Lincoln Electric Holdings Inc.</t>
  </si>
  <si>
    <t>LECO</t>
  </si>
  <si>
    <t>US5339001068</t>
  </si>
  <si>
    <t>2517382</t>
  </si>
  <si>
    <t>251738</t>
  </si>
  <si>
    <t>UPS-US</t>
  </si>
  <si>
    <t>United Parcel Service, Inc. Class B</t>
  </si>
  <si>
    <t>United Parcel Service Inc.</t>
  </si>
  <si>
    <t>UPS</t>
  </si>
  <si>
    <t>US9113121068</t>
  </si>
  <si>
    <t>2518954</t>
  </si>
  <si>
    <t>251895</t>
  </si>
  <si>
    <t>BDN-US</t>
  </si>
  <si>
    <t>Brandywine Realty Trust</t>
  </si>
  <si>
    <t>BDN</t>
  </si>
  <si>
    <t>US1053682035</t>
  </si>
  <si>
    <t>2520153</t>
  </si>
  <si>
    <t>252015</t>
  </si>
  <si>
    <t>A-US</t>
  </si>
  <si>
    <t>Agilent Technologies, Inc.</t>
  </si>
  <si>
    <t>Agilent Technologies Inc.</t>
  </si>
  <si>
    <t>A</t>
  </si>
  <si>
    <t>US00846U1016</t>
  </si>
  <si>
    <t>L</t>
  </si>
  <si>
    <t>2522096</t>
  </si>
  <si>
    <t>252209</t>
  </si>
  <si>
    <t>LMT-US</t>
  </si>
  <si>
    <t>Lockheed Martin Corporation</t>
  </si>
  <si>
    <t>LMT</t>
  </si>
  <si>
    <t>US5398301094</t>
  </si>
  <si>
    <t>2523022</t>
  </si>
  <si>
    <t>252302</t>
  </si>
  <si>
    <t>L-US</t>
  </si>
  <si>
    <t>Loews Corporation</t>
  </si>
  <si>
    <t>US5404241086</t>
  </si>
  <si>
    <t>2523044</t>
  </si>
  <si>
    <t>252304</t>
  </si>
  <si>
    <t>CCL-US</t>
  </si>
  <si>
    <t>Carnival Corporation</t>
  </si>
  <si>
    <t>CCL</t>
  </si>
  <si>
    <t>PA1436583006</t>
  </si>
  <si>
    <t>2523334</t>
  </si>
  <si>
    <t>252333</t>
  </si>
  <si>
    <t>RRC-US</t>
  </si>
  <si>
    <t>Range Resources Corporation</t>
  </si>
  <si>
    <t>RRC</t>
  </si>
  <si>
    <t>US75281A1097</t>
  </si>
  <si>
    <t>2526117</t>
  </si>
  <si>
    <t>252611</t>
  </si>
  <si>
    <t>ATI-US</t>
  </si>
  <si>
    <t>Allegheny Technologies Incorporated</t>
  </si>
  <si>
    <t>ATI</t>
  </si>
  <si>
    <t>US01741R1023</t>
  </si>
  <si>
    <t>2536763</t>
  </si>
  <si>
    <t>253676</t>
  </si>
  <si>
    <t>LOW-US</t>
  </si>
  <si>
    <t>Lowe's Companies, Inc.</t>
  </si>
  <si>
    <t>Lowe's Companies Inc.</t>
  </si>
  <si>
    <t>LOW</t>
  </si>
  <si>
    <t>US5486611073</t>
  </si>
  <si>
    <t>2542049</t>
  </si>
  <si>
    <t>254204</t>
  </si>
  <si>
    <t>D-US</t>
  </si>
  <si>
    <t>Dominion Energy Inc</t>
  </si>
  <si>
    <t>Dominion Energy Inc.</t>
  </si>
  <si>
    <t>D</t>
  </si>
  <si>
    <t>US25746U1097</t>
  </si>
  <si>
    <t>2543967</t>
  </si>
  <si>
    <t>254396</t>
  </si>
  <si>
    <t>MAC-US</t>
  </si>
  <si>
    <t>Macerich Company</t>
  </si>
  <si>
    <t>MAC</t>
  </si>
  <si>
    <t>US5543821012</t>
  </si>
  <si>
    <t>2545844</t>
  </si>
  <si>
    <t>254584</t>
  </si>
  <si>
    <t>SCG-US</t>
  </si>
  <si>
    <t>SCANA Corporation</t>
  </si>
  <si>
    <t>SCG</t>
  </si>
  <si>
    <t>US80589M1027</t>
  </si>
  <si>
    <t>2547044</t>
  </si>
  <si>
    <t>254704</t>
  </si>
  <si>
    <t>MBI-US</t>
  </si>
  <si>
    <t>MBIA Inc.</t>
  </si>
  <si>
    <t>MBI</t>
  </si>
  <si>
    <t>US55262C1009</t>
  </si>
  <si>
    <t>2547323</t>
  </si>
  <si>
    <t>254732</t>
  </si>
  <si>
    <t>MDU-US</t>
  </si>
  <si>
    <t>MDU Resources Group, Inc.</t>
  </si>
  <si>
    <t>MDU Resources Group Inc.</t>
  </si>
  <si>
    <t>MDU</t>
  </si>
  <si>
    <t>US5526901096</t>
  </si>
  <si>
    <t>2547419</t>
  </si>
  <si>
    <t>254741</t>
  </si>
  <si>
    <t>MGM-US</t>
  </si>
  <si>
    <t>MGM Resorts International</t>
  </si>
  <si>
    <t>MGM</t>
  </si>
  <si>
    <t>US5529531015</t>
  </si>
  <si>
    <t>2550161</t>
  </si>
  <si>
    <t>255016</t>
  </si>
  <si>
    <t>MKC-US</t>
  </si>
  <si>
    <t>McCormick &amp; Company, Incorporated</t>
  </si>
  <si>
    <t>McCormick &amp; Company Incorporated</t>
  </si>
  <si>
    <t>MKC</t>
  </si>
  <si>
    <t>US5797802064</t>
  </si>
  <si>
    <t>2550310</t>
  </si>
  <si>
    <t>255031</t>
  </si>
  <si>
    <t>MDR-US</t>
  </si>
  <si>
    <t>McDermott International, Inc.</t>
  </si>
  <si>
    <t>McDermott International Inc.</t>
  </si>
  <si>
    <t>MDR</t>
  </si>
  <si>
    <t>PA5800371096</t>
  </si>
  <si>
    <t>2550707</t>
  </si>
  <si>
    <t>255070</t>
  </si>
  <si>
    <t>MCD-US</t>
  </si>
  <si>
    <t>McDonald's Corporation</t>
  </si>
  <si>
    <t>McDonald's Corp.</t>
  </si>
  <si>
    <t>MCD</t>
  </si>
  <si>
    <t>US5801351017</t>
  </si>
  <si>
    <t>2551959</t>
  </si>
  <si>
    <t>255195</t>
  </si>
  <si>
    <t>ISIL-US</t>
  </si>
  <si>
    <t>Intersil Corporation Class A</t>
  </si>
  <si>
    <t>Intersil Corporation</t>
  </si>
  <si>
    <t>US46069S1096</t>
  </si>
  <si>
    <t>2561204</t>
  </si>
  <si>
    <t>256120</t>
  </si>
  <si>
    <t>MDC-US</t>
  </si>
  <si>
    <t>M.D.C. Holdings, Inc.</t>
  </si>
  <si>
    <t>M.D.C. Holdings Inc.</t>
  </si>
  <si>
    <t>MDC</t>
  </si>
  <si>
    <t>US5526761086</t>
  </si>
  <si>
    <t>2562047</t>
  </si>
  <si>
    <t>BDFCGV</t>
  </si>
  <si>
    <t>MTW-US</t>
  </si>
  <si>
    <t>Manitowoc Company, Inc.</t>
  </si>
  <si>
    <t>The Manitowoc Company Inc.</t>
  </si>
  <si>
    <t>MTW</t>
  </si>
  <si>
    <t>US5635711089</t>
  </si>
  <si>
    <t>2562490</t>
  </si>
  <si>
    <t>256249</t>
  </si>
  <si>
    <t>MAN-US</t>
  </si>
  <si>
    <t>ManpowerGroup Inc.</t>
  </si>
  <si>
    <t>MAN</t>
  </si>
  <si>
    <t>US56418H1005</t>
  </si>
  <si>
    <t>2566436</t>
  </si>
  <si>
    <t>256643</t>
  </si>
  <si>
    <t>MKL-US</t>
  </si>
  <si>
    <t>Markel Corporation</t>
  </si>
  <si>
    <t>MKL</t>
  </si>
  <si>
    <t>US5705351048</t>
  </si>
  <si>
    <t>2567116</t>
  </si>
  <si>
    <t>256711</t>
  </si>
  <si>
    <t>EW-US</t>
  </si>
  <si>
    <t>Edwards Lifesciences Corporation</t>
  </si>
  <si>
    <t>EW</t>
  </si>
  <si>
    <t>US28176E1082</t>
  </si>
  <si>
    <t>2567503</t>
  </si>
  <si>
    <t>256750</t>
  </si>
  <si>
    <t>HST-US</t>
  </si>
  <si>
    <t>Host Hotels &amp; Resorts, Inc.</t>
  </si>
  <si>
    <t>Host Hotels &amp; Resorts Inc.</t>
  </si>
  <si>
    <t>HST</t>
  </si>
  <si>
    <t>US44107P1049</t>
  </si>
  <si>
    <t>2567655</t>
  </si>
  <si>
    <t>256765</t>
  </si>
  <si>
    <t>MSM-US</t>
  </si>
  <si>
    <t>MSC Industrial Direct Co., Inc. Class A</t>
  </si>
  <si>
    <t>MSC Industrial Direct Co. Inc.</t>
  </si>
  <si>
    <t>MSM</t>
  </si>
  <si>
    <t>US5535301064</t>
  </si>
  <si>
    <t>2567741</t>
  </si>
  <si>
    <t>256774</t>
  </si>
  <si>
    <t>MMC-US</t>
  </si>
  <si>
    <t>Marsh &amp; McLennan Companies, Inc.</t>
  </si>
  <si>
    <t>Marsh &amp; McLennan Companies Inc.</t>
  </si>
  <si>
    <t>MMC</t>
  </si>
  <si>
    <t>US5717481023</t>
  </si>
  <si>
    <t>2568131</t>
  </si>
  <si>
    <t>256813</t>
  </si>
  <si>
    <t>SLAB-US</t>
  </si>
  <si>
    <t>Silicon Laboratories Inc.</t>
  </si>
  <si>
    <t>SLAB</t>
  </si>
  <si>
    <t>US8269191024</t>
  </si>
  <si>
    <t>Dell EMC</t>
  </si>
  <si>
    <t>2570200</t>
  </si>
  <si>
    <t>257020</t>
  </si>
  <si>
    <t>MAS-US</t>
  </si>
  <si>
    <t>Masco Corporation</t>
  </si>
  <si>
    <t>MAS</t>
  </si>
  <si>
    <t>US5745991068</t>
  </si>
  <si>
    <t>2572079</t>
  </si>
  <si>
    <t>257207</t>
  </si>
  <si>
    <t>MLM-US</t>
  </si>
  <si>
    <t>Martin Marietta Materials, Inc.</t>
  </si>
  <si>
    <t>Martin Marietta Materials Inc.</t>
  </si>
  <si>
    <t>MLM</t>
  </si>
  <si>
    <t>US5732841060</t>
  </si>
  <si>
    <t>2572303</t>
  </si>
  <si>
    <t>257230</t>
  </si>
  <si>
    <t>MAT-US</t>
  </si>
  <si>
    <t>Mattel, Inc.</t>
  </si>
  <si>
    <t>Mattel Inc.</t>
  </si>
  <si>
    <t>MAT</t>
  </si>
  <si>
    <t>US5770811025</t>
  </si>
  <si>
    <t>2572949</t>
  </si>
  <si>
    <t>257294</t>
  </si>
  <si>
    <t>VVC-US</t>
  </si>
  <si>
    <t>Vectren Corporation</t>
  </si>
  <si>
    <t>VVC</t>
  </si>
  <si>
    <t>US92240G1013</t>
  </si>
  <si>
    <t>2573209</t>
  </si>
  <si>
    <t>257320</t>
  </si>
  <si>
    <t>MET-US</t>
  </si>
  <si>
    <t>MetLife, Inc.</t>
  </si>
  <si>
    <t>MetLife Inc.</t>
  </si>
  <si>
    <t>MET</t>
  </si>
  <si>
    <t>US59156R1086</t>
  </si>
  <si>
    <t>2573760</t>
  </si>
  <si>
    <t>257376</t>
  </si>
  <si>
    <t>MXIM-US</t>
  </si>
  <si>
    <t>Maxim Integrated Products, Inc.</t>
  </si>
  <si>
    <t>Maxim Integrated Products Inc.</t>
  </si>
  <si>
    <t>MXIM</t>
  </si>
  <si>
    <t>US57772K1016</t>
  </si>
  <si>
    <t>2575818</t>
  </si>
  <si>
    <t>257581</t>
  </si>
  <si>
    <t>ATVI-US</t>
  </si>
  <si>
    <t>Activision Blizzard, Inc.</t>
  </si>
  <si>
    <t>Activision Blizzard Inc.</t>
  </si>
  <si>
    <t>ATVI</t>
  </si>
  <si>
    <t>US00507V1098</t>
  </si>
  <si>
    <t>2577609</t>
  </si>
  <si>
    <t>257760</t>
  </si>
  <si>
    <t>CVS-US</t>
  </si>
  <si>
    <t>CVS Health Corporation</t>
  </si>
  <si>
    <t>CVS</t>
  </si>
  <si>
    <t>US1266501006</t>
  </si>
  <si>
    <t>2578464</t>
  </si>
  <si>
    <t>257846</t>
  </si>
  <si>
    <t>MCY-US</t>
  </si>
  <si>
    <t>Mercury General Corporation</t>
  </si>
  <si>
    <t>MCY</t>
  </si>
  <si>
    <t>US5894001008</t>
  </si>
  <si>
    <t>2578516</t>
  </si>
  <si>
    <t>257851</t>
  </si>
  <si>
    <t>MDP-US</t>
  </si>
  <si>
    <t>Meredith Corporation</t>
  </si>
  <si>
    <t>MDP</t>
  </si>
  <si>
    <t>US5894331017</t>
  </si>
  <si>
    <t>2583576</t>
  </si>
  <si>
    <t>258357</t>
  </si>
  <si>
    <t>ON-US</t>
  </si>
  <si>
    <t>ON Semiconductor Corporation</t>
  </si>
  <si>
    <t>ON</t>
  </si>
  <si>
    <t>US6821891057</t>
  </si>
  <si>
    <t>2586122</t>
  </si>
  <si>
    <t>258612</t>
  </si>
  <si>
    <t>LH-US</t>
  </si>
  <si>
    <t>Laboratory Corporation of America Holdings</t>
  </si>
  <si>
    <t>LH</t>
  </si>
  <si>
    <t>US50540R4092</t>
  </si>
  <si>
    <t>2588173</t>
  </si>
  <si>
    <t>258817</t>
  </si>
  <si>
    <t>MSFT-US</t>
  </si>
  <si>
    <t>Microsoft Corporation</t>
  </si>
  <si>
    <t>MSFT</t>
  </si>
  <si>
    <t>US5949181045</t>
  </si>
  <si>
    <t>2588184</t>
  </si>
  <si>
    <t>258818</t>
  </si>
  <si>
    <t>MU-US</t>
  </si>
  <si>
    <t>Micron Technology, Inc.</t>
  </si>
  <si>
    <t>Micron Technology Inc.</t>
  </si>
  <si>
    <t>MU</t>
  </si>
  <si>
    <t>US5951121038</t>
  </si>
  <si>
    <t>2592174</t>
  </si>
  <si>
    <t>259217</t>
  </si>
  <si>
    <t>MCHP-US</t>
  </si>
  <si>
    <t>Microchip Technology Incorporated</t>
  </si>
  <si>
    <t>MCHP</t>
  </si>
  <si>
    <t>US5950171042</t>
  </si>
  <si>
    <t>2594222</t>
  </si>
  <si>
    <t>259422</t>
  </si>
  <si>
    <t>MLHR-US</t>
  </si>
  <si>
    <t>Herman Miller, Inc.</t>
  </si>
  <si>
    <t>Herman Miller Inc.</t>
  </si>
  <si>
    <t>MLHR</t>
  </si>
  <si>
    <t>US6005441000</t>
  </si>
  <si>
    <t>2595708</t>
  </si>
  <si>
    <t>259570</t>
  </si>
  <si>
    <t>MMM-US</t>
  </si>
  <si>
    <t>3M Company</t>
  </si>
  <si>
    <t>MMM</t>
  </si>
  <si>
    <t>US88579Y1010</t>
  </si>
  <si>
    <t>2598699</t>
  </si>
  <si>
    <t>259869</t>
  </si>
  <si>
    <t>MHK-US</t>
  </si>
  <si>
    <t>Mohawk Industries, Inc.</t>
  </si>
  <si>
    <t>Mohawk Industries Inc.</t>
  </si>
  <si>
    <t>MHK</t>
  </si>
  <si>
    <t>US6081901042</t>
  </si>
  <si>
    <t>2600248</t>
  </si>
  <si>
    <t>260024</t>
  </si>
  <si>
    <t>CYH-US</t>
  </si>
  <si>
    <t>Community Health Systems, Inc.</t>
  </si>
  <si>
    <t>Community Health Systems Inc.</t>
  </si>
  <si>
    <t>CYH</t>
  </si>
  <si>
    <t>US2036681086</t>
  </si>
  <si>
    <t>2604336</t>
  </si>
  <si>
    <t>260433</t>
  </si>
  <si>
    <t>CRL-US</t>
  </si>
  <si>
    <t>Charles River Laboratories International, Inc.</t>
  </si>
  <si>
    <t>Charles River Laboratories International Inc.</t>
  </si>
  <si>
    <t>CRL</t>
  </si>
  <si>
    <t>US1598641074</t>
  </si>
  <si>
    <t>2605555</t>
  </si>
  <si>
    <t>260555</t>
  </si>
  <si>
    <t>JNS-US</t>
  </si>
  <si>
    <t>Janus Capital Group Inc.</t>
  </si>
  <si>
    <t>JNS</t>
  </si>
  <si>
    <t>US47102X1054</t>
  </si>
  <si>
    <t>2607647</t>
  </si>
  <si>
    <t>260764</t>
  </si>
  <si>
    <t>KSU-US</t>
  </si>
  <si>
    <t>Kansas City Southern</t>
  </si>
  <si>
    <t>KSU</t>
  </si>
  <si>
    <t>US4851703029</t>
  </si>
  <si>
    <t>2611206</t>
  </si>
  <si>
    <t>261120</t>
  </si>
  <si>
    <t>MUR-US</t>
  </si>
  <si>
    <t>Murphy Oil Corporation</t>
  </si>
  <si>
    <t>MUR</t>
  </si>
  <si>
    <t>US6267171022</t>
  </si>
  <si>
    <t>2613990</t>
  </si>
  <si>
    <t>261399</t>
  </si>
  <si>
    <t>ILMN-US</t>
  </si>
  <si>
    <t>Illumina, Inc.</t>
  </si>
  <si>
    <t>Illumina Inc.</t>
  </si>
  <si>
    <t>ILMN</t>
  </si>
  <si>
    <t>US4523271090</t>
  </si>
  <si>
    <t>2614153</t>
  </si>
  <si>
    <t>261415</t>
  </si>
  <si>
    <t>MYGN-US</t>
  </si>
  <si>
    <t>Myriad Genetics, Inc.</t>
  </si>
  <si>
    <t>Myriad Genetics Inc.</t>
  </si>
  <si>
    <t>MYGN</t>
  </si>
  <si>
    <t>US62855J1043</t>
  </si>
  <si>
    <t>2614807</t>
  </si>
  <si>
    <t>261480</t>
  </si>
  <si>
    <t>XEL-US</t>
  </si>
  <si>
    <t>Xcel Energy Inc.</t>
  </si>
  <si>
    <t>XEL</t>
  </si>
  <si>
    <t>US98389B1008</t>
  </si>
  <si>
    <t>2615468</t>
  </si>
  <si>
    <t>261546</t>
  </si>
  <si>
    <t>F-US</t>
  </si>
  <si>
    <t>Ford Motor Company</t>
  </si>
  <si>
    <t>Ford Motor Co.</t>
  </si>
  <si>
    <t>F</t>
  </si>
  <si>
    <t>US3453708600</t>
  </si>
  <si>
    <t>2616137</t>
  </si>
  <si>
    <t>261613</t>
  </si>
  <si>
    <t>BRKR-US</t>
  </si>
  <si>
    <t>Bruker Corporation</t>
  </si>
  <si>
    <t>BRKR</t>
  </si>
  <si>
    <t>US1167941087</t>
  </si>
  <si>
    <t>2616870</t>
  </si>
  <si>
    <t>261687</t>
  </si>
  <si>
    <t>NUS-US</t>
  </si>
  <si>
    <t>Nu Skin Enterprises, Inc. Class A</t>
  </si>
  <si>
    <t>Nu Skin Enterprises Inc.</t>
  </si>
  <si>
    <t>NUS</t>
  </si>
  <si>
    <t>US67018T1051</t>
  </si>
  <si>
    <t>2624464</t>
  </si>
  <si>
    <t>262446</t>
  </si>
  <si>
    <t>NAV-US</t>
  </si>
  <si>
    <t>Navistar International Corporation</t>
  </si>
  <si>
    <t>NAV</t>
  </si>
  <si>
    <t>US63934E1082</t>
  </si>
  <si>
    <t>2624486</t>
  </si>
  <si>
    <t>262448</t>
  </si>
  <si>
    <t>NOV-US</t>
  </si>
  <si>
    <t>National Oilwell Varco, Inc.</t>
  </si>
  <si>
    <t>National Oilwell Varco Inc.</t>
  </si>
  <si>
    <t>NOV</t>
  </si>
  <si>
    <t>US6370711011</t>
  </si>
  <si>
    <t>2626103</t>
  </si>
  <si>
    <t>262610</t>
  </si>
  <si>
    <t>NFG-US</t>
  </si>
  <si>
    <t>National Fuel Gas Company</t>
  </si>
  <si>
    <t>NFG</t>
  </si>
  <si>
    <t>US6361801011</t>
  </si>
  <si>
    <t>2630643</t>
  </si>
  <si>
    <t>263064</t>
  </si>
  <si>
    <t>NTAP-US</t>
  </si>
  <si>
    <t>NetApp, Inc.</t>
  </si>
  <si>
    <t>NetApp Inc.</t>
  </si>
  <si>
    <t>NTAP</t>
  </si>
  <si>
    <t>US64110D1046</t>
  </si>
  <si>
    <t>2632003</t>
  </si>
  <si>
    <t>263200</t>
  </si>
  <si>
    <t>NYT-US</t>
  </si>
  <si>
    <t>New York Times Company Class A</t>
  </si>
  <si>
    <t>The New York Times Company</t>
  </si>
  <si>
    <t>NYT</t>
  </si>
  <si>
    <t>US6501111073</t>
  </si>
  <si>
    <t>2632650</t>
  </si>
  <si>
    <t>263265</t>
  </si>
  <si>
    <t>NCR-US</t>
  </si>
  <si>
    <t>NCR Corporation</t>
  </si>
  <si>
    <t>NCR Corp.</t>
  </si>
  <si>
    <t>NCR</t>
  </si>
  <si>
    <t>US62886E1082</t>
  </si>
  <si>
    <t>2634805</t>
  </si>
  <si>
    <t>263480</t>
  </si>
  <si>
    <t>SHLD-US</t>
  </si>
  <si>
    <t>Sears Holdings Corporation</t>
  </si>
  <si>
    <t>SHLD</t>
  </si>
  <si>
    <t>US8123501061</t>
  </si>
  <si>
    <t>2635079</t>
  </si>
  <si>
    <t>263507</t>
  </si>
  <si>
    <t>NFX-US</t>
  </si>
  <si>
    <t>Newfield Exploration Company</t>
  </si>
  <si>
    <t>Newfield Exploration Co.</t>
  </si>
  <si>
    <t>NFX</t>
  </si>
  <si>
    <t>US6512901082</t>
  </si>
  <si>
    <t>2635701</t>
  </si>
  <si>
    <t>263570</t>
  </si>
  <si>
    <t>NWL-US</t>
  </si>
  <si>
    <t>Newell Brands Inc</t>
  </si>
  <si>
    <t>Newell Brands Inc.</t>
  </si>
  <si>
    <t>NWL</t>
  </si>
  <si>
    <t>US6512291062</t>
  </si>
  <si>
    <t>2636254</t>
  </si>
  <si>
    <t>263625</t>
  </si>
  <si>
    <t>DNB-US</t>
  </si>
  <si>
    <t>Dun &amp; Bradstreet Corporation</t>
  </si>
  <si>
    <t>The Dun &amp; Bradstreet Corporation</t>
  </si>
  <si>
    <t>DNB</t>
  </si>
  <si>
    <t>US26483E1001</t>
  </si>
  <si>
    <t>2636607</t>
  </si>
  <si>
    <t>263660</t>
  </si>
  <si>
    <t>NEM-US</t>
  </si>
  <si>
    <t>Newmont Mining Corporation</t>
  </si>
  <si>
    <t>Newmont Mining Corp.</t>
  </si>
  <si>
    <t>NEM</t>
  </si>
  <si>
    <t>US6516391066</t>
  </si>
  <si>
    <t>2637785</t>
  </si>
  <si>
    <t>263778</t>
  </si>
  <si>
    <t>NVR-US</t>
  </si>
  <si>
    <t>NVR, Inc.</t>
  </si>
  <si>
    <t>NVR Inc.</t>
  </si>
  <si>
    <t>NVR</t>
  </si>
  <si>
    <t>US62944T1051</t>
  </si>
  <si>
    <t>2640147</t>
  </si>
  <si>
    <t>264014</t>
  </si>
  <si>
    <t>NKE-US</t>
  </si>
  <si>
    <t>NIKE, Inc. Class B</t>
  </si>
  <si>
    <t>Nike Inc.</t>
  </si>
  <si>
    <t>NKE</t>
  </si>
  <si>
    <t>US6541061031</t>
  </si>
  <si>
    <t>2640761</t>
  </si>
  <si>
    <t>264076</t>
  </si>
  <si>
    <t>NBL-US</t>
  </si>
  <si>
    <t>Noble Energy, Inc.</t>
  </si>
  <si>
    <t>Noble Energy Inc.</t>
  </si>
  <si>
    <t>NBL</t>
  </si>
  <si>
    <t>US6550441058</t>
  </si>
  <si>
    <t>2641827</t>
  </si>
  <si>
    <t>264182</t>
  </si>
  <si>
    <t>JWN-US</t>
  </si>
  <si>
    <t>Nordstrom, Inc.</t>
  </si>
  <si>
    <t>Nordstrom Inc.</t>
  </si>
  <si>
    <t>JWN</t>
  </si>
  <si>
    <t>US6556641008</t>
  </si>
  <si>
    <t>2641838</t>
  </si>
  <si>
    <t>264183</t>
  </si>
  <si>
    <t>NDSN-US</t>
  </si>
  <si>
    <t>Nordson Corporation</t>
  </si>
  <si>
    <t>NDSN</t>
  </si>
  <si>
    <t>US6556631025</t>
  </si>
  <si>
    <t>2641894</t>
  </si>
  <si>
    <t>264189</t>
  </si>
  <si>
    <t>NSC-US</t>
  </si>
  <si>
    <t>Norfolk Southern Corporation</t>
  </si>
  <si>
    <t>NSC</t>
  </si>
  <si>
    <t>US6558441084</t>
  </si>
  <si>
    <t>2645078</t>
  </si>
  <si>
    <t>264507</t>
  </si>
  <si>
    <t>NATI-US</t>
  </si>
  <si>
    <t>National Instruments Corporation</t>
  </si>
  <si>
    <t>NATI</t>
  </si>
  <si>
    <t>US6365181022</t>
  </si>
  <si>
    <t>2645409</t>
  </si>
  <si>
    <t>264540</t>
  </si>
  <si>
    <t>NI-US</t>
  </si>
  <si>
    <t>NiSource Inc</t>
  </si>
  <si>
    <t>NiSource Inc.</t>
  </si>
  <si>
    <t>NI</t>
  </si>
  <si>
    <t>US65473P1057</t>
  </si>
  <si>
    <t>2646015</t>
  </si>
  <si>
    <t>BF09HX</t>
  </si>
  <si>
    <t>TPR-US</t>
  </si>
  <si>
    <t>Tapestry, Inc.</t>
  </si>
  <si>
    <t>Coach Inc.</t>
  </si>
  <si>
    <t>COH</t>
  </si>
  <si>
    <t>US1897541041</t>
  </si>
  <si>
    <t>2648668</t>
  </si>
  <si>
    <t>264866</t>
  </si>
  <si>
    <t>NTRS-US</t>
  </si>
  <si>
    <t>Northern Trust Corporation</t>
  </si>
  <si>
    <t>NTRS</t>
  </si>
  <si>
    <t>US6658591044</t>
  </si>
  <si>
    <t>2648806</t>
  </si>
  <si>
    <t>264880</t>
  </si>
  <si>
    <t>NOC-US</t>
  </si>
  <si>
    <t>Northrop Grumman Corporation</t>
  </si>
  <si>
    <t>NOC</t>
  </si>
  <si>
    <t>US6668071029</t>
  </si>
  <si>
    <t>2649100</t>
  </si>
  <si>
    <t>264910</t>
  </si>
  <si>
    <t>WFC-US</t>
  </si>
  <si>
    <t>Wells Fargo &amp; Company</t>
  </si>
  <si>
    <t>WFC</t>
  </si>
  <si>
    <t>US9497461015</t>
  </si>
  <si>
    <t>2651086</t>
  </si>
  <si>
    <t>265108</t>
  </si>
  <si>
    <t>NUE-US</t>
  </si>
  <si>
    <t>Nucor Corporation</t>
  </si>
  <si>
    <t>NUE</t>
  </si>
  <si>
    <t>US6703461052</t>
  </si>
  <si>
    <t>2654320</t>
  </si>
  <si>
    <t>265432</t>
  </si>
  <si>
    <t>MON-US</t>
  </si>
  <si>
    <t>Monsanto Company</t>
  </si>
  <si>
    <t>Monsanto Co.</t>
  </si>
  <si>
    <t>MON</t>
  </si>
  <si>
    <t>US61166W1018</t>
  </si>
  <si>
    <t>2654364</t>
  </si>
  <si>
    <t>265436</t>
  </si>
  <si>
    <t>LNG-US</t>
  </si>
  <si>
    <t>Cheniere Energy, Inc.</t>
  </si>
  <si>
    <t>Cheniere Energy Inc.</t>
  </si>
  <si>
    <t>LNG</t>
  </si>
  <si>
    <t>US16411R2085</t>
  </si>
  <si>
    <t>2654461</t>
  </si>
  <si>
    <t>265446</t>
  </si>
  <si>
    <t>COF-US</t>
  </si>
  <si>
    <t>Capital One Financial Corporation</t>
  </si>
  <si>
    <t>COF</t>
  </si>
  <si>
    <t>US14040H1059</t>
  </si>
  <si>
    <t>2655408</t>
  </si>
  <si>
    <t>265540</t>
  </si>
  <si>
    <t>OXY-US</t>
  </si>
  <si>
    <t>Occidental Petroleum Corporation</t>
  </si>
  <si>
    <t>OXY</t>
  </si>
  <si>
    <t>US6745991058</t>
  </si>
  <si>
    <t>2655583</t>
  </si>
  <si>
    <t>265558</t>
  </si>
  <si>
    <t>OII-US</t>
  </si>
  <si>
    <t>Oceaneering International, Inc.</t>
  </si>
  <si>
    <t>Oceaneering International Inc.</t>
  </si>
  <si>
    <t>OII</t>
  </si>
  <si>
    <t>US6752321025</t>
  </si>
  <si>
    <t>2655981</t>
  </si>
  <si>
    <t>265598</t>
  </si>
  <si>
    <t>ODP-US</t>
  </si>
  <si>
    <t>Office Depot, Inc.</t>
  </si>
  <si>
    <t>Office Depot Inc.</t>
  </si>
  <si>
    <t>ODP</t>
  </si>
  <si>
    <t>US6762201068</t>
  </si>
  <si>
    <t>2657802</t>
  </si>
  <si>
    <t>265780</t>
  </si>
  <si>
    <t>OGE-US</t>
  </si>
  <si>
    <t>OGE Energy Corp.</t>
  </si>
  <si>
    <t>OGE</t>
  </si>
  <si>
    <t>US6708371033</t>
  </si>
  <si>
    <t>2659109</t>
  </si>
  <si>
    <t>265910</t>
  </si>
  <si>
    <t>ORI-US</t>
  </si>
  <si>
    <t>Old Republic International Corporation</t>
  </si>
  <si>
    <t>ORI</t>
  </si>
  <si>
    <t>US6802231042</t>
  </si>
  <si>
    <t>2661568</t>
  </si>
  <si>
    <t>266156</t>
  </si>
  <si>
    <t>ORCL-US</t>
  </si>
  <si>
    <t>Oracle Corporation</t>
  </si>
  <si>
    <t>ORCL</t>
  </si>
  <si>
    <t>US68389X1054</t>
  </si>
  <si>
    <t>2662862</t>
  </si>
  <si>
    <t>266286</t>
  </si>
  <si>
    <t>OI-US</t>
  </si>
  <si>
    <t>Owens-Illinois, Inc.</t>
  </si>
  <si>
    <t>Owens-Illinois Inc.</t>
  </si>
  <si>
    <t>OI</t>
  </si>
  <si>
    <t>US6907684038</t>
  </si>
  <si>
    <t>2663520</t>
  </si>
  <si>
    <t>266352</t>
  </si>
  <si>
    <t>OSK-US</t>
  </si>
  <si>
    <t>Oshkosh Corp</t>
  </si>
  <si>
    <t>Oshkosh Corporation</t>
  </si>
  <si>
    <t>OSK</t>
  </si>
  <si>
    <t>US6882392011</t>
  </si>
  <si>
    <t>2665861</t>
  </si>
  <si>
    <t>266586</t>
  </si>
  <si>
    <t>PCAR-US</t>
  </si>
  <si>
    <t>PACCAR Inc</t>
  </si>
  <si>
    <t>PCAR</t>
  </si>
  <si>
    <t>US6937181088</t>
  </si>
  <si>
    <t>DB</t>
  </si>
  <si>
    <t>2670519</t>
  </si>
  <si>
    <t>267051</t>
  </si>
  <si>
    <t>EXC-US</t>
  </si>
  <si>
    <t>Exelon Corporation</t>
  </si>
  <si>
    <t>EXC</t>
  </si>
  <si>
    <t>US30161N1019</t>
  </si>
  <si>
    <t>2671501</t>
  </si>
  <si>
    <t>267150</t>
  </si>
  <si>
    <t>PH-US</t>
  </si>
  <si>
    <t>Parker-Hannifin Corporation</t>
  </si>
  <si>
    <t>PH</t>
  </si>
  <si>
    <t>US7010941042</t>
  </si>
  <si>
    <t>2672537</t>
  </si>
  <si>
    <t>267253</t>
  </si>
  <si>
    <t>PTEN-US</t>
  </si>
  <si>
    <t>Patterson-UTI Energy, Inc.</t>
  </si>
  <si>
    <t>Patterson-UTI Energy Inc.</t>
  </si>
  <si>
    <t>PTEN</t>
  </si>
  <si>
    <t>US7034811015</t>
  </si>
  <si>
    <t>2672689</t>
  </si>
  <si>
    <t>267268</t>
  </si>
  <si>
    <t>PDCO-US</t>
  </si>
  <si>
    <t>Patterson Companies, Inc.</t>
  </si>
  <si>
    <t>Patterson Companies Inc.</t>
  </si>
  <si>
    <t>PDCO</t>
  </si>
  <si>
    <t>US7033951036</t>
  </si>
  <si>
    <t>2674458</t>
  </si>
  <si>
    <t>267445</t>
  </si>
  <si>
    <t>PAYX-US</t>
  </si>
  <si>
    <t>Paychex, Inc.</t>
  </si>
  <si>
    <t>Paychex Inc.</t>
  </si>
  <si>
    <t>PAYX</t>
  </si>
  <si>
    <t>US7043261079</t>
  </si>
  <si>
    <t>2677640</t>
  </si>
  <si>
    <t>267764</t>
  </si>
  <si>
    <t>MD-US</t>
  </si>
  <si>
    <t>MEDNAX, Inc.</t>
  </si>
  <si>
    <t>MEDNAX Inc.</t>
  </si>
  <si>
    <t>MD</t>
  </si>
  <si>
    <t>US58502B1061</t>
  </si>
  <si>
    <t>2680303</t>
  </si>
  <si>
    <t>268030</t>
  </si>
  <si>
    <t>JCP-US</t>
  </si>
  <si>
    <t>J. C. Penney Company, Inc.</t>
  </si>
  <si>
    <t>J. C. Penney Company Inc.</t>
  </si>
  <si>
    <t>JCP</t>
  </si>
  <si>
    <t>US7081601061</t>
  </si>
  <si>
    <t>2680905</t>
  </si>
  <si>
    <t>268090</t>
  </si>
  <si>
    <t>PPL-US</t>
  </si>
  <si>
    <t>PPL Corporation</t>
  </si>
  <si>
    <t>PPL</t>
  </si>
  <si>
    <t>US69351T1060</t>
  </si>
  <si>
    <t>2681511</t>
  </si>
  <si>
    <t>268151</t>
  </si>
  <si>
    <t>PEP-US</t>
  </si>
  <si>
    <t>PepsiCo, Inc.</t>
  </si>
  <si>
    <t>Pepsico Inc.</t>
  </si>
  <si>
    <t>PEP</t>
  </si>
  <si>
    <t>US7134481081</t>
  </si>
  <si>
    <t>2682105</t>
  </si>
  <si>
    <t>268210</t>
  </si>
  <si>
    <t>PENN-US</t>
  </si>
  <si>
    <t>Penn National Gaming, Inc.</t>
  </si>
  <si>
    <t>Penn National Gaming Inc.</t>
  </si>
  <si>
    <t>PENN</t>
  </si>
  <si>
    <t>US7075691094</t>
  </si>
  <si>
    <t>2684703</t>
  </si>
  <si>
    <t>268470</t>
  </si>
  <si>
    <t>PFE-US</t>
  </si>
  <si>
    <t>Pfizer Inc.</t>
  </si>
  <si>
    <t>PFE</t>
  </si>
  <si>
    <t>US7170811035</t>
  </si>
  <si>
    <t>2685234</t>
  </si>
  <si>
    <t>268523</t>
  </si>
  <si>
    <t>WTR-US</t>
  </si>
  <si>
    <t>Aqua America, Inc.</t>
  </si>
  <si>
    <t>Aqua America Inc.</t>
  </si>
  <si>
    <t>WTR</t>
  </si>
  <si>
    <t>US03836W1036</t>
  </si>
  <si>
    <t>2685717</t>
  </si>
  <si>
    <t>268571</t>
  </si>
  <si>
    <t>COP-US</t>
  </si>
  <si>
    <t>ConocoPhillips</t>
  </si>
  <si>
    <t>COP</t>
  </si>
  <si>
    <t>US20825C1045</t>
  </si>
  <si>
    <t>2689560</t>
  </si>
  <si>
    <t>268956</t>
  </si>
  <si>
    <t>PCG-US</t>
  </si>
  <si>
    <t>PG&amp;E Corporation</t>
  </si>
  <si>
    <t>PCG</t>
  </si>
  <si>
    <t>US69331C1080</t>
  </si>
  <si>
    <t>2690506</t>
  </si>
  <si>
    <t>269050</t>
  </si>
  <si>
    <t>PBI-US</t>
  </si>
  <si>
    <t>Pitney Bowes Inc.</t>
  </si>
  <si>
    <t>PBI</t>
  </si>
  <si>
    <t>US7244791007</t>
  </si>
  <si>
    <t>2690830</t>
  </si>
  <si>
    <t>269083</t>
  </si>
  <si>
    <t>PXD-US</t>
  </si>
  <si>
    <t>Pioneer Natural Resources Company</t>
  </si>
  <si>
    <t>PXD</t>
  </si>
  <si>
    <t>US7237871071</t>
  </si>
  <si>
    <t>2691305</t>
  </si>
  <si>
    <t>269130</t>
  </si>
  <si>
    <t>BCO-US</t>
  </si>
  <si>
    <t>Brink's Company</t>
  </si>
  <si>
    <t>The Brink's Company</t>
  </si>
  <si>
    <t>BCO</t>
  </si>
  <si>
    <t>US1096961040</t>
  </si>
  <si>
    <t>2692632</t>
  </si>
  <si>
    <t>269263</t>
  </si>
  <si>
    <t>MO-US</t>
  </si>
  <si>
    <t>Altria Group Inc</t>
  </si>
  <si>
    <t>Altria Group Inc.</t>
  </si>
  <si>
    <t>MO</t>
  </si>
  <si>
    <t>US02209S1033</t>
  </si>
  <si>
    <t>2692665</t>
  </si>
  <si>
    <t>269266</t>
  </si>
  <si>
    <t>PNC-US</t>
  </si>
  <si>
    <t>PNC Financial Services Group, Inc.</t>
  </si>
  <si>
    <t>The PNC Financial Services Group Inc.</t>
  </si>
  <si>
    <t>PNC</t>
  </si>
  <si>
    <t>US6934751057</t>
  </si>
  <si>
    <t>2692687</t>
  </si>
  <si>
    <t>269268</t>
  </si>
  <si>
    <t>BRO-US</t>
  </si>
  <si>
    <t>Brown &amp; Brown, Inc.</t>
  </si>
  <si>
    <t>Brown &amp; Brown Inc.</t>
  </si>
  <si>
    <t>BRO</t>
  </si>
  <si>
    <t>US1152361010</t>
  </si>
  <si>
    <t>2692933</t>
  </si>
  <si>
    <t>269293</t>
  </si>
  <si>
    <t>PII-US</t>
  </si>
  <si>
    <t>Polaris Industries Inc.</t>
  </si>
  <si>
    <t>PII</t>
  </si>
  <si>
    <t>US7310681025</t>
  </si>
  <si>
    <t>2695921</t>
  </si>
  <si>
    <t>269592</t>
  </si>
  <si>
    <t>AET-US</t>
  </si>
  <si>
    <t>Aetna Inc.</t>
  </si>
  <si>
    <t>AET</t>
  </si>
  <si>
    <t>US00817Y1082</t>
  </si>
  <si>
    <t>2696838</t>
  </si>
  <si>
    <t>269683</t>
  </si>
  <si>
    <t>FLR-US</t>
  </si>
  <si>
    <t>Fluor Corporation</t>
  </si>
  <si>
    <t>FLR</t>
  </si>
  <si>
    <t>US3434121022</t>
  </si>
  <si>
    <t>2698470</t>
  </si>
  <si>
    <t>269847</t>
  </si>
  <si>
    <t>PPG-US</t>
  </si>
  <si>
    <t>PPG Industries, Inc.</t>
  </si>
  <si>
    <t>PPG Industries Inc.</t>
  </si>
  <si>
    <t>PPG</t>
  </si>
  <si>
    <t>US6935061076</t>
  </si>
  <si>
    <t>2698782</t>
  </si>
  <si>
    <t>269878</t>
  </si>
  <si>
    <t>IPGP-US</t>
  </si>
  <si>
    <t>IPG Photonics Corporation</t>
  </si>
  <si>
    <t>IPGP</t>
  </si>
  <si>
    <t>US44980X1090</t>
  </si>
  <si>
    <t>2699291</t>
  </si>
  <si>
    <t>269929</t>
  </si>
  <si>
    <t>PX-US</t>
  </si>
  <si>
    <t>Praxair, Inc.</t>
  </si>
  <si>
    <t>Praxair Inc.</t>
  </si>
  <si>
    <t>PX</t>
  </si>
  <si>
    <t>US74005P1049</t>
  </si>
  <si>
    <t>2699514</t>
  </si>
  <si>
    <t>269951</t>
  </si>
  <si>
    <t>PCP-US</t>
  </si>
  <si>
    <t>Precision Castparts Corp.</t>
  </si>
  <si>
    <t>US7401891053</t>
  </si>
  <si>
    <t>2701271</t>
  </si>
  <si>
    <t>270127</t>
  </si>
  <si>
    <t>COST-US</t>
  </si>
  <si>
    <t>Costco Wholesale Corporation</t>
  </si>
  <si>
    <t>COST</t>
  </si>
  <si>
    <t>US22160K1051</t>
  </si>
  <si>
    <t>2702337</t>
  </si>
  <si>
    <t>270233</t>
  </si>
  <si>
    <t>TROW-US</t>
  </si>
  <si>
    <t>T. Rowe Price Group</t>
  </si>
  <si>
    <t>T. Rowe Price Group Inc.</t>
  </si>
  <si>
    <t>TROW</t>
  </si>
  <si>
    <t>US74144T1088</t>
  </si>
  <si>
    <t>2702791</t>
  </si>
  <si>
    <t>270279</t>
  </si>
  <si>
    <t>DGX-US</t>
  </si>
  <si>
    <t>Quest Diagnostics Incorporated</t>
  </si>
  <si>
    <t>DGX</t>
  </si>
  <si>
    <t>US74834L1008</t>
  </si>
  <si>
    <t>2704407</t>
  </si>
  <si>
    <t>270440</t>
  </si>
  <si>
    <t>PG-US</t>
  </si>
  <si>
    <t>Procter &amp; Gamble Company</t>
  </si>
  <si>
    <t>The Procter &amp; Gamble Company</t>
  </si>
  <si>
    <t>PG</t>
  </si>
  <si>
    <t>US7427181091</t>
  </si>
  <si>
    <t>2705024</t>
  </si>
  <si>
    <t>270502</t>
  </si>
  <si>
    <t>PGR-US</t>
  </si>
  <si>
    <t>Progressive Corporation</t>
  </si>
  <si>
    <t>The Progressive Corporation</t>
  </si>
  <si>
    <t>PGR</t>
  </si>
  <si>
    <t>US7433151039</t>
  </si>
  <si>
    <t>2707677</t>
  </si>
  <si>
    <t>270767</t>
  </si>
  <si>
    <t>PEG-US</t>
  </si>
  <si>
    <t>Public Service Enterprise Group Inc</t>
  </si>
  <si>
    <t>Public Service Enterprise Group Incorporated</t>
  </si>
  <si>
    <t>PEG</t>
  </si>
  <si>
    <t>US7445731067</t>
  </si>
  <si>
    <t>2708841</t>
  </si>
  <si>
    <t>270884</t>
  </si>
  <si>
    <t>PHM-US</t>
  </si>
  <si>
    <t>PulteGroup, Inc.</t>
  </si>
  <si>
    <t>PulteGroup Inc.</t>
  </si>
  <si>
    <t>PHM</t>
  </si>
  <si>
    <t>US7458671010</t>
  </si>
  <si>
    <t>2710039</t>
  </si>
  <si>
    <t>271003</t>
  </si>
  <si>
    <t>MDRX-US</t>
  </si>
  <si>
    <t>Allscripts Healthcare Solutions, Inc.</t>
  </si>
  <si>
    <t>Allscripts Healthcare Solutions Inc.</t>
  </si>
  <si>
    <t>MDRX</t>
  </si>
  <si>
    <t>US01988P1084</t>
  </si>
  <si>
    <t>2711656</t>
  </si>
  <si>
    <t>271165</t>
  </si>
  <si>
    <t>NYCB-US</t>
  </si>
  <si>
    <t>New York Community Bancorp, Inc.</t>
  </si>
  <si>
    <t>New York Community Bancorp Inc.</t>
  </si>
  <si>
    <t>NYCB</t>
  </si>
  <si>
    <t>US6494451031</t>
  </si>
  <si>
    <t>2712013</t>
  </si>
  <si>
    <t>271201</t>
  </si>
  <si>
    <t>GPN-US</t>
  </si>
  <si>
    <t>Global Payments Inc.</t>
  </si>
  <si>
    <t>GPN</t>
  </si>
  <si>
    <t>US37940X1028</t>
  </si>
  <si>
    <t>2714440</t>
  </si>
  <si>
    <t>271444</t>
  </si>
  <si>
    <t>UPLMQ-US</t>
  </si>
  <si>
    <t>Ultra Petroleum Corp.</t>
  </si>
  <si>
    <t>UPLM.Q</t>
  </si>
  <si>
    <t>CA9039141093</t>
  </si>
  <si>
    <t>2714923</t>
  </si>
  <si>
    <t>271492</t>
  </si>
  <si>
    <t>QCOM-US</t>
  </si>
  <si>
    <t>QUALCOMM Incorporated</t>
  </si>
  <si>
    <t>QCOM</t>
  </si>
  <si>
    <t>US7475251036</t>
  </si>
  <si>
    <t>2715391</t>
  </si>
  <si>
    <t>271539</t>
  </si>
  <si>
    <t>QSII-US</t>
  </si>
  <si>
    <t>Quality Systems, Inc.</t>
  </si>
  <si>
    <t>Quality Systems Inc.</t>
  </si>
  <si>
    <t>QSII</t>
  </si>
  <si>
    <t>US7475821044</t>
  </si>
  <si>
    <t>2718992</t>
  </si>
  <si>
    <t>271899</t>
  </si>
  <si>
    <t>RJF-US</t>
  </si>
  <si>
    <t>Raymond James Financial, Inc.</t>
  </si>
  <si>
    <t>Raymond James Financial Inc.</t>
  </si>
  <si>
    <t>RJF</t>
  </si>
  <si>
    <t>US7547301090</t>
  </si>
  <si>
    <t>2719456</t>
  </si>
  <si>
    <t>271945</t>
  </si>
  <si>
    <t>RES-US</t>
  </si>
  <si>
    <t>RPC, Inc.</t>
  </si>
  <si>
    <t>RPC Inc.</t>
  </si>
  <si>
    <t>RES</t>
  </si>
  <si>
    <t>US7496601060</t>
  </si>
  <si>
    <t>2721967</t>
  </si>
  <si>
    <t>272196</t>
  </si>
  <si>
    <t>RMBS-US</t>
  </si>
  <si>
    <t>Rambus Inc.</t>
  </si>
  <si>
    <t>RMBS</t>
  </si>
  <si>
    <t>US7509171069</t>
  </si>
  <si>
    <t>2724193</t>
  </si>
  <si>
    <t>272419</t>
  </si>
  <si>
    <t>O-US</t>
  </si>
  <si>
    <t>Realty Income Corporation</t>
  </si>
  <si>
    <t>O</t>
  </si>
  <si>
    <t>US7561091049</t>
  </si>
  <si>
    <t>2724472</t>
  </si>
  <si>
    <t>272447</t>
  </si>
  <si>
    <t>OIS-US</t>
  </si>
  <si>
    <t>Oil States International, Inc.</t>
  </si>
  <si>
    <t>Oil States International Inc.</t>
  </si>
  <si>
    <t>OIS</t>
  </si>
  <si>
    <t>US6780261052</t>
  </si>
  <si>
    <t>2726177</t>
  </si>
  <si>
    <t>272617</t>
  </si>
  <si>
    <t>REG-US</t>
  </si>
  <si>
    <t>Regency Centers Corporation</t>
  </si>
  <si>
    <t>REG</t>
  </si>
  <si>
    <t>US7588491032</t>
  </si>
  <si>
    <t>2727910</t>
  </si>
  <si>
    <t>272791</t>
  </si>
  <si>
    <t>UDR-US</t>
  </si>
  <si>
    <t>UDR, Inc.</t>
  </si>
  <si>
    <t>UDR Inc.</t>
  </si>
  <si>
    <t>UDR</t>
  </si>
  <si>
    <t>US9026531049</t>
  </si>
  <si>
    <t>2729068</t>
  </si>
  <si>
    <t>272906</t>
  </si>
  <si>
    <t>RS-US</t>
  </si>
  <si>
    <t>Reliance Steel &amp; Aluminum Co.</t>
  </si>
  <si>
    <t>RS</t>
  </si>
  <si>
    <t>US7595091023</t>
  </si>
  <si>
    <t>2730082</t>
  </si>
  <si>
    <t>273008</t>
  </si>
  <si>
    <t>RBC-US</t>
  </si>
  <si>
    <t>Regal Beloit Corp</t>
  </si>
  <si>
    <t>Regal Beloit Corporation</t>
  </si>
  <si>
    <t>RBC</t>
  </si>
  <si>
    <t>US7587501039</t>
  </si>
  <si>
    <t>2730190</t>
  </si>
  <si>
    <t>273019</t>
  </si>
  <si>
    <t>REGN-US</t>
  </si>
  <si>
    <t>Regeneron Pharmaceuticals, Inc.</t>
  </si>
  <si>
    <t>Regeneron Pharmaceuticals Inc.</t>
  </si>
  <si>
    <t>REGN</t>
  </si>
  <si>
    <t>US75886F1075</t>
  </si>
  <si>
    <t>2731193</t>
  </si>
  <si>
    <t>273119</t>
  </si>
  <si>
    <t>RGA-US</t>
  </si>
  <si>
    <t>Reinsurance Group of America, Incorporated</t>
  </si>
  <si>
    <t>Reinsurance Group of America Incorporated</t>
  </si>
  <si>
    <t>RGA</t>
  </si>
  <si>
    <t>US7593516047</t>
  </si>
  <si>
    <t>2732635</t>
  </si>
  <si>
    <t>273263</t>
  </si>
  <si>
    <t>AN-US</t>
  </si>
  <si>
    <t>AutoNation, Inc.</t>
  </si>
  <si>
    <t>AutoNation Inc.</t>
  </si>
  <si>
    <t>AN</t>
  </si>
  <si>
    <t>US05329W1027</t>
  </si>
  <si>
    <t>2732903</t>
  </si>
  <si>
    <t>273290</t>
  </si>
  <si>
    <t>RMD-US</t>
  </si>
  <si>
    <t>ResMed Inc.</t>
  </si>
  <si>
    <t>RMD</t>
  </si>
  <si>
    <t>US7611521078</t>
  </si>
  <si>
    <t>2736035</t>
  </si>
  <si>
    <t>273603</t>
  </si>
  <si>
    <t>USB-US</t>
  </si>
  <si>
    <t>U.S. Bancorp</t>
  </si>
  <si>
    <t>USB</t>
  </si>
  <si>
    <t>US9029733048</t>
  </si>
  <si>
    <t>2740809</t>
  </si>
  <si>
    <t>274080</t>
  </si>
  <si>
    <t>RAD-US</t>
  </si>
  <si>
    <t>Rite Aid Corporation</t>
  </si>
  <si>
    <t>Rite Aid Corp.</t>
  </si>
  <si>
    <t>RAD</t>
  </si>
  <si>
    <t>US7677541044</t>
  </si>
  <si>
    <t>2744243</t>
  </si>
  <si>
    <t>274424</t>
  </si>
  <si>
    <t>FLO-US</t>
  </si>
  <si>
    <t>Flowers Foods, Inc.</t>
  </si>
  <si>
    <t>Flowers Foods Inc.</t>
  </si>
  <si>
    <t>FLO</t>
  </si>
  <si>
    <t>US3434981011</t>
  </si>
  <si>
    <t>2746711</t>
  </si>
  <si>
    <t>274671</t>
  </si>
  <si>
    <t>ROST-US</t>
  </si>
  <si>
    <t>Ross Stores, Inc.</t>
  </si>
  <si>
    <t>Ross Stores Inc.</t>
  </si>
  <si>
    <t>ROST</t>
  </si>
  <si>
    <t>US7782961038</t>
  </si>
  <si>
    <t>2747305</t>
  </si>
  <si>
    <t>274730</t>
  </si>
  <si>
    <t>ROL-US</t>
  </si>
  <si>
    <t>Rollins, Inc.</t>
  </si>
  <si>
    <t>Rollins Inc.</t>
  </si>
  <si>
    <t>ROL</t>
  </si>
  <si>
    <t>US7757111049</t>
  </si>
  <si>
    <t>2749602</t>
  </si>
  <si>
    <t>274960</t>
  </si>
  <si>
    <t>ROP-US</t>
  </si>
  <si>
    <t>Roper Technologies, Inc.</t>
  </si>
  <si>
    <t>Roper Technologies Inc.</t>
  </si>
  <si>
    <t>ROP</t>
  </si>
  <si>
    <t>US7766961061</t>
  </si>
  <si>
    <t>2754060</t>
  </si>
  <si>
    <t>275406</t>
  </si>
  <si>
    <t>ROK-US</t>
  </si>
  <si>
    <t>Rockwell Automation, Inc.</t>
  </si>
  <si>
    <t>Rockwell Automation Inc.</t>
  </si>
  <si>
    <t>ROK</t>
  </si>
  <si>
    <t>US7739031091</t>
  </si>
  <si>
    <t>2754907</t>
  </si>
  <si>
    <t>275490</t>
  </si>
  <si>
    <t>RCL-US</t>
  </si>
  <si>
    <t>Royal Caribbean Cruises Ltd.</t>
  </si>
  <si>
    <t>RCL</t>
  </si>
  <si>
    <t>LR0008862868</t>
  </si>
  <si>
    <t>2755706</t>
  </si>
  <si>
    <t>275570</t>
  </si>
  <si>
    <t>RGLD-US</t>
  </si>
  <si>
    <t>Royal Gold, Inc.</t>
  </si>
  <si>
    <t>Royal Gold Inc.</t>
  </si>
  <si>
    <t>RGLD</t>
  </si>
  <si>
    <t>US7802871084</t>
  </si>
  <si>
    <t>2756152</t>
  </si>
  <si>
    <t>275615</t>
  </si>
  <si>
    <t>OFC-US</t>
  </si>
  <si>
    <t>Corporate Office Properties Trust</t>
  </si>
  <si>
    <t>OFC</t>
  </si>
  <si>
    <t>US22002T1088</t>
  </si>
  <si>
    <t>2756174</t>
  </si>
  <si>
    <t>275617</t>
  </si>
  <si>
    <t>RPM-US</t>
  </si>
  <si>
    <t>RPM International Inc.</t>
  </si>
  <si>
    <t>RPM</t>
  </si>
  <si>
    <t>US7496851038</t>
  </si>
  <si>
    <t>Cameron International Corporation</t>
  </si>
  <si>
    <t>2758051</t>
  </si>
  <si>
    <t>275805</t>
  </si>
  <si>
    <t>RTN-US</t>
  </si>
  <si>
    <t>Raytheon Company</t>
  </si>
  <si>
    <t>RTN</t>
  </si>
  <si>
    <t>US7551115071</t>
  </si>
  <si>
    <t>2760669</t>
  </si>
  <si>
    <t>276066</t>
  </si>
  <si>
    <t>R-US</t>
  </si>
  <si>
    <t>Ryder System, Inc.</t>
  </si>
  <si>
    <t>Ryder System Inc.</t>
  </si>
  <si>
    <t>R</t>
  </si>
  <si>
    <t>US7835491082</t>
  </si>
  <si>
    <t>2762030</t>
  </si>
  <si>
    <t>276203</t>
  </si>
  <si>
    <t>ADS-US</t>
  </si>
  <si>
    <t>Alliance Data Systems Corporation</t>
  </si>
  <si>
    <t>ADS</t>
  </si>
  <si>
    <t>US0185811082</t>
  </si>
  <si>
    <t>2763561</t>
  </si>
  <si>
    <t>276356</t>
  </si>
  <si>
    <t>FTI.XX1-US</t>
  </si>
  <si>
    <t>FMC Technologies, Inc.</t>
  </si>
  <si>
    <t>FMC Technologies Inc.</t>
  </si>
  <si>
    <t>US30249U1016</t>
  </si>
  <si>
    <t>2764188</t>
  </si>
  <si>
    <t>276418</t>
  </si>
  <si>
    <t>SM-US</t>
  </si>
  <si>
    <t>SM Energy Company</t>
  </si>
  <si>
    <t>SM</t>
  </si>
  <si>
    <t>US78454L1008</t>
  </si>
  <si>
    <t>2765802</t>
  </si>
  <si>
    <t>276580</t>
  </si>
  <si>
    <t>SNDK-US</t>
  </si>
  <si>
    <t>SanDisk Corporation</t>
  </si>
  <si>
    <t>SanDisk LLC</t>
  </si>
  <si>
    <t>US80004C1018</t>
  </si>
  <si>
    <t>2767228</t>
  </si>
  <si>
    <t>276722</t>
  </si>
  <si>
    <t>COL-US</t>
  </si>
  <si>
    <t>Rockwell Collins, Inc.</t>
  </si>
  <si>
    <t>Rockwell Collins Inc.</t>
  </si>
  <si>
    <t>COL</t>
  </si>
  <si>
    <t>US7743411016</t>
  </si>
  <si>
    <t>2767381</t>
  </si>
  <si>
    <t>276738</t>
  </si>
  <si>
    <t>STJ-US</t>
  </si>
  <si>
    <t>St. Jude Medical, Inc.</t>
  </si>
  <si>
    <t>St. Jude Medical Inc.</t>
  </si>
  <si>
    <t>US7908491035</t>
  </si>
  <si>
    <t>2768663</t>
  </si>
  <si>
    <t>276866</t>
  </si>
  <si>
    <t>JOE-US</t>
  </si>
  <si>
    <t>St. Joe Company</t>
  </si>
  <si>
    <t>The St. Joe Company</t>
  </si>
  <si>
    <t>JOE</t>
  </si>
  <si>
    <t>US7901481009</t>
  </si>
  <si>
    <t>2769503</t>
  </si>
  <si>
    <t>276950</t>
  </si>
  <si>
    <t>TRV-US</t>
  </si>
  <si>
    <t>Travelers Companies, Inc.</t>
  </si>
  <si>
    <t>The Travelers Companies Inc.</t>
  </si>
  <si>
    <t>TRV</t>
  </si>
  <si>
    <t>US89417E1091</t>
  </si>
  <si>
    <t>2769796</t>
  </si>
  <si>
    <t>276979</t>
  </si>
  <si>
    <t>FIS-US</t>
  </si>
  <si>
    <t>Fidelity National Information Services, Inc.</t>
  </si>
  <si>
    <t>Fidelity National Information Services Inc.</t>
  </si>
  <si>
    <t>FIS</t>
  </si>
  <si>
    <t>US31620M1062</t>
  </si>
  <si>
    <t>2778844</t>
  </si>
  <si>
    <t>277884</t>
  </si>
  <si>
    <t>MRK-US</t>
  </si>
  <si>
    <t>Merck &amp; Co., Inc.</t>
  </si>
  <si>
    <t>Merck &amp; Co. Inc.</t>
  </si>
  <si>
    <t>MRK</t>
  </si>
  <si>
    <t>US58933Y1055</t>
  </si>
  <si>
    <t>2779063</t>
  </si>
  <si>
    <t>BDRXDB</t>
  </si>
  <si>
    <t>BKNG-US</t>
  </si>
  <si>
    <t>Booking Holdings Inc.</t>
  </si>
  <si>
    <t>The Priceline Group Inc.</t>
  </si>
  <si>
    <t>PCLN</t>
  </si>
  <si>
    <t>US7415034039</t>
  </si>
  <si>
    <t>2779397</t>
  </si>
  <si>
    <t>277939</t>
  </si>
  <si>
    <t>SCHW-US</t>
  </si>
  <si>
    <t>Charles Schwab Corporation</t>
  </si>
  <si>
    <t>The Charles Schwab Corporation</t>
  </si>
  <si>
    <t>SCHW</t>
  </si>
  <si>
    <t>US8085131055</t>
  </si>
  <si>
    <t>2781518</t>
  </si>
  <si>
    <t>278151</t>
  </si>
  <si>
    <t>SMG-US</t>
  </si>
  <si>
    <t>Scotts Miracle-Gro Company Class A</t>
  </si>
  <si>
    <t>The Scotts Miracle-Gro Company</t>
  </si>
  <si>
    <t>SMG</t>
  </si>
  <si>
    <t>US8101861065</t>
  </si>
  <si>
    <t>2781905</t>
  </si>
  <si>
    <t>278190</t>
  </si>
  <si>
    <t>JOY-US</t>
  </si>
  <si>
    <t>Joy Global Inc.</t>
  </si>
  <si>
    <t>JOY</t>
  </si>
  <si>
    <t>US4811651086</t>
  </si>
  <si>
    <t>2783815</t>
  </si>
  <si>
    <t>278381</t>
  </si>
  <si>
    <t>ZBH-US</t>
  </si>
  <si>
    <t>Zimmer Biomet Holdings, Inc.</t>
  </si>
  <si>
    <t>Zimmer Biomet Holdings Inc.</t>
  </si>
  <si>
    <t>ZBH</t>
  </si>
  <si>
    <t>US98956P1021</t>
  </si>
  <si>
    <t>2787185</t>
  </si>
  <si>
    <t>278718</t>
  </si>
  <si>
    <t>SPXC-US</t>
  </si>
  <si>
    <t>SPX Corporation</t>
  </si>
  <si>
    <t>SPXC</t>
  </si>
  <si>
    <t>US7846351044</t>
  </si>
  <si>
    <t>2788713</t>
  </si>
  <si>
    <t>278871</t>
  </si>
  <si>
    <t>BG-US</t>
  </si>
  <si>
    <t>Bunge Limited</t>
  </si>
  <si>
    <t>BG</t>
  </si>
  <si>
    <t>BMG169621056</t>
  </si>
  <si>
    <t>2793610</t>
  </si>
  <si>
    <t>279361</t>
  </si>
  <si>
    <t>SEIC-US</t>
  </si>
  <si>
    <t>SEI Investments Company</t>
  </si>
  <si>
    <t>SEI Investments Co.</t>
  </si>
  <si>
    <t>SEIC</t>
  </si>
  <si>
    <t>US7841171033</t>
  </si>
  <si>
    <t>2795393</t>
  </si>
  <si>
    <t>279539</t>
  </si>
  <si>
    <t>ABC-US</t>
  </si>
  <si>
    <t>AmerisourceBergen Corporation</t>
  </si>
  <si>
    <t>ABC</t>
  </si>
  <si>
    <t>US03073E1055</t>
  </si>
  <si>
    <t>2797560</t>
  </si>
  <si>
    <t>279756</t>
  </si>
  <si>
    <t>SCI-US</t>
  </si>
  <si>
    <t>Service Corporation International</t>
  </si>
  <si>
    <t>Service Corp. International</t>
  </si>
  <si>
    <t>SCI</t>
  </si>
  <si>
    <t>US8175651046</t>
  </si>
  <si>
    <t>2797838</t>
  </si>
  <si>
    <t>279783</t>
  </si>
  <si>
    <t>CKH-US</t>
  </si>
  <si>
    <t>SEACOR Holdings Inc.</t>
  </si>
  <si>
    <t>CKH</t>
  </si>
  <si>
    <t>US8119041015</t>
  </si>
  <si>
    <t>2803014</t>
  </si>
  <si>
    <t>280301</t>
  </si>
  <si>
    <t>PFG-US</t>
  </si>
  <si>
    <t>Principal Financial Group, Inc.</t>
  </si>
  <si>
    <t>Principal Financial Group Inc.</t>
  </si>
  <si>
    <t>PFG</t>
  </si>
  <si>
    <t>US74251V1026</t>
  </si>
  <si>
    <t>2804211</t>
  </si>
  <si>
    <t>280421</t>
  </si>
  <si>
    <t>SHW-US</t>
  </si>
  <si>
    <t>Sherwin-Williams Company</t>
  </si>
  <si>
    <t>The Sherwin-Williams Company</t>
  </si>
  <si>
    <t>SHW</t>
  </si>
  <si>
    <t>US8243481061</t>
  </si>
  <si>
    <t>2806109</t>
  </si>
  <si>
    <t>280610</t>
  </si>
  <si>
    <t>SPN-US</t>
  </si>
  <si>
    <t>Superior Energy Services, Inc.</t>
  </si>
  <si>
    <t>Superior Energy Services Inc.</t>
  </si>
  <si>
    <t>SPN</t>
  </si>
  <si>
    <t>US8681571084</t>
  </si>
  <si>
    <t>2807061</t>
  </si>
  <si>
    <t>280706</t>
  </si>
  <si>
    <t>CNC-US</t>
  </si>
  <si>
    <t>Centene Corporation</t>
  </si>
  <si>
    <t>CNC</t>
  </si>
  <si>
    <t>US15135B1017</t>
  </si>
  <si>
    <t>2807492</t>
  </si>
  <si>
    <t>280749</t>
  </si>
  <si>
    <t>PMCS-US</t>
  </si>
  <si>
    <t>PMC-Sierra, Inc.</t>
  </si>
  <si>
    <t>Microsemi Storage Solutions Inc.</t>
  </si>
  <si>
    <t>US69344F1066</t>
  </si>
  <si>
    <t>The Chubb Corporation</t>
  </si>
  <si>
    <t>2809324</t>
  </si>
  <si>
    <t>280932</t>
  </si>
  <si>
    <t>SLGN-US</t>
  </si>
  <si>
    <t>Silgan Holdings Inc.</t>
  </si>
  <si>
    <t>SLGN</t>
  </si>
  <si>
    <t>US8270481091</t>
  </si>
  <si>
    <t>2812452</t>
  </si>
  <si>
    <t>281245</t>
  </si>
  <si>
    <t>SPG-US</t>
  </si>
  <si>
    <t>Simon Property Group, Inc.</t>
  </si>
  <si>
    <t>Simon Property Group Inc.</t>
  </si>
  <si>
    <t>SPG</t>
  </si>
  <si>
    <t>US8288061091</t>
  </si>
  <si>
    <t>2813585</t>
  </si>
  <si>
    <t>281358</t>
  </si>
  <si>
    <t>WTW-US</t>
  </si>
  <si>
    <t>Weight Watchers International, Inc.</t>
  </si>
  <si>
    <t>Weight Watchers International Inc.</t>
  </si>
  <si>
    <t>WTW</t>
  </si>
  <si>
    <t>US9486261061</t>
  </si>
  <si>
    <t>2818278</t>
  </si>
  <si>
    <t>281827</t>
  </si>
  <si>
    <t>WOOF-US</t>
  </si>
  <si>
    <t>VCA Inc.</t>
  </si>
  <si>
    <t>WOOF</t>
  </si>
  <si>
    <t>US9181941017</t>
  </si>
  <si>
    <t>2818461</t>
  </si>
  <si>
    <t>281846</t>
  </si>
  <si>
    <t>AYI-US</t>
  </si>
  <si>
    <t>Acuity Brands, Inc.</t>
  </si>
  <si>
    <t>Acuity Brands Inc.</t>
  </si>
  <si>
    <t>AYI</t>
  </si>
  <si>
    <t>US00508Y1029</t>
  </si>
  <si>
    <t>2818740</t>
  </si>
  <si>
    <t>281874</t>
  </si>
  <si>
    <t>SNA-US</t>
  </si>
  <si>
    <t>Snap-on Incorporated</t>
  </si>
  <si>
    <t>SNA</t>
  </si>
  <si>
    <t>US8330341012</t>
  </si>
  <si>
    <t>2819118</t>
  </si>
  <si>
    <t>281911</t>
  </si>
  <si>
    <t>PRU-US</t>
  </si>
  <si>
    <t>Prudential Financial, Inc.</t>
  </si>
  <si>
    <t>Prudential Financial Inc.</t>
  </si>
  <si>
    <t>US7443201022</t>
  </si>
  <si>
    <t>2821298</t>
  </si>
  <si>
    <t>282129</t>
  </si>
  <si>
    <t>SCHN-US</t>
  </si>
  <si>
    <t>Schnitzer Steel Industries, Inc. Class A</t>
  </si>
  <si>
    <t>Schnitzer Steel Industries Inc.</t>
  </si>
  <si>
    <t>SCHN</t>
  </si>
  <si>
    <t>US8068821060</t>
  </si>
  <si>
    <t>2821395</t>
  </si>
  <si>
    <t>282139</t>
  </si>
  <si>
    <t>SON-US</t>
  </si>
  <si>
    <t>Sonoco Products Company</t>
  </si>
  <si>
    <t>Sonoco Products Co</t>
  </si>
  <si>
    <t>SON</t>
  </si>
  <si>
    <t>US8354951027</t>
  </si>
  <si>
    <t>2822019</t>
  </si>
  <si>
    <t>282201</t>
  </si>
  <si>
    <t>AAP-US</t>
  </si>
  <si>
    <t>Advance Auto Parts, Inc.</t>
  </si>
  <si>
    <t>Advance Auto Parts Inc.</t>
  </si>
  <si>
    <t>AAP</t>
  </si>
  <si>
    <t>US00751Y1064</t>
  </si>
  <si>
    <t>2822406</t>
  </si>
  <si>
    <t>282240</t>
  </si>
  <si>
    <t>BID-US</t>
  </si>
  <si>
    <t>Sotheby's Class A</t>
  </si>
  <si>
    <t>Sotheby's</t>
  </si>
  <si>
    <t>BID</t>
  </si>
  <si>
    <t>US8358981079</t>
  </si>
  <si>
    <t>2823089</t>
  </si>
  <si>
    <t>282308</t>
  </si>
  <si>
    <t>ALR-US</t>
  </si>
  <si>
    <t>Alere Inc.</t>
  </si>
  <si>
    <t>ALR</t>
  </si>
  <si>
    <t>US01449J1051</t>
  </si>
  <si>
    <t>2823777</t>
  </si>
  <si>
    <t>282377</t>
  </si>
  <si>
    <t>SCCO-US</t>
  </si>
  <si>
    <t>Southern Copper Corporation</t>
  </si>
  <si>
    <t>SCCO</t>
  </si>
  <si>
    <t>US84265V1052</t>
  </si>
  <si>
    <t>2824770</t>
  </si>
  <si>
    <t>282477</t>
  </si>
  <si>
    <t>X-US</t>
  </si>
  <si>
    <t>United States Steel Corporation</t>
  </si>
  <si>
    <t>X</t>
  </si>
  <si>
    <t>US9129091081</t>
  </si>
  <si>
    <t>2828619</t>
  </si>
  <si>
    <t>282861</t>
  </si>
  <si>
    <t>SWN-US</t>
  </si>
  <si>
    <t>Southwestern Energy Company</t>
  </si>
  <si>
    <t>SWN</t>
  </si>
  <si>
    <t>US8454671095</t>
  </si>
  <si>
    <t>2829515</t>
  </si>
  <si>
    <t>282951</t>
  </si>
  <si>
    <t>EIX-US</t>
  </si>
  <si>
    <t>Edison International</t>
  </si>
  <si>
    <t>EIX</t>
  </si>
  <si>
    <t>US2810201077</t>
  </si>
  <si>
    <t>2829601</t>
  </si>
  <si>
    <t>282960</t>
  </si>
  <si>
    <t>SO-US</t>
  </si>
  <si>
    <t>Southern Company</t>
  </si>
  <si>
    <t>The Southern Company</t>
  </si>
  <si>
    <t>SO</t>
  </si>
  <si>
    <t>US8425871071</t>
  </si>
  <si>
    <t>2830904</t>
  </si>
  <si>
    <t>283090</t>
  </si>
  <si>
    <t>BBT-US</t>
  </si>
  <si>
    <t>BB&amp;T Corporation</t>
  </si>
  <si>
    <t>BBT</t>
  </si>
  <si>
    <t>US0549371070</t>
  </si>
  <si>
    <t>2831543</t>
  </si>
  <si>
    <t>283154</t>
  </si>
  <si>
    <t>LUV-US</t>
  </si>
  <si>
    <t>Southwest Airlines Co.</t>
  </si>
  <si>
    <t>LUV</t>
  </si>
  <si>
    <t>US8447411088</t>
  </si>
  <si>
    <t>2831811</t>
  </si>
  <si>
    <t>283181</t>
  </si>
  <si>
    <t>T-US</t>
  </si>
  <si>
    <t>AT&amp;T Inc.</t>
  </si>
  <si>
    <t>US00206R1023</t>
  </si>
  <si>
    <t>2838555</t>
  </si>
  <si>
    <t>283855</t>
  </si>
  <si>
    <t>CVX-US</t>
  </si>
  <si>
    <t>Chevron Corporation</t>
  </si>
  <si>
    <t>CVX</t>
  </si>
  <si>
    <t>US1667641005</t>
  </si>
  <si>
    <t>2841489</t>
  </si>
  <si>
    <t>284148</t>
  </si>
  <si>
    <t>SPLS-US</t>
  </si>
  <si>
    <t>Staples, Inc.</t>
  </si>
  <si>
    <t>Staples Inc.</t>
  </si>
  <si>
    <t>SPLS</t>
  </si>
  <si>
    <t>US8550301027</t>
  </si>
  <si>
    <t>2842040</t>
  </si>
  <si>
    <t>284204</t>
  </si>
  <si>
    <t>STT-US</t>
  </si>
  <si>
    <t>State Street Corporation</t>
  </si>
  <si>
    <t>State Street Corp.</t>
  </si>
  <si>
    <t>STT</t>
  </si>
  <si>
    <t>US8574771031</t>
  </si>
  <si>
    <t>2842255</t>
  </si>
  <si>
    <t>284225</t>
  </si>
  <si>
    <t>SBUX-US</t>
  </si>
  <si>
    <t>Starbucks Corporation</t>
  </si>
  <si>
    <t>SBUX</t>
  </si>
  <si>
    <t>US8552441094</t>
  </si>
  <si>
    <t>2849234</t>
  </si>
  <si>
    <t>284923</t>
  </si>
  <si>
    <t>SF-US</t>
  </si>
  <si>
    <t>Stifel Financial Corp.</t>
  </si>
  <si>
    <t>SF</t>
  </si>
  <si>
    <t>US8606301021</t>
  </si>
  <si>
    <t>2849472</t>
  </si>
  <si>
    <t>284947</t>
  </si>
  <si>
    <t>STLD-US</t>
  </si>
  <si>
    <t>Steel Dynamics, Inc.</t>
  </si>
  <si>
    <t>Steel Dynamics Inc</t>
  </si>
  <si>
    <t>STLD</t>
  </si>
  <si>
    <t>US8581191009</t>
  </si>
  <si>
    <t>2851808</t>
  </si>
  <si>
    <t>285180</t>
  </si>
  <si>
    <t>EE-US</t>
  </si>
  <si>
    <t>El Paso Electric Company</t>
  </si>
  <si>
    <t>EE</t>
  </si>
  <si>
    <t>US2836778546</t>
  </si>
  <si>
    <t>2852533</t>
  </si>
  <si>
    <t>285253</t>
  </si>
  <si>
    <t>PSA-US</t>
  </si>
  <si>
    <t>Public Storage</t>
  </si>
  <si>
    <t>PSA</t>
  </si>
  <si>
    <t>US74460D1090</t>
  </si>
  <si>
    <t>2853417</t>
  </si>
  <si>
    <t>285341</t>
  </si>
  <si>
    <t>STRA-US</t>
  </si>
  <si>
    <t>Strayer Education, Inc.</t>
  </si>
  <si>
    <t>Strayer Education Inc.</t>
  </si>
  <si>
    <t>STRA</t>
  </si>
  <si>
    <t>US8632361056</t>
  </si>
  <si>
    <t>2853688</t>
  </si>
  <si>
    <t>285368</t>
  </si>
  <si>
    <t>SYK-US</t>
  </si>
  <si>
    <t>Stryker Corporation</t>
  </si>
  <si>
    <t>SYK</t>
  </si>
  <si>
    <t>US8636671013</t>
  </si>
  <si>
    <t>2857817</t>
  </si>
  <si>
    <t>285781</t>
  </si>
  <si>
    <t>NFLX-US</t>
  </si>
  <si>
    <t>Netflix, Inc.</t>
  </si>
  <si>
    <t>Netflix Inc.</t>
  </si>
  <si>
    <t>NFLX</t>
  </si>
  <si>
    <t>US64110L1061</t>
  </si>
  <si>
    <t>2860826</t>
  </si>
  <si>
    <t>286082</t>
  </si>
  <si>
    <t>SRCL-US</t>
  </si>
  <si>
    <t>Stericycle, Inc.</t>
  </si>
  <si>
    <t>Stericycle Inc.</t>
  </si>
  <si>
    <t>SRCL</t>
  </si>
  <si>
    <t>US8589121081</t>
  </si>
  <si>
    <t>2860990</t>
  </si>
  <si>
    <t>286099</t>
  </si>
  <si>
    <t>STI-US</t>
  </si>
  <si>
    <t>SunTrust Banks, Inc.</t>
  </si>
  <si>
    <t>SunTrust Banks Inc.</t>
  </si>
  <si>
    <t>STI</t>
  </si>
  <si>
    <t>US8679141031</t>
  </si>
  <si>
    <t>2861078</t>
  </si>
  <si>
    <t>286107</t>
  </si>
  <si>
    <t>SYMC-US</t>
  </si>
  <si>
    <t>Symantec Corporation</t>
  </si>
  <si>
    <t>SYMC</t>
  </si>
  <si>
    <t>US8715031089</t>
  </si>
  <si>
    <t>2862532</t>
  </si>
  <si>
    <t>286253</t>
  </si>
  <si>
    <t>SSP-US</t>
  </si>
  <si>
    <t>E. W. Scripps Company Class A</t>
  </si>
  <si>
    <t>The E. W. Scripps Company</t>
  </si>
  <si>
    <t>SSP</t>
  </si>
  <si>
    <t>US8110544025</t>
  </si>
  <si>
    <t>2863610</t>
  </si>
  <si>
    <t>BF0FM9</t>
  </si>
  <si>
    <t>SVU-US</t>
  </si>
  <si>
    <t>SUPERVALU INC.</t>
  </si>
  <si>
    <t>SUPERVALU Inc.</t>
  </si>
  <si>
    <t>SVU</t>
  </si>
  <si>
    <t>US8685361037</t>
  </si>
  <si>
    <t>2866824</t>
  </si>
  <si>
    <t>286682</t>
  </si>
  <si>
    <t>RGC-US</t>
  </si>
  <si>
    <t>Regal Entertainment Group Class A</t>
  </si>
  <si>
    <t>Regal Entertainment Group</t>
  </si>
  <si>
    <t>RGC</t>
  </si>
  <si>
    <t>US7587661098</t>
  </si>
  <si>
    <t>2867719</t>
  </si>
  <si>
    <t>286771</t>
  </si>
  <si>
    <t>SNPS-US</t>
  </si>
  <si>
    <t>Synopsys, Inc.</t>
  </si>
  <si>
    <t>Synopsys Inc.</t>
  </si>
  <si>
    <t>SNPS</t>
  </si>
  <si>
    <t>US8716071076</t>
  </si>
  <si>
    <t>2868165</t>
  </si>
  <si>
    <t>286816</t>
  </si>
  <si>
    <t>SYY-US</t>
  </si>
  <si>
    <t>Sysco Corporation</t>
  </si>
  <si>
    <t>SYY</t>
  </si>
  <si>
    <t>US8718291078</t>
  </si>
  <si>
    <t>2868455</t>
  </si>
  <si>
    <t>286845</t>
  </si>
  <si>
    <t>TCF-US</t>
  </si>
  <si>
    <t>TCF Financial Corporation</t>
  </si>
  <si>
    <t>TCF</t>
  </si>
  <si>
    <t>US8722751026</t>
  </si>
  <si>
    <t>2871301</t>
  </si>
  <si>
    <t>287130</t>
  </si>
  <si>
    <t>ISRG-US</t>
  </si>
  <si>
    <t>Intuitive Surgical, Inc.</t>
  </si>
  <si>
    <t>Intuitive Surgical Inc.</t>
  </si>
  <si>
    <t>ISRG</t>
  </si>
  <si>
    <t>US46120E6023</t>
  </si>
  <si>
    <t>2872069</t>
  </si>
  <si>
    <t>287206</t>
  </si>
  <si>
    <t>TUP-US</t>
  </si>
  <si>
    <t>Tupperware Brands Corporation</t>
  </si>
  <si>
    <t>TUP</t>
  </si>
  <si>
    <t>US8998961044</t>
  </si>
  <si>
    <t>2872092</t>
  </si>
  <si>
    <t>BF956H</t>
  </si>
  <si>
    <t>AROPQ-US</t>
  </si>
  <si>
    <t>ARO Liquidation Inc</t>
  </si>
  <si>
    <t>Aeropostale Inc.</t>
  </si>
  <si>
    <t>AROP.Q</t>
  </si>
  <si>
    <t>US0078651082</t>
  </si>
  <si>
    <t>2872252</t>
  </si>
  <si>
    <t>287225</t>
  </si>
  <si>
    <t>TCO-US</t>
  </si>
  <si>
    <t>Taubman Centers, Inc.</t>
  </si>
  <si>
    <t>Taubman Centers Inc.</t>
  </si>
  <si>
    <t>TCO</t>
  </si>
  <si>
    <t>US8766641034</t>
  </si>
  <si>
    <t>2874582</t>
  </si>
  <si>
    <t>287458</t>
  </si>
  <si>
    <t>SKT-US</t>
  </si>
  <si>
    <t>Tanger Factory Outlet Centers, Inc.</t>
  </si>
  <si>
    <t>Tanger Factory Outlet Centers Inc.</t>
  </si>
  <si>
    <t>SKT</t>
  </si>
  <si>
    <t>US8754651060</t>
  </si>
  <si>
    <t>2879532</t>
  </si>
  <si>
    <t>287953</t>
  </si>
  <si>
    <t>TECD-US</t>
  </si>
  <si>
    <t>Tech Data Corporation</t>
  </si>
  <si>
    <t>TECD</t>
  </si>
  <si>
    <t>US8782371061</t>
  </si>
  <si>
    <t>2880255</t>
  </si>
  <si>
    <t>288025</t>
  </si>
  <si>
    <t>TE-US</t>
  </si>
  <si>
    <t>TECO Energy, Inc.</t>
  </si>
  <si>
    <t>TECO Energy Inc.</t>
  </si>
  <si>
    <t>US8723751009</t>
  </si>
  <si>
    <t>2881407</t>
  </si>
  <si>
    <t>288140</t>
  </si>
  <si>
    <t>TFX-US</t>
  </si>
  <si>
    <t>Teleflex Incorporated</t>
  </si>
  <si>
    <t>TFX</t>
  </si>
  <si>
    <t>US8793691069</t>
  </si>
  <si>
    <t>2884183</t>
  </si>
  <si>
    <t>288418</t>
  </si>
  <si>
    <t>TER-US</t>
  </si>
  <si>
    <t>Teradyne, Inc.</t>
  </si>
  <si>
    <t>Teradyne Inc.</t>
  </si>
  <si>
    <t>TER</t>
  </si>
  <si>
    <t>US8807701029</t>
  </si>
  <si>
    <t>2884224</t>
  </si>
  <si>
    <t>288422</t>
  </si>
  <si>
    <t>TEX-US</t>
  </si>
  <si>
    <t>Terex Corporation</t>
  </si>
  <si>
    <t>Terex Corp.</t>
  </si>
  <si>
    <t>TEX</t>
  </si>
  <si>
    <t>US8807791038</t>
  </si>
  <si>
    <t>2884569</t>
  </si>
  <si>
    <t>BF0G7N</t>
  </si>
  <si>
    <t>ANDV-US</t>
  </si>
  <si>
    <t>Andeavor</t>
  </si>
  <si>
    <t>Tesoro Corporation</t>
  </si>
  <si>
    <t>TSO</t>
  </si>
  <si>
    <t>US8816091016</t>
  </si>
  <si>
    <t>2885409</t>
  </si>
  <si>
    <t>288540</t>
  </si>
  <si>
    <t>TXN-US</t>
  </si>
  <si>
    <t>Texas Instruments Incorporated</t>
  </si>
  <si>
    <t>Texas Instruments Inc.</t>
  </si>
  <si>
    <t>TXN</t>
  </si>
  <si>
    <t>US8825081040</t>
  </si>
  <si>
    <t>2885937</t>
  </si>
  <si>
    <t>288593</t>
  </si>
  <si>
    <t>TXT-US</t>
  </si>
  <si>
    <t>Textron Inc.</t>
  </si>
  <si>
    <t>TXT</t>
  </si>
  <si>
    <t>US8832031012</t>
  </si>
  <si>
    <t>2886907</t>
  </si>
  <si>
    <t>288690</t>
  </si>
  <si>
    <t>TMO-US</t>
  </si>
  <si>
    <t>Thermo Fisher Scientific Inc.</t>
  </si>
  <si>
    <t>TMO</t>
  </si>
  <si>
    <t>US8835561023</t>
  </si>
  <si>
    <t>2889371</t>
  </si>
  <si>
    <t>288937</t>
  </si>
  <si>
    <t>TRI-CA</t>
  </si>
  <si>
    <t>Thomson Reuters Corporation</t>
  </si>
  <si>
    <t>TRI</t>
  </si>
  <si>
    <t>CA8849031056</t>
  </si>
  <si>
    <t>2889768</t>
  </si>
  <si>
    <t>288976</t>
  </si>
  <si>
    <t>DDD-US</t>
  </si>
  <si>
    <t>3D Systems Corporation</t>
  </si>
  <si>
    <t>DDD</t>
  </si>
  <si>
    <t>US88554D2053</t>
  </si>
  <si>
    <t>2889876</t>
  </si>
  <si>
    <t>288987</t>
  </si>
  <si>
    <t>THO-US</t>
  </si>
  <si>
    <t>Thor Industries, Inc.</t>
  </si>
  <si>
    <t>Thor Industries Inc.</t>
  </si>
  <si>
    <t>THO</t>
  </si>
  <si>
    <t>US8851601018</t>
  </si>
  <si>
    <t>2891859</t>
  </si>
  <si>
    <t>BDFGDQ</t>
  </si>
  <si>
    <t>TDW-US</t>
  </si>
  <si>
    <t>Tidewater Inc</t>
  </si>
  <si>
    <t>Tidewater Inc.</t>
  </si>
  <si>
    <t>TDW</t>
  </si>
  <si>
    <t>US8864231027</t>
  </si>
  <si>
    <t>2892090</t>
  </si>
  <si>
    <t>289209</t>
  </si>
  <si>
    <t>TIF-US</t>
  </si>
  <si>
    <t>Tiffany &amp; Co.</t>
  </si>
  <si>
    <t>TIF</t>
  </si>
  <si>
    <t>US8865471085</t>
  </si>
  <si>
    <t>2892807</t>
  </si>
  <si>
    <t>289280</t>
  </si>
  <si>
    <t>TKR-US</t>
  </si>
  <si>
    <t>Timken Company</t>
  </si>
  <si>
    <t>The Timken Company</t>
  </si>
  <si>
    <t>TKR</t>
  </si>
  <si>
    <t>US8873891043</t>
  </si>
  <si>
    <t>2893071</t>
  </si>
  <si>
    <t>289307</t>
  </si>
  <si>
    <t>TGI-US</t>
  </si>
  <si>
    <t>Triumph Group, Inc.</t>
  </si>
  <si>
    <t>Triumph Group Inc.</t>
  </si>
  <si>
    <t>TGI</t>
  </si>
  <si>
    <t>US8968181011</t>
  </si>
  <si>
    <t>2895163</t>
  </si>
  <si>
    <t>289516</t>
  </si>
  <si>
    <t>UNFI-US</t>
  </si>
  <si>
    <t>United Natural Foods, Inc.</t>
  </si>
  <si>
    <t>United Natural Foods Inc.</t>
  </si>
  <si>
    <t>UNFI</t>
  </si>
  <si>
    <t>US9111631035</t>
  </si>
  <si>
    <t>2896092</t>
  </si>
  <si>
    <t>289609</t>
  </si>
  <si>
    <t>TOL-US</t>
  </si>
  <si>
    <t>Toll Brothers, Inc.</t>
  </si>
  <si>
    <t>Toll Brothers Inc.</t>
  </si>
  <si>
    <t>TOL</t>
  </si>
  <si>
    <t>US8894781033</t>
  </si>
  <si>
    <t>2896713</t>
  </si>
  <si>
    <t>289671</t>
  </si>
  <si>
    <t>TMK-US</t>
  </si>
  <si>
    <t>Torchmark Corporation</t>
  </si>
  <si>
    <t>TMK</t>
  </si>
  <si>
    <t>US8910271043</t>
  </si>
  <si>
    <t>2897040</t>
  </si>
  <si>
    <t>289704</t>
  </si>
  <si>
    <t>TTC-US</t>
  </si>
  <si>
    <t>Toro Company</t>
  </si>
  <si>
    <t>The Toro Company</t>
  </si>
  <si>
    <t>TTC</t>
  </si>
  <si>
    <t>US8910921084</t>
  </si>
  <si>
    <t>2897697</t>
  </si>
  <si>
    <t>289769</t>
  </si>
  <si>
    <t>TSS-US</t>
  </si>
  <si>
    <t>Total System Services, Inc.</t>
  </si>
  <si>
    <t>Total System Services Inc.</t>
  </si>
  <si>
    <t>TSS</t>
  </si>
  <si>
    <t>US8919061098</t>
  </si>
  <si>
    <t>2898087</t>
  </si>
  <si>
    <t>289808</t>
  </si>
  <si>
    <t>DVA-US</t>
  </si>
  <si>
    <t>DaVita Inc.</t>
  </si>
  <si>
    <t>DVA</t>
  </si>
  <si>
    <t>US23918K1088</t>
  </si>
  <si>
    <t>2900335</t>
  </si>
  <si>
    <t>290033</t>
  </si>
  <si>
    <t>TSCO-US</t>
  </si>
  <si>
    <t>Tractor Supply Company</t>
  </si>
  <si>
    <t>US8923561067</t>
  </si>
  <si>
    <t>2903958</t>
  </si>
  <si>
    <t>290395</t>
  </si>
  <si>
    <t>TRMB-US</t>
  </si>
  <si>
    <t>Trimble Inc.</t>
  </si>
  <si>
    <t>TRMB</t>
  </si>
  <si>
    <t>US8962391004</t>
  </si>
  <si>
    <t>2904627</t>
  </si>
  <si>
    <t>290462</t>
  </si>
  <si>
    <t>TRN-US</t>
  </si>
  <si>
    <t>Trinity Industries, Inc.</t>
  </si>
  <si>
    <t>Trinity Industries Inc.</t>
  </si>
  <si>
    <t>TRN</t>
  </si>
  <si>
    <t>US8965221091</t>
  </si>
  <si>
    <t>2909730</t>
  </si>
  <si>
    <t>290973</t>
  </si>
  <si>
    <t>TSN-US</t>
  </si>
  <si>
    <t>Tyson Foods, Inc. Class A</t>
  </si>
  <si>
    <t>Tyson Foods Inc.</t>
  </si>
  <si>
    <t>TSN</t>
  </si>
  <si>
    <t>US9024941034</t>
  </si>
  <si>
    <t>2910118</t>
  </si>
  <si>
    <t>291011</t>
  </si>
  <si>
    <t>UGI-US</t>
  </si>
  <si>
    <t>UGI Corporation</t>
  </si>
  <si>
    <t>UGI</t>
  </si>
  <si>
    <t>US9026811052</t>
  </si>
  <si>
    <t>2910602</t>
  </si>
  <si>
    <t>291060</t>
  </si>
  <si>
    <t>USG-US</t>
  </si>
  <si>
    <t>USG Corporation</t>
  </si>
  <si>
    <t>USG</t>
  </si>
  <si>
    <t>US9032934054</t>
  </si>
  <si>
    <t>2910970</t>
  </si>
  <si>
    <t>291097</t>
  </si>
  <si>
    <t>MRO-US</t>
  </si>
  <si>
    <t>Marathon Oil Corporation</t>
  </si>
  <si>
    <t>MRO</t>
  </si>
  <si>
    <t>US5658491064</t>
  </si>
  <si>
    <t>2914734</t>
  </si>
  <si>
    <t>291473</t>
  </si>
  <si>
    <t>UNP-US</t>
  </si>
  <si>
    <t>Union Pacific Corporation</t>
  </si>
  <si>
    <t>UNP</t>
  </si>
  <si>
    <t>US9078181081</t>
  </si>
  <si>
    <t>2915500</t>
  </si>
  <si>
    <t>291550</t>
  </si>
  <si>
    <t>UTX-US</t>
  </si>
  <si>
    <t>United Technologies Corporation</t>
  </si>
  <si>
    <t>United Technologies Corp.</t>
  </si>
  <si>
    <t>UTX</t>
  </si>
  <si>
    <t>US9130171096</t>
  </si>
  <si>
    <t>2917766</t>
  </si>
  <si>
    <t>291776</t>
  </si>
  <si>
    <t>UNH-US</t>
  </si>
  <si>
    <t>UnitedHealth Group Incorporated</t>
  </si>
  <si>
    <t>UNH</t>
  </si>
  <si>
    <t>US91324P1021</t>
  </si>
  <si>
    <t>2918996</t>
  </si>
  <si>
    <t>291899</t>
  </si>
  <si>
    <t>USM-US</t>
  </si>
  <si>
    <t>United States Cellular Corporation</t>
  </si>
  <si>
    <t>USM</t>
  </si>
  <si>
    <t>US9116841084</t>
  </si>
  <si>
    <t>2919290</t>
  </si>
  <si>
    <t>291929</t>
  </si>
  <si>
    <t>SGMS-US</t>
  </si>
  <si>
    <t>Scientific Games Corporation</t>
  </si>
  <si>
    <t>SGMS</t>
  </si>
  <si>
    <t>US80874P1093</t>
  </si>
  <si>
    <t>2923785</t>
  </si>
  <si>
    <t>292378</t>
  </si>
  <si>
    <t>UHS-US</t>
  </si>
  <si>
    <t>Universal Health Services, Inc. Class B</t>
  </si>
  <si>
    <t>Universal Health Services Inc.</t>
  </si>
  <si>
    <t>UHS</t>
  </si>
  <si>
    <t>US9139031002</t>
  </si>
  <si>
    <t>2925833</t>
  </si>
  <si>
    <t>292583</t>
  </si>
  <si>
    <t>UNT-US</t>
  </si>
  <si>
    <t>Unit Corporation</t>
  </si>
  <si>
    <t>UNT</t>
  </si>
  <si>
    <t>US9092181091</t>
  </si>
  <si>
    <t>2926717</t>
  </si>
  <si>
    <t>292671</t>
  </si>
  <si>
    <t>VHI-US</t>
  </si>
  <si>
    <t>Valhi, Inc.</t>
  </si>
  <si>
    <t>Valhi Inc.</t>
  </si>
  <si>
    <t>VHI</t>
  </si>
  <si>
    <t>US9189051009</t>
  </si>
  <si>
    <t>2926739</t>
  </si>
  <si>
    <t>292673</t>
  </si>
  <si>
    <t>VAL-US</t>
  </si>
  <si>
    <t>Valspar Corporation</t>
  </si>
  <si>
    <t>The Valspar Corporation</t>
  </si>
  <si>
    <t>VAL</t>
  </si>
  <si>
    <t>US9203551042</t>
  </si>
  <si>
    <t>2926825</t>
  </si>
  <si>
    <t>292682</t>
  </si>
  <si>
    <t>VMI-US</t>
  </si>
  <si>
    <t>Valmont Industries, Inc.</t>
  </si>
  <si>
    <t>Valmont Industries Inc.</t>
  </si>
  <si>
    <t>VMI</t>
  </si>
  <si>
    <t>US9202531011</t>
  </si>
  <si>
    <t>2927516</t>
  </si>
  <si>
    <t>292751</t>
  </si>
  <si>
    <t>VAR-US</t>
  </si>
  <si>
    <t>Varian Medical Systems, Inc.</t>
  </si>
  <si>
    <t>Varian Medical Systems Inc.</t>
  </si>
  <si>
    <t>VAR</t>
  </si>
  <si>
    <t>US92220P1057</t>
  </si>
  <si>
    <t>2927925</t>
  </si>
  <si>
    <t>292792</t>
  </si>
  <si>
    <t>VTR-US</t>
  </si>
  <si>
    <t>Ventas, Inc.</t>
  </si>
  <si>
    <t>Ventas Inc.</t>
  </si>
  <si>
    <t>VTR</t>
  </si>
  <si>
    <t>US92276F1003</t>
  </si>
  <si>
    <t>2928683</t>
  </si>
  <si>
    <t>292868</t>
  </si>
  <si>
    <t>VFC-US</t>
  </si>
  <si>
    <t>V.F. Corporation</t>
  </si>
  <si>
    <t>VFC</t>
  </si>
  <si>
    <t>US9182041080</t>
  </si>
  <si>
    <t>2930149</t>
  </si>
  <si>
    <t>293014</t>
  </si>
  <si>
    <t>VSH-US</t>
  </si>
  <si>
    <t>Vishay Intertechnology, Inc.</t>
  </si>
  <si>
    <t>Vishay Intertechnology Inc.</t>
  </si>
  <si>
    <t>VSH</t>
  </si>
  <si>
    <t>US9282981086</t>
  </si>
  <si>
    <t>2931034</t>
  </si>
  <si>
    <t>293103</t>
  </si>
  <si>
    <t>VRTX-US</t>
  </si>
  <si>
    <t>Vertex Pharmaceuticals Incorporated</t>
  </si>
  <si>
    <t>VRTX</t>
  </si>
  <si>
    <t>US92532F1003</t>
  </si>
  <si>
    <t>2931205</t>
  </si>
  <si>
    <t>293120</t>
  </si>
  <si>
    <t>VMC-US</t>
  </si>
  <si>
    <t>Vulcan Materials Company</t>
  </si>
  <si>
    <t>VMC</t>
  </si>
  <si>
    <t>US9291601097</t>
  </si>
  <si>
    <t>2931595</t>
  </si>
  <si>
    <t>293159</t>
  </si>
  <si>
    <t>UIS-US</t>
  </si>
  <si>
    <t>Unisys Corporation</t>
  </si>
  <si>
    <t>UIS</t>
  </si>
  <si>
    <t>US9092143067</t>
  </si>
  <si>
    <t>2933438</t>
  </si>
  <si>
    <t>293343</t>
  </si>
  <si>
    <t>URBN-US</t>
  </si>
  <si>
    <t>Urban Outfitters, Inc.</t>
  </si>
  <si>
    <t>Urban Outfitters Inc.</t>
  </si>
  <si>
    <t>URBN</t>
  </si>
  <si>
    <t>US9170471026</t>
  </si>
  <si>
    <t>2933632</t>
  </si>
  <si>
    <t>293363</t>
  </si>
  <si>
    <t>VNO-US</t>
  </si>
  <si>
    <t>Vornado Realty Trust</t>
  </si>
  <si>
    <t>VNO</t>
  </si>
  <si>
    <t>US9290421091</t>
  </si>
  <si>
    <t>2935326</t>
  </si>
  <si>
    <t>293532</t>
  </si>
  <si>
    <t>VLY-US</t>
  </si>
  <si>
    <t>Valley National Bancorp</t>
  </si>
  <si>
    <t>VLY</t>
  </si>
  <si>
    <t>US9197941076</t>
  </si>
  <si>
    <t>2936921</t>
  </si>
  <si>
    <t>293692</t>
  </si>
  <si>
    <t>WMT-US</t>
  </si>
  <si>
    <t>Walmart Inc.</t>
  </si>
  <si>
    <t>WMT</t>
  </si>
  <si>
    <t>US9311421039</t>
  </si>
  <si>
    <t>2937667</t>
  </si>
  <si>
    <t>293766</t>
  </si>
  <si>
    <t>WM-US</t>
  </si>
  <si>
    <t>Waste Management, Inc.</t>
  </si>
  <si>
    <t>Waste Management Inc.</t>
  </si>
  <si>
    <t>WM</t>
  </si>
  <si>
    <t>US94106L1098</t>
  </si>
  <si>
    <t>2937689</t>
  </si>
  <si>
    <t>293768</t>
  </si>
  <si>
    <t>WAT-US</t>
  </si>
  <si>
    <t>Waters Corporation</t>
  </si>
  <si>
    <t>WAT</t>
  </si>
  <si>
    <t>US9418481035</t>
  </si>
  <si>
    <t>2938422</t>
  </si>
  <si>
    <t>293842</t>
  </si>
  <si>
    <t>VECO-US</t>
  </si>
  <si>
    <t>Veeco Instruments Inc.</t>
  </si>
  <si>
    <t>VECO</t>
  </si>
  <si>
    <t>US9224171002</t>
  </si>
  <si>
    <t>2941981</t>
  </si>
  <si>
    <t>294198</t>
  </si>
  <si>
    <t>WAFD-US</t>
  </si>
  <si>
    <t>Washington Federal, Inc.</t>
  </si>
  <si>
    <t>Washington Federal Inc.</t>
  </si>
  <si>
    <t>WAFD</t>
  </si>
  <si>
    <t>US9388241096</t>
  </si>
  <si>
    <t>2943523</t>
  </si>
  <si>
    <t>294352</t>
  </si>
  <si>
    <t>PAG-US</t>
  </si>
  <si>
    <t>Penske Automotive Group, Inc.</t>
  </si>
  <si>
    <t>Penske Automotive Group Inc.</t>
  </si>
  <si>
    <t>PAG</t>
  </si>
  <si>
    <t>US70959W1036</t>
  </si>
  <si>
    <t>2946618</t>
  </si>
  <si>
    <t>294661</t>
  </si>
  <si>
    <t>WRI-US</t>
  </si>
  <si>
    <t>Weingarten Realty Investors</t>
  </si>
  <si>
    <t>WRI</t>
  </si>
  <si>
    <t>US9487411038</t>
  </si>
  <si>
    <t>2951452</t>
  </si>
  <si>
    <t>295145</t>
  </si>
  <si>
    <t>SJM-US</t>
  </si>
  <si>
    <t>J. M. Smucker Company</t>
  </si>
  <si>
    <t>The J. M. Smucker Company</t>
  </si>
  <si>
    <t>SJM</t>
  </si>
  <si>
    <t>US8326964058</t>
  </si>
  <si>
    <t>2951805</t>
  </si>
  <si>
    <t>295180</t>
  </si>
  <si>
    <t>WLTGQ-US</t>
  </si>
  <si>
    <t>Walter Energy, Inc.</t>
  </si>
  <si>
    <t>Walter Energy Inc.</t>
  </si>
  <si>
    <t>WLTG.Q</t>
  </si>
  <si>
    <t>US93317Q1058</t>
  </si>
  <si>
    <t>2954699</t>
  </si>
  <si>
    <t>295469</t>
  </si>
  <si>
    <t>WDC-US</t>
  </si>
  <si>
    <t>Western Digital Corporation</t>
  </si>
  <si>
    <t>WDC</t>
  </si>
  <si>
    <t>US9581021055</t>
  </si>
  <si>
    <t>2955733</t>
  </si>
  <si>
    <t>295573</t>
  </si>
  <si>
    <t>WAB-US</t>
  </si>
  <si>
    <t>Westinghouse Air Brake Technologies Corporation</t>
  </si>
  <si>
    <t>WAB</t>
  </si>
  <si>
    <t>US9297401088</t>
  </si>
  <si>
    <t>2958936</t>
  </si>
  <si>
    <t>295893</t>
  </si>
  <si>
    <t>WY-US</t>
  </si>
  <si>
    <t>Weyerhaeuser Company</t>
  </si>
  <si>
    <t>Weyerhaeuser Co.</t>
  </si>
  <si>
    <t>WY</t>
  </si>
  <si>
    <t>US9621661043</t>
  </si>
  <si>
    <t>2960384</t>
  </si>
  <si>
    <t>296038</t>
  </si>
  <si>
    <t>WHR-US</t>
  </si>
  <si>
    <t>Whirlpool Corporation</t>
  </si>
  <si>
    <t>WHR</t>
  </si>
  <si>
    <t>US9633201069</t>
  </si>
  <si>
    <t>2961053</t>
  </si>
  <si>
    <t>296105</t>
  </si>
  <si>
    <t>SWKS-US</t>
  </si>
  <si>
    <t>Skyworks Solutions, Inc.</t>
  </si>
  <si>
    <t>Skyworks Solutions Inc.</t>
  </si>
  <si>
    <t>SWKS</t>
  </si>
  <si>
    <t>US83088M1027</t>
  </si>
  <si>
    <t>2963811</t>
  </si>
  <si>
    <t>296381</t>
  </si>
  <si>
    <t>WYNN-US</t>
  </si>
  <si>
    <t>Wynn Resorts, Limited</t>
  </si>
  <si>
    <t>Wynn Resorts Ltd.</t>
  </si>
  <si>
    <t>WYNN</t>
  </si>
  <si>
    <t>US9831341071</t>
  </si>
  <si>
    <t>2963899</t>
  </si>
  <si>
    <t>296389</t>
  </si>
  <si>
    <t>WFM-US</t>
  </si>
  <si>
    <t>Whole Foods Market, Inc.</t>
  </si>
  <si>
    <t>Whole Foods Market Inc.</t>
  </si>
  <si>
    <t>WFM</t>
  </si>
  <si>
    <t>US9668371068</t>
  </si>
  <si>
    <t>2965107</t>
  </si>
  <si>
    <t>296510</t>
  </si>
  <si>
    <t>NDAQ-US</t>
  </si>
  <si>
    <t>Nasdaq, Inc.</t>
  </si>
  <si>
    <t>Nasdaq Inc.</t>
  </si>
  <si>
    <t>NDAQ</t>
  </si>
  <si>
    <t>US6311031081</t>
  </si>
  <si>
    <t>2965668</t>
  </si>
  <si>
    <t>296566</t>
  </si>
  <si>
    <t>JW.A-US</t>
  </si>
  <si>
    <t>John Wiley &amp; Sons, Inc. Class A</t>
  </si>
  <si>
    <t>John Wiley &amp; Sons Inc.</t>
  </si>
  <si>
    <t>JW.A</t>
  </si>
  <si>
    <t>US9682232064</t>
  </si>
  <si>
    <t>2965839</t>
  </si>
  <si>
    <t>296583</t>
  </si>
  <si>
    <t>CME-US</t>
  </si>
  <si>
    <t>CME Group Inc. Class A</t>
  </si>
  <si>
    <t>CME Group Inc.</t>
  </si>
  <si>
    <t>CME</t>
  </si>
  <si>
    <t>US12572Q1058</t>
  </si>
  <si>
    <t>2967181</t>
  </si>
  <si>
    <t>296718</t>
  </si>
  <si>
    <t>WMB-US</t>
  </si>
  <si>
    <t>Williams Companies, Inc.</t>
  </si>
  <si>
    <t>The Williams Companies Inc.</t>
  </si>
  <si>
    <t>WMB</t>
  </si>
  <si>
    <t>US9694571004</t>
  </si>
  <si>
    <t>2967589</t>
  </si>
  <si>
    <t>296758</t>
  </si>
  <si>
    <t>WSM-US</t>
  </si>
  <si>
    <t>Williams-Sonoma, Inc.</t>
  </si>
  <si>
    <t>Williams-Sonoma Inc.</t>
  </si>
  <si>
    <t>WSM</t>
  </si>
  <si>
    <t>US9699041011</t>
  </si>
  <si>
    <t>2969637</t>
  </si>
  <si>
    <t>296963</t>
  </si>
  <si>
    <t>DKS-US</t>
  </si>
  <si>
    <t>Dick's Sporting Goods, Inc.</t>
  </si>
  <si>
    <t>Dick's Sporting Goods Inc.</t>
  </si>
  <si>
    <t>DKS</t>
  </si>
  <si>
    <t>US2533931026</t>
  </si>
  <si>
    <t>2971029</t>
  </si>
  <si>
    <t>297102</t>
  </si>
  <si>
    <t>LKQ-US</t>
  </si>
  <si>
    <t>LKQ Corporation</t>
  </si>
  <si>
    <t>LKQ</t>
  </si>
  <si>
    <t>US5018892084</t>
  </si>
  <si>
    <t>2973821</t>
  </si>
  <si>
    <t>297382</t>
  </si>
  <si>
    <t>LNT-US</t>
  </si>
  <si>
    <t>Alliant Energy Corp</t>
  </si>
  <si>
    <t>Alliant Energy Corporation</t>
  </si>
  <si>
    <t>LNT</t>
  </si>
  <si>
    <t>US0188021085</t>
  </si>
  <si>
    <t>2980906</t>
  </si>
  <si>
    <t>298090</t>
  </si>
  <si>
    <t>FL-US</t>
  </si>
  <si>
    <t>Foot Locker, Inc.</t>
  </si>
  <si>
    <t>Foot Locker Inc.</t>
  </si>
  <si>
    <t>FL</t>
  </si>
  <si>
    <t>US3448491049</t>
  </si>
  <si>
    <t>2983154</t>
  </si>
  <si>
    <t>298315</t>
  </si>
  <si>
    <t>AMTD-US</t>
  </si>
  <si>
    <t>TD Ameritrade Holding Corporation</t>
  </si>
  <si>
    <t>AMTD</t>
  </si>
  <si>
    <t>US87236Y1082</t>
  </si>
  <si>
    <t>2983563</t>
  </si>
  <si>
    <t>298356</t>
  </si>
  <si>
    <t>KMX-US</t>
  </si>
  <si>
    <t>CarMax, Inc.</t>
  </si>
  <si>
    <t>CarMax Inc.</t>
  </si>
  <si>
    <t>KMX</t>
  </si>
  <si>
    <t>US1431301027</t>
  </si>
  <si>
    <t>2985202</t>
  </si>
  <si>
    <t>BYWTW7</t>
  </si>
  <si>
    <t>XRX-US</t>
  </si>
  <si>
    <t>Xerox Corporation</t>
  </si>
  <si>
    <t>XRX</t>
  </si>
  <si>
    <t>US9841211033</t>
  </si>
  <si>
    <t>2985677</t>
  </si>
  <si>
    <t>298567</t>
  </si>
  <si>
    <t>XLNX-US</t>
  </si>
  <si>
    <t>Xilinx, Inc.</t>
  </si>
  <si>
    <t>Xilinx Inc.</t>
  </si>
  <si>
    <t>XLNX</t>
  </si>
  <si>
    <t>US9839191015</t>
  </si>
  <si>
    <t>2986539</t>
  </si>
  <si>
    <t>BF6V3T</t>
  </si>
  <si>
    <t>AABA-US</t>
  </si>
  <si>
    <t>Altaba Inc.</t>
  </si>
  <si>
    <t>Yahoo! Inc.</t>
  </si>
  <si>
    <t>YHOO</t>
  </si>
  <si>
    <t>US9843321061</t>
  </si>
  <si>
    <t>2987521</t>
  </si>
  <si>
    <t>298752</t>
  </si>
  <si>
    <t>XEC-US</t>
  </si>
  <si>
    <t>Cimarex Energy Co.</t>
  </si>
  <si>
    <t>XEC</t>
  </si>
  <si>
    <t>US1717981013</t>
  </si>
  <si>
    <t>2989301</t>
  </si>
  <si>
    <t>298930</t>
  </si>
  <si>
    <t>TJX-US</t>
  </si>
  <si>
    <t>TJX Companies Inc</t>
  </si>
  <si>
    <t>The TJX Companies Inc.</t>
  </si>
  <si>
    <t>TJX</t>
  </si>
  <si>
    <t>US8725401090</t>
  </si>
  <si>
    <t>2989356</t>
  </si>
  <si>
    <t>298935</t>
  </si>
  <si>
    <t>ZBRA-US</t>
  </si>
  <si>
    <t>Zebra Technologies Corporation Class A</t>
  </si>
  <si>
    <t>Zebra Technologies Corporation</t>
  </si>
  <si>
    <t>ZBRA</t>
  </si>
  <si>
    <t>US9892071054</t>
  </si>
  <si>
    <t>2989828</t>
  </si>
  <si>
    <t>298982</t>
  </si>
  <si>
    <t>ZION-US</t>
  </si>
  <si>
    <t>Zions Bancorporation</t>
  </si>
  <si>
    <t>ZION</t>
  </si>
  <si>
    <t>US9897011071</t>
  </si>
  <si>
    <t>WIN</t>
  </si>
  <si>
    <t>BNBRDD</t>
  </si>
  <si>
    <t>FNF-US</t>
  </si>
  <si>
    <t>Fidelity National Financial, Inc. - FNF Group</t>
  </si>
  <si>
    <t>OR</t>
  </si>
  <si>
    <t>SPR</t>
  </si>
  <si>
    <t>VER</t>
  </si>
  <si>
    <t>PM</t>
  </si>
  <si>
    <t>ZG</t>
  </si>
  <si>
    <t>HOT</t>
  </si>
  <si>
    <t>ORA</t>
  </si>
  <si>
    <t>53030710</t>
  </si>
  <si>
    <t>BRTLBY</t>
  </si>
  <si>
    <t>LBRDA-US</t>
  </si>
  <si>
    <t>Liberty Broadband Corp. Class A</t>
  </si>
  <si>
    <t>Liberty Broadband Corporation</t>
  </si>
  <si>
    <t>LBRD.K</t>
  </si>
  <si>
    <t>US5303073051</t>
  </si>
  <si>
    <t>53071M10</t>
  </si>
  <si>
    <t>BZ19HB</t>
  </si>
  <si>
    <t>QRTEA-US</t>
  </si>
  <si>
    <t>Qurate Retail, Inc. Class A</t>
  </si>
  <si>
    <t>Liberty Ventures</t>
  </si>
  <si>
    <t>LVNT.A</t>
  </si>
  <si>
    <t>US53071M8560</t>
  </si>
  <si>
    <t>TDC</t>
  </si>
  <si>
    <t>VAC</t>
  </si>
  <si>
    <t>AMP</t>
  </si>
  <si>
    <t>ASX</t>
  </si>
  <si>
    <t>ANTM</t>
  </si>
  <si>
    <t>PCL</t>
  </si>
  <si>
    <t>ASR</t>
  </si>
  <si>
    <t>WEC</t>
  </si>
  <si>
    <t>CAB</t>
  </si>
  <si>
    <t>FLT</t>
  </si>
  <si>
    <t>PSG</t>
  </si>
  <si>
    <t>PTC</t>
  </si>
  <si>
    <t>TAP</t>
  </si>
  <si>
    <t>WBA</t>
  </si>
  <si>
    <t>RF</t>
  </si>
  <si>
    <t>CE</t>
  </si>
  <si>
    <t>Pepco Holdings Inc.</t>
  </si>
  <si>
    <t>QLogic Corp.</t>
  </si>
  <si>
    <t>B00FWN1</t>
  </si>
  <si>
    <t>B00FWN</t>
  </si>
  <si>
    <t>ALNY-US</t>
  </si>
  <si>
    <t>Alnylam Pharmaceuticals, Inc</t>
  </si>
  <si>
    <t>Alnylam Pharmaceuticals Inc.</t>
  </si>
  <si>
    <t>ALNY</t>
  </si>
  <si>
    <t>US02043Q1076</t>
  </si>
  <si>
    <t>B00G8B4</t>
  </si>
  <si>
    <t>B00G8B</t>
  </si>
  <si>
    <t>GHL-US</t>
  </si>
  <si>
    <t>Greenhill &amp; Co., Inc.</t>
  </si>
  <si>
    <t>Greenhill &amp; Co. Inc.</t>
  </si>
  <si>
    <t>GHL</t>
  </si>
  <si>
    <t>US3952591044</t>
  </si>
  <si>
    <t>B00N2Z7</t>
  </si>
  <si>
    <t>B00N2Z</t>
  </si>
  <si>
    <t>CAB-US</t>
  </si>
  <si>
    <t>Cabela's Incorporated</t>
  </si>
  <si>
    <t>US1268043015</t>
  </si>
  <si>
    <t>KAR</t>
  </si>
  <si>
    <t>B011WL6</t>
  </si>
  <si>
    <t>B011WL</t>
  </si>
  <si>
    <t>GNW-US</t>
  </si>
  <si>
    <t>Genworth Financial, Inc. Class A</t>
  </si>
  <si>
    <t>Genworth Financial Inc.</t>
  </si>
  <si>
    <t>GNW</t>
  </si>
  <si>
    <t>US37247D1063</t>
  </si>
  <si>
    <t>CF</t>
  </si>
  <si>
    <t>B01R311</t>
  </si>
  <si>
    <t>B01R31</t>
  </si>
  <si>
    <t>RF-US</t>
  </si>
  <si>
    <t>Regions Financial Corporation</t>
  </si>
  <si>
    <t>US7591EP1005</t>
  </si>
  <si>
    <t>B01ZP20</t>
  </si>
  <si>
    <t>B01ZP2</t>
  </si>
  <si>
    <t>WLK-US</t>
  </si>
  <si>
    <t>Westlake Chemical Corporation</t>
  </si>
  <si>
    <t>WLK</t>
  </si>
  <si>
    <t>US9604131022</t>
  </si>
  <si>
    <t>B02HWR9</t>
  </si>
  <si>
    <t>B02HWR</t>
  </si>
  <si>
    <t>EXR-US</t>
  </si>
  <si>
    <t>Extra Space Storage Inc.</t>
  </si>
  <si>
    <t>EXR</t>
  </si>
  <si>
    <t>US30225T1025</t>
  </si>
  <si>
    <t>PAY</t>
  </si>
  <si>
    <t>B02T2J7</t>
  </si>
  <si>
    <t>B02T2J</t>
  </si>
  <si>
    <t>LVS-US</t>
  </si>
  <si>
    <t>Las Vegas Sands Corp.</t>
  </si>
  <si>
    <t>LVS</t>
  </si>
  <si>
    <t>US5178341070</t>
  </si>
  <si>
    <t>B03BLR3</t>
  </si>
  <si>
    <t>B03BLR</t>
  </si>
  <si>
    <t>DWA-US</t>
  </si>
  <si>
    <t>DreamWorks Animation SKG, Inc. Class A</t>
  </si>
  <si>
    <t>DreamWorks Animation SKG Inc.</t>
  </si>
  <si>
    <t>US26153C1036</t>
  </si>
  <si>
    <t>B03GQS4</t>
  </si>
  <si>
    <t>B03GQS</t>
  </si>
  <si>
    <t>DLR-US</t>
  </si>
  <si>
    <t>Digital Realty Trust, Inc.</t>
  </si>
  <si>
    <t>Digital Realty Trust Inc.</t>
  </si>
  <si>
    <t>DLR</t>
  </si>
  <si>
    <t>US2538681030</t>
  </si>
  <si>
    <t>B03L311</t>
  </si>
  <si>
    <t>B03L31</t>
  </si>
  <si>
    <t>ORA-US</t>
  </si>
  <si>
    <t>Ormat Technologies, Inc.</t>
  </si>
  <si>
    <t>Ormat Technologies Inc.</t>
  </si>
  <si>
    <t>US6866881021</t>
  </si>
  <si>
    <t>GEO</t>
  </si>
  <si>
    <t>B046P42</t>
  </si>
  <si>
    <t>B046P4</t>
  </si>
  <si>
    <t>ATP-CA</t>
  </si>
  <si>
    <t>Atlantic Power Corporation</t>
  </si>
  <si>
    <t>ATP</t>
  </si>
  <si>
    <t>CA04878Q8636</t>
  </si>
  <si>
    <t>B04NJM9</t>
  </si>
  <si>
    <t>B04NJM</t>
  </si>
  <si>
    <t>DLB-US</t>
  </si>
  <si>
    <t>Dolby Laboratories, Inc. Class A</t>
  </si>
  <si>
    <t>Dolby Laboratories Inc.</t>
  </si>
  <si>
    <t>DLB</t>
  </si>
  <si>
    <t>US25659T1079</t>
  </si>
  <si>
    <t>B05MZT4</t>
  </si>
  <si>
    <t>B05MZT</t>
  </si>
  <si>
    <t>CE-US</t>
  </si>
  <si>
    <t>Celanese Corporation Class A</t>
  </si>
  <si>
    <t>Celanese Corporation</t>
  </si>
  <si>
    <t>US1508701034</t>
  </si>
  <si>
    <t>B0650B9</t>
  </si>
  <si>
    <t>B0650B</t>
  </si>
  <si>
    <t>HUN-US</t>
  </si>
  <si>
    <t>Huntsman Corporation</t>
  </si>
  <si>
    <t>HUN</t>
  </si>
  <si>
    <t>US4470111075</t>
  </si>
  <si>
    <t>CIE</t>
  </si>
  <si>
    <t>B067BM3</t>
  </si>
  <si>
    <t>B067BM</t>
  </si>
  <si>
    <t>TAP-US</t>
  </si>
  <si>
    <t>Molson Coors Brewing Company Class B</t>
  </si>
  <si>
    <t>Molson Coors Brewing Company</t>
  </si>
  <si>
    <t>US60871R2094</t>
  </si>
  <si>
    <t>B07RH68</t>
  </si>
  <si>
    <t>B07RH6</t>
  </si>
  <si>
    <t>PAY-US</t>
  </si>
  <si>
    <t>VeriFone Systems, Inc.</t>
  </si>
  <si>
    <t>VeriFone Systems Inc.</t>
  </si>
  <si>
    <t>US92342Y1091</t>
  </si>
  <si>
    <t>B081QB7</t>
  </si>
  <si>
    <t>B081QB</t>
  </si>
  <si>
    <t>ZUMZ-US</t>
  </si>
  <si>
    <t>Zumiez Inc.</t>
  </si>
  <si>
    <t>ZUMZ</t>
  </si>
  <si>
    <t>US9898171015</t>
  </si>
  <si>
    <t>B081VR8</t>
  </si>
  <si>
    <t>B081VR</t>
  </si>
  <si>
    <t>MORN-US</t>
  </si>
  <si>
    <t>Morningstar, Inc.</t>
  </si>
  <si>
    <t>Morningstar Inc.</t>
  </si>
  <si>
    <t>MORN</t>
  </si>
  <si>
    <t>US6177001095</t>
  </si>
  <si>
    <t>POM</t>
  </si>
  <si>
    <t>B0C8R66</t>
  </si>
  <si>
    <t>B0C8R6</t>
  </si>
  <si>
    <t>NSR-US</t>
  </si>
  <si>
    <t>NeuStar, Inc. Class A</t>
  </si>
  <si>
    <t>NeuStar Inc.</t>
  </si>
  <si>
    <t>NSR</t>
  </si>
  <si>
    <t>US64126X2018</t>
  </si>
  <si>
    <t>B0F0F09</t>
  </si>
  <si>
    <t>B0F0F0</t>
  </si>
  <si>
    <t>IAC-US</t>
  </si>
  <si>
    <t>IAC/InterActiveCorp.</t>
  </si>
  <si>
    <t>IAC</t>
  </si>
  <si>
    <t>US44919P5089</t>
  </si>
  <si>
    <t>B0G4K50</t>
  </si>
  <si>
    <t>B0G4K5</t>
  </si>
  <si>
    <t>CF-US</t>
  </si>
  <si>
    <t>CF Industries Holdings, Inc.</t>
  </si>
  <si>
    <t>CF Industries Holdings Inc.</t>
  </si>
  <si>
    <t>US1252691001</t>
  </si>
  <si>
    <t>EMC</t>
  </si>
  <si>
    <t>B0J7D57</t>
  </si>
  <si>
    <t>B0J7D5</t>
  </si>
  <si>
    <t>AMP-US</t>
  </si>
  <si>
    <t>Ameriprise Financial, Inc.</t>
  </si>
  <si>
    <t>Ameriprise Financial Inc.</t>
  </si>
  <si>
    <t>US03076C1062</t>
  </si>
  <si>
    <t>B0LLFT5</t>
  </si>
  <si>
    <t>B0LLFT</t>
  </si>
  <si>
    <t>GME-US</t>
  </si>
  <si>
    <t>GameStop Corp. Class A</t>
  </si>
  <si>
    <t>GameStop Corp.</t>
  </si>
  <si>
    <t>GME</t>
  </si>
  <si>
    <t>US36467W1099</t>
  </si>
  <si>
    <t>B0LMJC9</t>
  </si>
  <si>
    <t>B0LMJC</t>
  </si>
  <si>
    <t>WBMD-US</t>
  </si>
  <si>
    <t>WebMD Health Corp.</t>
  </si>
  <si>
    <t>WBMD</t>
  </si>
  <si>
    <t>US94770V1026</t>
  </si>
  <si>
    <t>B0P01M3</t>
  </si>
  <si>
    <t>B0P01M</t>
  </si>
  <si>
    <t>CCO-US</t>
  </si>
  <si>
    <t>Clear Channel Outdoor Holdings, Inc. Class A</t>
  </si>
  <si>
    <t>Clear Channel Outdoor Holdings Inc.</t>
  </si>
  <si>
    <t>US18451C1099</t>
  </si>
  <si>
    <t>B0PZN11</t>
  </si>
  <si>
    <t>B0PZN1</t>
  </si>
  <si>
    <t>UAA-US</t>
  </si>
  <si>
    <t>Under Armour, Inc. Class A</t>
  </si>
  <si>
    <t>Under Armour Inc.</t>
  </si>
  <si>
    <t>UAA</t>
  </si>
  <si>
    <t>US9043111072</t>
  </si>
  <si>
    <t>B0PZN33</t>
  </si>
  <si>
    <t>B0PZN3</t>
  </si>
  <si>
    <t>BKD-US</t>
  </si>
  <si>
    <t>Brookdale Senior Living Inc.</t>
  </si>
  <si>
    <t>BKD</t>
  </si>
  <si>
    <t>US1124631045</t>
  </si>
  <si>
    <t>B0SRLF4</t>
  </si>
  <si>
    <t>B0SRLF</t>
  </si>
  <si>
    <t>VIAB-US</t>
  </si>
  <si>
    <t>Viacom Inc. Class B</t>
  </si>
  <si>
    <t>Viacom Inc.</t>
  </si>
  <si>
    <t>VIAB</t>
  </si>
  <si>
    <t>US92553P2011</t>
  </si>
  <si>
    <t>B0SRLH6</t>
  </si>
  <si>
    <t>B0SRLH</t>
  </si>
  <si>
    <t>CBS-US</t>
  </si>
  <si>
    <t>CBS Corporation Class B</t>
  </si>
  <si>
    <t>CBS Corporation</t>
  </si>
  <si>
    <t>CBS</t>
  </si>
  <si>
    <t>US1248572026</t>
  </si>
  <si>
    <t>B0WFZT6</t>
  </si>
  <si>
    <t>B0WFZT</t>
  </si>
  <si>
    <t>LINEQ-US</t>
  </si>
  <si>
    <t>Linn Energy, LLC</t>
  </si>
  <si>
    <t>Linn Energy LLC</t>
  </si>
  <si>
    <t>LNGG</t>
  </si>
  <si>
    <t>US5360201009</t>
  </si>
  <si>
    <t>B0X7DZ3</t>
  </si>
  <si>
    <t>B0X7DZ</t>
  </si>
  <si>
    <t>CMG-US</t>
  </si>
  <si>
    <t>Chipotle Mexican Grill, Inc.</t>
  </si>
  <si>
    <t>Chipotle Mexican Grill Inc.</t>
  </si>
  <si>
    <t>US1696561059</t>
  </si>
  <si>
    <t>B0YBGD3</t>
  </si>
  <si>
    <t>BF3Z6R</t>
  </si>
  <si>
    <t>XCOOQ-US</t>
  </si>
  <si>
    <t>EXCO Resources, Inc.</t>
  </si>
  <si>
    <t>EXCO Resources Inc.</t>
  </si>
  <si>
    <t>XCO</t>
  </si>
  <si>
    <t>US2692794025</t>
  </si>
  <si>
    <t>B11FJK3</t>
  </si>
  <si>
    <t>B11FJK</t>
  </si>
  <si>
    <t>TDG-US</t>
  </si>
  <si>
    <t>TransDigm Group Incorporated</t>
  </si>
  <si>
    <t>TDG</t>
  </si>
  <si>
    <t>US8936411003</t>
  </si>
  <si>
    <t>B121557</t>
  </si>
  <si>
    <t>B12155</t>
  </si>
  <si>
    <t>MA-US</t>
  </si>
  <si>
    <t>Mastercard Incorporated Class A</t>
  </si>
  <si>
    <t>Mastercard Incorporated</t>
  </si>
  <si>
    <t>MA</t>
  </si>
  <si>
    <t>US57636Q1040</t>
  </si>
  <si>
    <t>B125XQ6</t>
  </si>
  <si>
    <t>B125XQ</t>
  </si>
  <si>
    <t>POR-US</t>
  </si>
  <si>
    <t>Portland General Electric Company</t>
  </si>
  <si>
    <t>POR</t>
  </si>
  <si>
    <t>US7365088472</t>
  </si>
  <si>
    <t>B144703</t>
  </si>
  <si>
    <t>QVC Group</t>
  </si>
  <si>
    <t>QVCA</t>
  </si>
  <si>
    <t>US53071M1045</t>
  </si>
  <si>
    <t>DAL</t>
  </si>
  <si>
    <t>B14PL71</t>
  </si>
  <si>
    <t>B14PL7</t>
  </si>
  <si>
    <t>OCN-US</t>
  </si>
  <si>
    <t>Ocwen Financial Corporation</t>
  </si>
  <si>
    <t>OCN</t>
  </si>
  <si>
    <t>US6757463095</t>
  </si>
  <si>
    <t>B198391</t>
  </si>
  <si>
    <t>B19839</t>
  </si>
  <si>
    <t>WYN-US</t>
  </si>
  <si>
    <t>Wyndham Worldwide Corporation</t>
  </si>
  <si>
    <t>WYN</t>
  </si>
  <si>
    <t>US98310W1080</t>
  </si>
  <si>
    <t>B1BJSL9</t>
  </si>
  <si>
    <t>B1BJSL</t>
  </si>
  <si>
    <t>HBI-US</t>
  </si>
  <si>
    <t>Hanesbrands Inc.</t>
  </si>
  <si>
    <t>HBI</t>
  </si>
  <si>
    <t>US4103451021</t>
  </si>
  <si>
    <t>B1CL8J2</t>
  </si>
  <si>
    <t>B1CL8J</t>
  </si>
  <si>
    <t>CAR-US</t>
  </si>
  <si>
    <t>Avis Budget Group, Inc.</t>
  </si>
  <si>
    <t>Avis Budget Group Inc.</t>
  </si>
  <si>
    <t>US0537741052</t>
  </si>
  <si>
    <t>B1F76F9</t>
  </si>
  <si>
    <t>B1F76F</t>
  </si>
  <si>
    <t>WU-US</t>
  </si>
  <si>
    <t>Western Union Company</t>
  </si>
  <si>
    <t>The Western Union Company</t>
  </si>
  <si>
    <t>WU</t>
  </si>
  <si>
    <t>US9598021098</t>
  </si>
  <si>
    <t>B1FLZ21</t>
  </si>
  <si>
    <t>B1FLZ2</t>
  </si>
  <si>
    <t>CIEN-US</t>
  </si>
  <si>
    <t>Ciena Corporation</t>
  </si>
  <si>
    <t>CIEN</t>
  </si>
  <si>
    <t>US1717793095</t>
  </si>
  <si>
    <t>B1FT462</t>
  </si>
  <si>
    <t>B1FT46</t>
  </si>
  <si>
    <t>AWI-US</t>
  </si>
  <si>
    <t>Armstrong World Industries, Inc.</t>
  </si>
  <si>
    <t>Armstrong World Industries Inc.</t>
  </si>
  <si>
    <t>AWI</t>
  </si>
  <si>
    <t>US04247X1028</t>
  </si>
  <si>
    <t>B1FW7Q2</t>
  </si>
  <si>
    <t>B1FW7Q</t>
  </si>
  <si>
    <t>OC-US</t>
  </si>
  <si>
    <t>Owens Corning</t>
  </si>
  <si>
    <t>OC</t>
  </si>
  <si>
    <t>US6907421019</t>
  </si>
  <si>
    <t>B1G3M58</t>
  </si>
  <si>
    <t>B1G3M5</t>
  </si>
  <si>
    <t>DEI-US</t>
  </si>
  <si>
    <t>Douglas Emmett, Inc</t>
  </si>
  <si>
    <t>Douglas Emmett Inc.</t>
  </si>
  <si>
    <t>DEI</t>
  </si>
  <si>
    <t>US25960P1093</t>
  </si>
  <si>
    <t>B1GZ005</t>
  </si>
  <si>
    <t>B1GZ00</t>
  </si>
  <si>
    <t>SBH-US</t>
  </si>
  <si>
    <t>Sally Beauty Holdings, Inc.</t>
  </si>
  <si>
    <t>Sally Beauty Holdings Inc.</t>
  </si>
  <si>
    <t>SBH</t>
  </si>
  <si>
    <t>US79546E1047</t>
  </si>
  <si>
    <t>KN</t>
  </si>
  <si>
    <t>B1HHB18</t>
  </si>
  <si>
    <t>B1HHB1</t>
  </si>
  <si>
    <t>KBR-US</t>
  </si>
  <si>
    <t>KBR, Inc.</t>
  </si>
  <si>
    <t>KBR Inc.</t>
  </si>
  <si>
    <t>KBR</t>
  </si>
  <si>
    <t>US48242W1062</t>
  </si>
  <si>
    <t>B1HMF22</t>
  </si>
  <si>
    <t>B1HMF2</t>
  </si>
  <si>
    <t>FSLR-US</t>
  </si>
  <si>
    <t>First Solar, Inc.</t>
  </si>
  <si>
    <t>First Solar Inc.</t>
  </si>
  <si>
    <t>FSLR</t>
  </si>
  <si>
    <t>US3364331070</t>
  </si>
  <si>
    <t>B1HMMS7</t>
  </si>
  <si>
    <t>B1HMMS</t>
  </si>
  <si>
    <t>SPR-US</t>
  </si>
  <si>
    <t>Spirit AeroSystems Holdings, Inc. Class A</t>
  </si>
  <si>
    <t>Spirit AeroSystems Holdings Inc.</t>
  </si>
  <si>
    <t>US8485741099</t>
  </si>
  <si>
    <t>B1L60G9</t>
  </si>
  <si>
    <t>B1L60G</t>
  </si>
  <si>
    <t>SE.XX11-US</t>
  </si>
  <si>
    <t>Spectra Energy Corp</t>
  </si>
  <si>
    <t>Spectra Energy Corp.</t>
  </si>
  <si>
    <t>US8475601097</t>
  </si>
  <si>
    <t>B1VP7R6</t>
  </si>
  <si>
    <t>B1VP7R</t>
  </si>
  <si>
    <t>BR-US</t>
  </si>
  <si>
    <t>Broadridge Financial Solutions, Inc.</t>
  </si>
  <si>
    <t>Broadridge Financial Solutions Inc.</t>
  </si>
  <si>
    <t>BR</t>
  </si>
  <si>
    <t>US11133T1034</t>
  </si>
  <si>
    <t>B1VZ431</t>
  </si>
  <si>
    <t>B1VZ43</t>
  </si>
  <si>
    <t>ACM-US</t>
  </si>
  <si>
    <t>AECOM</t>
  </si>
  <si>
    <t>ACM</t>
  </si>
  <si>
    <t>US00766T1007</t>
  </si>
  <si>
    <t>B1W41J2</t>
  </si>
  <si>
    <t>B1W41J</t>
  </si>
  <si>
    <t>PBCT-US</t>
  </si>
  <si>
    <t>People's United Financial, Inc.</t>
  </si>
  <si>
    <t>People's United Financial Inc.</t>
  </si>
  <si>
    <t>PBCT</t>
  </si>
  <si>
    <t>US7127041058</t>
  </si>
  <si>
    <t>B1W8J67</t>
  </si>
  <si>
    <t>B1W8J6</t>
  </si>
  <si>
    <t>TFSL-US</t>
  </si>
  <si>
    <t>TFS Financial Corporation</t>
  </si>
  <si>
    <t>TFS Financial Corp</t>
  </si>
  <si>
    <t>TFSL</t>
  </si>
  <si>
    <t>US87240R1077</t>
  </si>
  <si>
    <t>B1W9D46</t>
  </si>
  <si>
    <t>B1W9D4</t>
  </si>
  <si>
    <t>DAL-US</t>
  </si>
  <si>
    <t>Delta Air Lines, Inc.</t>
  </si>
  <si>
    <t>Delta Air Lines Inc.</t>
  </si>
  <si>
    <t>US2473617023</t>
  </si>
  <si>
    <t>B1WT4X2</t>
  </si>
  <si>
    <t>B1WT4X</t>
  </si>
  <si>
    <t>IBKR-US</t>
  </si>
  <si>
    <t>Interactive Brokers Group, Inc. Class A</t>
  </si>
  <si>
    <t>Interactive Brokers Group Inc.</t>
  </si>
  <si>
    <t>IBKR</t>
  </si>
  <si>
    <t>US45841N1072</t>
  </si>
  <si>
    <t>B1XDZ96</t>
  </si>
  <si>
    <t>B1XDZ9</t>
  </si>
  <si>
    <t>SLH-US</t>
  </si>
  <si>
    <t>Solera Holdings, Inc.</t>
  </si>
  <si>
    <t>Solera Holdings Inc.</t>
  </si>
  <si>
    <t>US83421A1043</t>
  </si>
  <si>
    <t>B1XGWS3</t>
  </si>
  <si>
    <t>B1XGWS</t>
  </si>
  <si>
    <t>CLR-US</t>
  </si>
  <si>
    <t>Continental Resources, Inc.</t>
  </si>
  <si>
    <t>Continental Resources Inc.</t>
  </si>
  <si>
    <t>CLR</t>
  </si>
  <si>
    <t>US2120151012</t>
  </si>
  <si>
    <t>DG</t>
  </si>
  <si>
    <t>AAL</t>
  </si>
  <si>
    <t>B1YLC43</t>
  </si>
  <si>
    <t>B1YLC4</t>
  </si>
  <si>
    <t>DFS-US</t>
  </si>
  <si>
    <t>Discover Financial Services</t>
  </si>
  <si>
    <t>DFS</t>
  </si>
  <si>
    <t>US2547091080</t>
  </si>
  <si>
    <t>B1YWNW1</t>
  </si>
  <si>
    <t>B1YWNW</t>
  </si>
  <si>
    <t>BX-US</t>
  </si>
  <si>
    <t>Blackstone Group L.P.</t>
  </si>
  <si>
    <t>The Blackstone Group</t>
  </si>
  <si>
    <t>BX</t>
  </si>
  <si>
    <t>US09253U1088</t>
  </si>
  <si>
    <t>B1YWRK7</t>
  </si>
  <si>
    <t>B1YWRK</t>
  </si>
  <si>
    <t>CXO-US</t>
  </si>
  <si>
    <t>Concho Resources Inc.</t>
  </si>
  <si>
    <t>CXO</t>
  </si>
  <si>
    <t>US20605P1012</t>
  </si>
  <si>
    <t>ALM</t>
  </si>
  <si>
    <t>B1Z77F6</t>
  </si>
  <si>
    <t>B1Z77F</t>
  </si>
  <si>
    <t>BK-US</t>
  </si>
  <si>
    <t>Bank of New York Mellon Corporation</t>
  </si>
  <si>
    <t>The Bank of New York Mellon Corporation</t>
  </si>
  <si>
    <t>BK</t>
  </si>
  <si>
    <t>US0640581007</t>
  </si>
  <si>
    <t>B23SN61</t>
  </si>
  <si>
    <t>B23SN6</t>
  </si>
  <si>
    <t>VMW-US</t>
  </si>
  <si>
    <t>VMware, Inc. Class A</t>
  </si>
  <si>
    <t>VMware Inc.</t>
  </si>
  <si>
    <t>VMW</t>
  </si>
  <si>
    <t>US9285634021</t>
  </si>
  <si>
    <t>B247H10</t>
  </si>
  <si>
    <t>B247H1</t>
  </si>
  <si>
    <t>TDC-US</t>
  </si>
  <si>
    <t>Teradata Corporation</t>
  </si>
  <si>
    <t>US88076W1036</t>
  </si>
  <si>
    <t>B28TS42</t>
  </si>
  <si>
    <t>B28TS4</t>
  </si>
  <si>
    <t>ULTA-US</t>
  </si>
  <si>
    <t>Ulta Beauty Inc</t>
  </si>
  <si>
    <t>Ulta Beauty Inc.</t>
  </si>
  <si>
    <t>ULTA</t>
  </si>
  <si>
    <t>US90384S3031</t>
  </si>
  <si>
    <t>B28XP76</t>
  </si>
  <si>
    <t>B28XP7</t>
  </si>
  <si>
    <t>IVZ-US</t>
  </si>
  <si>
    <t>Invesco Ltd.</t>
  </si>
  <si>
    <t>IVZ</t>
  </si>
  <si>
    <t>BMG491BT1088</t>
  </si>
  <si>
    <t>Hatteras Financial Corp</t>
  </si>
  <si>
    <t>B2972D2</t>
  </si>
  <si>
    <t>B2972D</t>
  </si>
  <si>
    <t>MSCI-US</t>
  </si>
  <si>
    <t>MSCI Inc. Class A</t>
  </si>
  <si>
    <t>MSCI Inc.</t>
  </si>
  <si>
    <t>MSCI</t>
  </si>
  <si>
    <t>US55354G1004</t>
  </si>
  <si>
    <t>B29N9B7</t>
  </si>
  <si>
    <t>B29N9B</t>
  </si>
  <si>
    <t>FDML-US</t>
  </si>
  <si>
    <t>Federal-Mogul Holdings Corp</t>
  </si>
  <si>
    <t>Federal-Mogul Holdings Corporation</t>
  </si>
  <si>
    <t>US3135494041</t>
  </si>
  <si>
    <t>B2NC471</t>
  </si>
  <si>
    <t>B2NC47</t>
  </si>
  <si>
    <t>SATS-US</t>
  </si>
  <si>
    <t>EchoStar Corporation Class A</t>
  </si>
  <si>
    <t>EchoStar Corp.</t>
  </si>
  <si>
    <t>SATS</t>
  </si>
  <si>
    <t>US2787681061</t>
  </si>
  <si>
    <t>B2NKK22</t>
  </si>
  <si>
    <t>B2NKK2</t>
  </si>
  <si>
    <t>CPN-US</t>
  </si>
  <si>
    <t>Calpine Corporation</t>
  </si>
  <si>
    <t>Calpine Corp.</t>
  </si>
  <si>
    <t>CPN</t>
  </si>
  <si>
    <t>US1313473043</t>
  </si>
  <si>
    <t>B2PKRQ3</t>
  </si>
  <si>
    <t>B2PKRQ</t>
  </si>
  <si>
    <t>PM-US</t>
  </si>
  <si>
    <t>Philip Morris International Inc.</t>
  </si>
  <si>
    <t>US7181721090</t>
  </si>
  <si>
    <t>B2PZN04</t>
  </si>
  <si>
    <t>B2PZN0</t>
  </si>
  <si>
    <t>V-US</t>
  </si>
  <si>
    <t>Visa Inc. Class A</t>
  </si>
  <si>
    <t>Visa Inc.</t>
  </si>
  <si>
    <t>V</t>
  </si>
  <si>
    <t>US92826C8394</t>
  </si>
  <si>
    <t>B2QGDP1</t>
  </si>
  <si>
    <t>B2QGDP</t>
  </si>
  <si>
    <t>HI-US</t>
  </si>
  <si>
    <t>Hillenbrand, Inc.</t>
  </si>
  <si>
    <t>Hillenbrand Inc.</t>
  </si>
  <si>
    <t>HI</t>
  </si>
  <si>
    <t>US4315711089</t>
  </si>
  <si>
    <t>B2QVR76</t>
  </si>
  <si>
    <t>B2QVR7</t>
  </si>
  <si>
    <t>IPI-US</t>
  </si>
  <si>
    <t>Intrepid Potash, Inc.</t>
  </si>
  <si>
    <t>Intrepid Potash Inc.</t>
  </si>
  <si>
    <t>IPI</t>
  </si>
  <si>
    <t>US46121Y1029</t>
  </si>
  <si>
    <t>B2QW0Z8</t>
  </si>
  <si>
    <t>B2QW0Z</t>
  </si>
  <si>
    <t>DPS-US</t>
  </si>
  <si>
    <t>Dr Pepper Snapple Group, Inc.</t>
  </si>
  <si>
    <t>Dr Pepper Snapple Group Inc.</t>
  </si>
  <si>
    <t>DPS</t>
  </si>
  <si>
    <t>US26138E1091</t>
  </si>
  <si>
    <t>B2R3PV1</t>
  </si>
  <si>
    <t>B2R3PV</t>
  </si>
  <si>
    <t>AWK-US</t>
  </si>
  <si>
    <t>American Water Works Company, Inc.</t>
  </si>
  <si>
    <t>American Water Works Company Inc.</t>
  </si>
  <si>
    <t>AWK</t>
  </si>
  <si>
    <t>US0304201033</t>
  </si>
  <si>
    <t>B2RB4W9</t>
  </si>
  <si>
    <t>B2RB4W</t>
  </si>
  <si>
    <t>CFX-US</t>
  </si>
  <si>
    <t>Colfax Corporation</t>
  </si>
  <si>
    <t>CFX</t>
  </si>
  <si>
    <t>US1940141062</t>
  </si>
  <si>
    <t>B39QT24</t>
  </si>
  <si>
    <t>B39QT2</t>
  </si>
  <si>
    <t>SNI-US</t>
  </si>
  <si>
    <t>Scripps Networks Interactive, Inc. Class A</t>
  </si>
  <si>
    <t>Scripps Networks Interactive Inc.</t>
  </si>
  <si>
    <t>SNI</t>
  </si>
  <si>
    <t>US8110651010</t>
  </si>
  <si>
    <t>CB</t>
  </si>
  <si>
    <t>B3D7K31</t>
  </si>
  <si>
    <t>B3D7K3</t>
  </si>
  <si>
    <t>DISCA-US</t>
  </si>
  <si>
    <t>Discovery, Inc. Class A</t>
  </si>
  <si>
    <t>Discovery Communications Inc.</t>
  </si>
  <si>
    <t>DISC.A</t>
  </si>
  <si>
    <t>US25470F1049</t>
  </si>
  <si>
    <t>B3K3L40</t>
  </si>
  <si>
    <t>B3K3L4</t>
  </si>
  <si>
    <t>MPC-US</t>
  </si>
  <si>
    <t>Marathon Petroleum Corporation</t>
  </si>
  <si>
    <t>MPC</t>
  </si>
  <si>
    <t>US56585A1025</t>
  </si>
  <si>
    <t>B3KWJV0</t>
  </si>
  <si>
    <t>B3KWJV</t>
  </si>
  <si>
    <t>CFFN-US</t>
  </si>
  <si>
    <t>Capitol Federal Financial, Inc.</t>
  </si>
  <si>
    <t>Capitol Federal Financial Inc.</t>
  </si>
  <si>
    <t>CFFN</t>
  </si>
  <si>
    <t>US14057J1016</t>
  </si>
  <si>
    <t>B3LHT03</t>
  </si>
  <si>
    <t>B3LHT0</t>
  </si>
  <si>
    <t>DNKN-US</t>
  </si>
  <si>
    <t>Dunkin' Brands Group, Inc.</t>
  </si>
  <si>
    <t>Dunkin' Brands Group Inc.</t>
  </si>
  <si>
    <t>DNKN</t>
  </si>
  <si>
    <t>US2655041000</t>
  </si>
  <si>
    <t>B3M3278</t>
  </si>
  <si>
    <t>B3M327</t>
  </si>
  <si>
    <t>PDM-US</t>
  </si>
  <si>
    <t>Piedmont Office Realty Trust, Inc. Class A</t>
  </si>
  <si>
    <t>Piedmont Office Realty Trust Inc.</t>
  </si>
  <si>
    <t>PDM</t>
  </si>
  <si>
    <t>US7201902068</t>
  </si>
  <si>
    <t>B3MC7D6</t>
  </si>
  <si>
    <t>B3MC7D</t>
  </si>
  <si>
    <t>FBHS-US</t>
  </si>
  <si>
    <t>Fortune Brands Home &amp; Security, Inc.</t>
  </si>
  <si>
    <t>Fortune Brands Home &amp; Security Inc.</t>
  </si>
  <si>
    <t>FBHS</t>
  </si>
  <si>
    <t>US34964C1062</t>
  </si>
  <si>
    <t>B3NPHP6</t>
  </si>
  <si>
    <t>B3NPHP</t>
  </si>
  <si>
    <t>MOS-US</t>
  </si>
  <si>
    <t>Mosaic Company</t>
  </si>
  <si>
    <t>The Mosaic Company</t>
  </si>
  <si>
    <t>MOS</t>
  </si>
  <si>
    <t>US61945C1036</t>
  </si>
  <si>
    <t>B3NQ4P8</t>
  </si>
  <si>
    <t>B3NQ4P</t>
  </si>
  <si>
    <t>KMI-US</t>
  </si>
  <si>
    <t>Kinder Morgan Inc Class P</t>
  </si>
  <si>
    <t>Kinder Morgan Inc.</t>
  </si>
  <si>
    <t>KMI</t>
  </si>
  <si>
    <t>US49456B1017</t>
  </si>
  <si>
    <t>B3NXMJ9</t>
  </si>
  <si>
    <t>B3NXMJ</t>
  </si>
  <si>
    <t>WEN-US</t>
  </si>
  <si>
    <t>Wendy's Company</t>
  </si>
  <si>
    <t>The Wendy's Company</t>
  </si>
  <si>
    <t>WEN</t>
  </si>
  <si>
    <t>US95058W1009</t>
  </si>
  <si>
    <t>B3P2CN8</t>
  </si>
  <si>
    <t>B3P2CN</t>
  </si>
  <si>
    <t>XYL-US</t>
  </si>
  <si>
    <t>Xylem Inc.</t>
  </si>
  <si>
    <t>XYL</t>
  </si>
  <si>
    <t>US98419M1009</t>
  </si>
  <si>
    <t>B3Q2FJ4</t>
  </si>
  <si>
    <t>B3Q2FJ</t>
  </si>
  <si>
    <t>SWK-US</t>
  </si>
  <si>
    <t>Stanley Black &amp; Decker, Inc.</t>
  </si>
  <si>
    <t>Stanley Black &amp; Decker Inc.</t>
  </si>
  <si>
    <t>SWK</t>
  </si>
  <si>
    <t>US8545021011</t>
  </si>
  <si>
    <t>B3V9F12</t>
  </si>
  <si>
    <t>B3V9F1</t>
  </si>
  <si>
    <t>PVH-US</t>
  </si>
  <si>
    <t>PVH Corp.</t>
  </si>
  <si>
    <t>PVH</t>
  </si>
  <si>
    <t>US6936561009</t>
  </si>
  <si>
    <t>B3VLKV3</t>
  </si>
  <si>
    <t>B3VLKV</t>
  </si>
  <si>
    <t>GNC-US</t>
  </si>
  <si>
    <t>GNC Holdings, Inc. Class A</t>
  </si>
  <si>
    <t>GNC Holdings Inc.</t>
  </si>
  <si>
    <t>US36191G1076</t>
  </si>
  <si>
    <t>Jarden Corp.</t>
  </si>
  <si>
    <t>B3ZVCQ8</t>
  </si>
  <si>
    <t>B3ZVCQ</t>
  </si>
  <si>
    <t>LNKD-US</t>
  </si>
  <si>
    <t>LinkedIn Corporation Class A</t>
  </si>
  <si>
    <t>LinkedIn Corporation</t>
  </si>
  <si>
    <t>US53578A1088</t>
  </si>
  <si>
    <t>B40B271</t>
  </si>
  <si>
    <t>B40B27</t>
  </si>
  <si>
    <t>ASR-CA</t>
  </si>
  <si>
    <t>Alacer Gold Corp.</t>
  </si>
  <si>
    <t>CA0106791084</t>
  </si>
  <si>
    <t>B40PCD9</t>
  </si>
  <si>
    <t>B40PCD</t>
  </si>
  <si>
    <t>WPX-US</t>
  </si>
  <si>
    <t>WPX Energy, Inc. Class A</t>
  </si>
  <si>
    <t>WPX Energy Inc.</t>
  </si>
  <si>
    <t>WPX</t>
  </si>
  <si>
    <t>US98212B1035</t>
  </si>
  <si>
    <t>B424494</t>
  </si>
  <si>
    <t>B42449</t>
  </si>
  <si>
    <t>SPLK-US</t>
  </si>
  <si>
    <t>Splunk Inc.</t>
  </si>
  <si>
    <t>SPLK</t>
  </si>
  <si>
    <t>US8486371045</t>
  </si>
  <si>
    <t>B44WZD7</t>
  </si>
  <si>
    <t>B44WZD</t>
  </si>
  <si>
    <t>PLD-US</t>
  </si>
  <si>
    <t>Prologis, Inc.</t>
  </si>
  <si>
    <t>Prologis Inc.</t>
  </si>
  <si>
    <t>PLD</t>
  </si>
  <si>
    <t>US74340W1036</t>
  </si>
  <si>
    <t>B458HM7</t>
  </si>
  <si>
    <t>B458HM</t>
  </si>
  <si>
    <t>MCPIQ-US</t>
  </si>
  <si>
    <t>Neo Performance Materials</t>
  </si>
  <si>
    <t>Molycorp Inc.</t>
  </si>
  <si>
    <t>US6087531090</t>
  </si>
  <si>
    <t>The ADT Corporation</t>
  </si>
  <si>
    <t>B45K9N8</t>
  </si>
  <si>
    <t>B45K9N</t>
  </si>
  <si>
    <t>VAC-US</t>
  </si>
  <si>
    <t>Marriott Vacations Worldwide Corporation</t>
  </si>
  <si>
    <t>US57164Y1073</t>
  </si>
  <si>
    <t>B4MGBG6</t>
  </si>
  <si>
    <t>B4MGBG</t>
  </si>
  <si>
    <t>HCA-US</t>
  </si>
  <si>
    <t>HCA Healthcare Inc</t>
  </si>
  <si>
    <t>HCA Healthcare Inc.</t>
  </si>
  <si>
    <t>HCA</t>
  </si>
  <si>
    <t>US40412C1018</t>
  </si>
  <si>
    <t>B4MTR12</t>
  </si>
  <si>
    <t>B4MTR1</t>
  </si>
  <si>
    <t>SWI-US</t>
  </si>
  <si>
    <t>SolarWinds, Inc.</t>
  </si>
  <si>
    <t>SolarWinds Inc.</t>
  </si>
  <si>
    <t>US83416B1098</t>
  </si>
  <si>
    <t>B4N0JJ6</t>
  </si>
  <si>
    <t>B4N0JJ</t>
  </si>
  <si>
    <t>VC-US</t>
  </si>
  <si>
    <t>Visteon Corporation</t>
  </si>
  <si>
    <t>VC</t>
  </si>
  <si>
    <t>US92839U2069</t>
  </si>
  <si>
    <t>B4P9W92</t>
  </si>
  <si>
    <t>B4P9W9</t>
  </si>
  <si>
    <t>VRSK-US</t>
  </si>
  <si>
    <t>Verisk Analytics Inc</t>
  </si>
  <si>
    <t>Verisk Analytics Inc.</t>
  </si>
  <si>
    <t>VRSK</t>
  </si>
  <si>
    <t>US92345Y1064</t>
  </si>
  <si>
    <t>B4QG225</t>
  </si>
  <si>
    <t>B4QG22</t>
  </si>
  <si>
    <t>UAL-US</t>
  </si>
  <si>
    <t>United Continental Holdings, Inc.</t>
  </si>
  <si>
    <t>United Continental Holdings Inc.</t>
  </si>
  <si>
    <t>UAL</t>
  </si>
  <si>
    <t>US9100471096</t>
  </si>
  <si>
    <t>B4R28B3</t>
  </si>
  <si>
    <t>B4R28B</t>
  </si>
  <si>
    <t>FLT-US</t>
  </si>
  <si>
    <t>FleetCor Technologies, Inc.</t>
  </si>
  <si>
    <t>FleetCor Technologies Inc.</t>
  </si>
  <si>
    <t>US3390411052</t>
  </si>
  <si>
    <t>B4V9661</t>
  </si>
  <si>
    <t>B4V966</t>
  </si>
  <si>
    <t>RL-US</t>
  </si>
  <si>
    <t>Ralph Lauren Corporation Class A</t>
  </si>
  <si>
    <t>Ralph Lauren Corporation</t>
  </si>
  <si>
    <t>RL</t>
  </si>
  <si>
    <t>US7512121010</t>
  </si>
  <si>
    <t>B4W9F29</t>
  </si>
  <si>
    <t>B4W9F2</t>
  </si>
  <si>
    <t>MJN-US</t>
  </si>
  <si>
    <t>Mead Johnson Nutrition Company</t>
  </si>
  <si>
    <t>MJN</t>
  </si>
  <si>
    <t>US5828391061</t>
  </si>
  <si>
    <t>B4WHY15</t>
  </si>
  <si>
    <t>B4WHY1</t>
  </si>
  <si>
    <t>FRC-US</t>
  </si>
  <si>
    <t>First Republic Bank</t>
  </si>
  <si>
    <t>FRC</t>
  </si>
  <si>
    <t>US33616C1009</t>
  </si>
  <si>
    <t>B4XH005</t>
  </si>
  <si>
    <t>BDT5NJ</t>
  </si>
  <si>
    <t>CIEIQ-US</t>
  </si>
  <si>
    <t>Cobalt International Energy, Inc.</t>
  </si>
  <si>
    <t>Cobalt International Energy Inc.</t>
  </si>
  <si>
    <t>US19075F1066</t>
  </si>
  <si>
    <t>B4Y1MH7</t>
  </si>
  <si>
    <t>B4Y1MH</t>
  </si>
  <si>
    <t>KAR-US</t>
  </si>
  <si>
    <t>KAR Auction Services, Inc.</t>
  </si>
  <si>
    <t>KAR Auction Services Inc.</t>
  </si>
  <si>
    <t>US48238T1097</t>
  </si>
  <si>
    <t>B4Z73G0</t>
  </si>
  <si>
    <t>B4Z73G</t>
  </si>
  <si>
    <t>CIT-US</t>
  </si>
  <si>
    <t>CIT Group Inc.</t>
  </si>
  <si>
    <t>CIT</t>
  </si>
  <si>
    <t>US1255818015</t>
  </si>
  <si>
    <t>B52KRV2</t>
  </si>
  <si>
    <t>B52KRV</t>
  </si>
  <si>
    <t>KMPR-US</t>
  </si>
  <si>
    <t>Kemper Corporation</t>
  </si>
  <si>
    <t>KMPR</t>
  </si>
  <si>
    <t>US4884011002</t>
  </si>
  <si>
    <t>B563MS9</t>
  </si>
  <si>
    <t>BD832H</t>
  </si>
  <si>
    <t>TWO-US</t>
  </si>
  <si>
    <t>Two Harbors Investment Corp.</t>
  </si>
  <si>
    <t>TWO</t>
  </si>
  <si>
    <t>US90187B1017</t>
  </si>
  <si>
    <t>B570P91</t>
  </si>
  <si>
    <t>B570P9</t>
  </si>
  <si>
    <t>LEA-US</t>
  </si>
  <si>
    <t>Lear Corporation</t>
  </si>
  <si>
    <t>LEA</t>
  </si>
  <si>
    <t>US5218652049</t>
  </si>
  <si>
    <t>B5834C5</t>
  </si>
  <si>
    <t>B5834C</t>
  </si>
  <si>
    <t>CBOE-US</t>
  </si>
  <si>
    <t>Cboe Global Markets Inc</t>
  </si>
  <si>
    <t>Cboe Global Markets Inc.</t>
  </si>
  <si>
    <t>CBOE</t>
  </si>
  <si>
    <t>US12503M1080</t>
  </si>
  <si>
    <t>B59DK93</t>
  </si>
  <si>
    <t>B59DK9</t>
  </si>
  <si>
    <t>SPWR-US</t>
  </si>
  <si>
    <t>SunPower Corporation</t>
  </si>
  <si>
    <t>SPWR</t>
  </si>
  <si>
    <t>US8676524064</t>
  </si>
  <si>
    <t>B5B1S13</t>
  </si>
  <si>
    <t>B5B1S1</t>
  </si>
  <si>
    <t>DG-US</t>
  </si>
  <si>
    <t>Dollar General Corporation</t>
  </si>
  <si>
    <t>US2566771059</t>
  </si>
  <si>
    <t>B5B2106</t>
  </si>
  <si>
    <t>B5B210</t>
  </si>
  <si>
    <t>FTNT-US</t>
  </si>
  <si>
    <t>Fortinet, Inc.</t>
  </si>
  <si>
    <t>Fortinet Inc.</t>
  </si>
  <si>
    <t>FTNT</t>
  </si>
  <si>
    <t>US34959E1091</t>
  </si>
  <si>
    <t>B5B82X4</t>
  </si>
  <si>
    <t>B5B82X</t>
  </si>
  <si>
    <t>H-US</t>
  </si>
  <si>
    <t>Hyatt Hotels Corporation Class A</t>
  </si>
  <si>
    <t>Hyatt Hotels Corporation</t>
  </si>
  <si>
    <t>H</t>
  </si>
  <si>
    <t>US4485791028</t>
  </si>
  <si>
    <t>B5B9KV1</t>
  </si>
  <si>
    <t>B5B9KV</t>
  </si>
  <si>
    <t>THO-CA</t>
  </si>
  <si>
    <t>Tahoe Resources Inc.</t>
  </si>
  <si>
    <t>CA8738681037</t>
  </si>
  <si>
    <t>B5BKPQ4</t>
  </si>
  <si>
    <t>B5BKPQ</t>
  </si>
  <si>
    <t>MSI-US</t>
  </si>
  <si>
    <t>Motorola Solutions, Inc.</t>
  </si>
  <si>
    <t>Motorola Solutions Inc.</t>
  </si>
  <si>
    <t>US6200763075</t>
  </si>
  <si>
    <t>Alpha Natural Resources Inc.</t>
  </si>
  <si>
    <t>B5KNGQ1</t>
  </si>
  <si>
    <t>B5KNGQ</t>
  </si>
  <si>
    <t>RSE-US</t>
  </si>
  <si>
    <t>Rouse Properties, Inc.</t>
  </si>
  <si>
    <t>Rouse Properties Inc.</t>
  </si>
  <si>
    <t>US7792871011</t>
  </si>
  <si>
    <t>B5LL299</t>
  </si>
  <si>
    <t>B5LL29</t>
  </si>
  <si>
    <t>LVLT-US</t>
  </si>
  <si>
    <t>Level 3 Communications, Inc.</t>
  </si>
  <si>
    <t>Level 3 Communications Inc.</t>
  </si>
  <si>
    <t>LVLT</t>
  </si>
  <si>
    <t>US52729N3089</t>
  </si>
  <si>
    <t>B5T0CW1</t>
  </si>
  <si>
    <t>B5T0CW</t>
  </si>
  <si>
    <t>RLGY-US</t>
  </si>
  <si>
    <t>Realogy Holdings Corp.</t>
  </si>
  <si>
    <t>RLGY</t>
  </si>
  <si>
    <t>US75605Y1064</t>
  </si>
  <si>
    <t>B5VX1H6</t>
  </si>
  <si>
    <t>B5VX1H</t>
  </si>
  <si>
    <t>HFC-US</t>
  </si>
  <si>
    <t>HollyFrontier Corporation</t>
  </si>
  <si>
    <t>HFC</t>
  </si>
  <si>
    <t>US4361061082</t>
  </si>
  <si>
    <t>B60X657</t>
  </si>
  <si>
    <t>B60X65</t>
  </si>
  <si>
    <t>QEP-US</t>
  </si>
  <si>
    <t>QEP Resources, Inc.</t>
  </si>
  <si>
    <t>QEP Resources Inc.</t>
  </si>
  <si>
    <t>QEP</t>
  </si>
  <si>
    <t>US74733V1008</t>
  </si>
  <si>
    <t>B616C79</t>
  </si>
  <si>
    <t>B616C7</t>
  </si>
  <si>
    <t>TSLA-US</t>
  </si>
  <si>
    <t>Tesla Inc</t>
  </si>
  <si>
    <t>Tesla Inc.</t>
  </si>
  <si>
    <t>TSLA</t>
  </si>
  <si>
    <t>US88160R1014</t>
  </si>
  <si>
    <t>B63BPC8</t>
  </si>
  <si>
    <t>B63BPC</t>
  </si>
  <si>
    <t>TWC-US</t>
  </si>
  <si>
    <t>Time Warner Cable Inc.</t>
  </si>
  <si>
    <t>US88732J2078</t>
  </si>
  <si>
    <t>B63QTN2</t>
  </si>
  <si>
    <t>B63QTN</t>
  </si>
  <si>
    <t>TWX-US</t>
  </si>
  <si>
    <t>Time Warner Inc.</t>
  </si>
  <si>
    <t>TWX</t>
  </si>
  <si>
    <t>US8873173038</t>
  </si>
  <si>
    <t>B64R5J2</t>
  </si>
  <si>
    <t>B64R5J</t>
  </si>
  <si>
    <t>OAS-US</t>
  </si>
  <si>
    <t>Oasis Petroleum Inc.</t>
  </si>
  <si>
    <t>OAS</t>
  </si>
  <si>
    <t>US6742151086</t>
  </si>
  <si>
    <t>B65D9Z3</t>
  </si>
  <si>
    <t>B65D9Z</t>
  </si>
  <si>
    <t>ASNA-US</t>
  </si>
  <si>
    <t>Ascena Retail Group, Inc.</t>
  </si>
  <si>
    <t>Ascena Retail Group Inc.</t>
  </si>
  <si>
    <t>ASNA</t>
  </si>
  <si>
    <t>US04351G1013</t>
  </si>
  <si>
    <t>B65LWX6</t>
  </si>
  <si>
    <t>B65LWX</t>
  </si>
  <si>
    <t>ORLY-US</t>
  </si>
  <si>
    <t>O'Reilly Automotive, Inc.</t>
  </si>
  <si>
    <t>O'Reilly Automotive Inc.</t>
  </si>
  <si>
    <t>ORLY</t>
  </si>
  <si>
    <t>US67103H1077</t>
  </si>
  <si>
    <t>B665KZ5</t>
  </si>
  <si>
    <t>B665KZ</t>
  </si>
  <si>
    <t>GM-US</t>
  </si>
  <si>
    <t>General Motors Company</t>
  </si>
  <si>
    <t>GM</t>
  </si>
  <si>
    <t>US37045V1008</t>
  </si>
  <si>
    <t>B6S2DF5</t>
  </si>
  <si>
    <t>B6S2DF</t>
  </si>
  <si>
    <t>DDR-US</t>
  </si>
  <si>
    <t>DDR Corp.</t>
  </si>
  <si>
    <t>DDR</t>
  </si>
  <si>
    <t>US23317H1023</t>
  </si>
  <si>
    <t>B6TFK30</t>
  </si>
  <si>
    <t>B6TFK3</t>
  </si>
  <si>
    <t>DYN-US</t>
  </si>
  <si>
    <t>Dynegy Inc.</t>
  </si>
  <si>
    <t>DYN</t>
  </si>
  <si>
    <t>US26817R1086</t>
  </si>
  <si>
    <t>B6WVMH3</t>
  </si>
  <si>
    <t>B6WVMH</t>
  </si>
  <si>
    <t>CBRE-US</t>
  </si>
  <si>
    <t>CBRE Group, Inc. Class A</t>
  </si>
  <si>
    <t>CBRE Group Inc.</t>
  </si>
  <si>
    <t>US12504L1098</t>
  </si>
  <si>
    <t>B6X55Y2</t>
  </si>
  <si>
    <t>BF8D8T</t>
  </si>
  <si>
    <t>WP-US</t>
  </si>
  <si>
    <t>Worldpay, Inc. Class A</t>
  </si>
  <si>
    <t>Vantiv Inc.</t>
  </si>
  <si>
    <t>VNTV</t>
  </si>
  <si>
    <t>US92210H1059</t>
  </si>
  <si>
    <t>B6YR5K3</t>
  </si>
  <si>
    <t>B6YR5K</t>
  </si>
  <si>
    <t>TDS-US</t>
  </si>
  <si>
    <t>Telephone and Data Systems, Inc.</t>
  </si>
  <si>
    <t>Telephone and Data Systems Inc.</t>
  </si>
  <si>
    <t>TDS</t>
  </si>
  <si>
    <t>US8794338298</t>
  </si>
  <si>
    <t>Broadcom Corp.</t>
  </si>
  <si>
    <t>B6ZC3N6</t>
  </si>
  <si>
    <t>B6ZC3N</t>
  </si>
  <si>
    <t>TRIP-US</t>
  </si>
  <si>
    <t>TripAdvisor, Inc.</t>
  </si>
  <si>
    <t>TripAdvisor Inc.</t>
  </si>
  <si>
    <t>TRIP</t>
  </si>
  <si>
    <t>US8969452015</t>
  </si>
  <si>
    <t>GHC</t>
  </si>
  <si>
    <t>B72XK05</t>
  </si>
  <si>
    <t>B72XK0</t>
  </si>
  <si>
    <t>ALLY-US</t>
  </si>
  <si>
    <t>Ally Financial Inc</t>
  </si>
  <si>
    <t>Ally Financial Inc.</t>
  </si>
  <si>
    <t>ALLY</t>
  </si>
  <si>
    <t>US02005N1000</t>
  </si>
  <si>
    <t>SIRI</t>
  </si>
  <si>
    <t>B748CK2</t>
  </si>
  <si>
    <t>B748CK</t>
  </si>
  <si>
    <t>EXPE-US</t>
  </si>
  <si>
    <t>Expedia Group, Inc.</t>
  </si>
  <si>
    <t>Expedia Inc.</t>
  </si>
  <si>
    <t>EXPE</t>
  </si>
  <si>
    <t>US30212P3038</t>
  </si>
  <si>
    <t>B75JX34</t>
  </si>
  <si>
    <t>B75JX3</t>
  </si>
  <si>
    <t>LPLA-US</t>
  </si>
  <si>
    <t>LPL Financial Holdings Inc.</t>
  </si>
  <si>
    <t>LPLA</t>
  </si>
  <si>
    <t>US50212V1008</t>
  </si>
  <si>
    <t>B77D163</t>
  </si>
  <si>
    <t>B77D16</t>
  </si>
  <si>
    <t>GRPN-US</t>
  </si>
  <si>
    <t>Groupon, Inc.</t>
  </si>
  <si>
    <t>Groupon Inc.</t>
  </si>
  <si>
    <t>GRPN</t>
  </si>
  <si>
    <t>US3994731079</t>
  </si>
  <si>
    <t>B78C4Y8</t>
  </si>
  <si>
    <t>B78C4Y</t>
  </si>
  <si>
    <t>PSX-US</t>
  </si>
  <si>
    <t>Phillips 66</t>
  </si>
  <si>
    <t>PSX</t>
  </si>
  <si>
    <t>US7185461040</t>
  </si>
  <si>
    <t>B79PX49</t>
  </si>
  <si>
    <t>B79PX4</t>
  </si>
  <si>
    <t>ZNGA-US</t>
  </si>
  <si>
    <t>Zynga Inc. Class A</t>
  </si>
  <si>
    <t>Zynga Inc.</t>
  </si>
  <si>
    <t>ZNGA</t>
  </si>
  <si>
    <t>US98986T1088</t>
  </si>
  <si>
    <t>B7DX5X2</t>
  </si>
  <si>
    <t>B7DX5X</t>
  </si>
  <si>
    <t>LPI-US</t>
  </si>
  <si>
    <t>Laredo Petroleum, Inc.</t>
  </si>
  <si>
    <t>Laredo Petroleum Inc.</t>
  </si>
  <si>
    <t>LPI</t>
  </si>
  <si>
    <t>US5168061068</t>
  </si>
  <si>
    <t>B7F2TY6</t>
  </si>
  <si>
    <t>B7F2TY</t>
  </si>
  <si>
    <t>PBYI-US</t>
  </si>
  <si>
    <t>Puma Biotechnology, Inc.</t>
  </si>
  <si>
    <t>Puma Biotechnology Inc.</t>
  </si>
  <si>
    <t>PBYI</t>
  </si>
  <si>
    <t>US74587V1070</t>
  </si>
  <si>
    <t>B7FBFL2</t>
  </si>
  <si>
    <t>B7FBFL</t>
  </si>
  <si>
    <t>AMT-US</t>
  </si>
  <si>
    <t>American Tower Corporation</t>
  </si>
  <si>
    <t>AMT</t>
  </si>
  <si>
    <t>US03027X1000</t>
  </si>
  <si>
    <t>B7K24P7</t>
  </si>
  <si>
    <t>B7K24P</t>
  </si>
  <si>
    <t>INGR-US</t>
  </si>
  <si>
    <t>Ingredion Incorporated</t>
  </si>
  <si>
    <t>INGR</t>
  </si>
  <si>
    <t>US4571871023</t>
  </si>
  <si>
    <t>B7N59F8</t>
  </si>
  <si>
    <t>B7N59F</t>
  </si>
  <si>
    <t>ICPT-US</t>
  </si>
  <si>
    <t>Intercept Pharmaceuticals, Inc.</t>
  </si>
  <si>
    <t>Intercept Pharmaceuticals Inc.</t>
  </si>
  <si>
    <t>ICPT</t>
  </si>
  <si>
    <t>US45845P1084</t>
  </si>
  <si>
    <t>B7QQYV9</t>
  </si>
  <si>
    <t>B7QQYV</t>
  </si>
  <si>
    <t>ESRX-US</t>
  </si>
  <si>
    <t>Express Scripts Holding Company</t>
  </si>
  <si>
    <t>ESRX</t>
  </si>
  <si>
    <t>US30219G1085</t>
  </si>
  <si>
    <t>B7TL820</t>
  </si>
  <si>
    <t>B7TL82</t>
  </si>
  <si>
    <t>FB-US</t>
  </si>
  <si>
    <t>Facebook, Inc. Class A</t>
  </si>
  <si>
    <t>Facebook Inc.</t>
  </si>
  <si>
    <t>FB</t>
  </si>
  <si>
    <t>US30303M1027</t>
  </si>
  <si>
    <t>B7VD3F2</t>
  </si>
  <si>
    <t>B7VD3F</t>
  </si>
  <si>
    <t>DUK-US</t>
  </si>
  <si>
    <t>Duke Energy Corporation</t>
  </si>
  <si>
    <t>DUK</t>
  </si>
  <si>
    <t>US26441C2044</t>
  </si>
  <si>
    <t>B7VM917</t>
  </si>
  <si>
    <t>BDR73G</t>
  </si>
  <si>
    <t>IQV-US</t>
  </si>
  <si>
    <t>IQVIA Holdings Inc</t>
  </si>
  <si>
    <t>Quintiles IMS Holdings Inc.</t>
  </si>
  <si>
    <t>Q</t>
  </si>
  <si>
    <t>US74876Y1010</t>
  </si>
  <si>
    <t>B80NXX8</t>
  </si>
  <si>
    <t>B80NXX</t>
  </si>
  <si>
    <t>NOW-US</t>
  </si>
  <si>
    <t>ServiceNow, Inc.</t>
  </si>
  <si>
    <t>ServiceNow Inc.</t>
  </si>
  <si>
    <t>NOW</t>
  </si>
  <si>
    <t>US81762P1021</t>
  </si>
  <si>
    <t>B826YT8</t>
  </si>
  <si>
    <t>B826YT</t>
  </si>
  <si>
    <t>WPC-US</t>
  </si>
  <si>
    <t>W. P. Carey Inc.</t>
  </si>
  <si>
    <t>WPC</t>
  </si>
  <si>
    <t>US92936U1097</t>
  </si>
  <si>
    <t>B834PQ5</t>
  </si>
  <si>
    <t>B834PQ</t>
  </si>
  <si>
    <t>WWAV-US</t>
  </si>
  <si>
    <t>WhiteWave Foods Company</t>
  </si>
  <si>
    <t>The WhiteWave Foods Company</t>
  </si>
  <si>
    <t>WWAV</t>
  </si>
  <si>
    <t>US9662441057</t>
  </si>
  <si>
    <t>B840261</t>
  </si>
  <si>
    <t>B84026</t>
  </si>
  <si>
    <t>RDC-US</t>
  </si>
  <si>
    <t>Rowan Cos. Plc Class A</t>
  </si>
  <si>
    <t>Rowan Companies plc</t>
  </si>
  <si>
    <t>RDC</t>
  </si>
  <si>
    <t>GB00B6SLMV12</t>
  </si>
  <si>
    <t>B86QM90</t>
  </si>
  <si>
    <t>B86QM9</t>
  </si>
  <si>
    <t>BPOP-US</t>
  </si>
  <si>
    <t>Popular, Inc.</t>
  </si>
  <si>
    <t>Popular Inc.</t>
  </si>
  <si>
    <t>BPOP</t>
  </si>
  <si>
    <t>PR7331747001</t>
  </si>
  <si>
    <t>B86V808</t>
  </si>
  <si>
    <t>B86V80</t>
  </si>
  <si>
    <t>TILE-US</t>
  </si>
  <si>
    <t>Interface, Inc.</t>
  </si>
  <si>
    <t>Interface Inc.</t>
  </si>
  <si>
    <t>TILE</t>
  </si>
  <si>
    <t>US4586653044</t>
  </si>
  <si>
    <t>B87ZMX0</t>
  </si>
  <si>
    <t>B87ZMX</t>
  </si>
  <si>
    <t>PANW-US</t>
  </si>
  <si>
    <t>Palo Alto Networks, Inc.</t>
  </si>
  <si>
    <t>Palo Alto Networks Inc.</t>
  </si>
  <si>
    <t>PANW</t>
  </si>
  <si>
    <t>US6974351057</t>
  </si>
  <si>
    <t>B883PF6</t>
  </si>
  <si>
    <t>B883PF</t>
  </si>
  <si>
    <t>TROX-US</t>
  </si>
  <si>
    <t>Tronox Ltd. Class A</t>
  </si>
  <si>
    <t>Tronox Limited</t>
  </si>
  <si>
    <t>TROX</t>
  </si>
  <si>
    <t>AU000XINEOA7</t>
  </si>
  <si>
    <t>B8CKK03</t>
  </si>
  <si>
    <t>B8CKK0</t>
  </si>
  <si>
    <t>MDLZ-US</t>
  </si>
  <si>
    <t>Mondelez International, Inc. Class A</t>
  </si>
  <si>
    <t>Mondelez International Inc.</t>
  </si>
  <si>
    <t>MDLZ</t>
  </si>
  <si>
    <t>US6092071058</t>
  </si>
  <si>
    <t>B8DJFL5</t>
  </si>
  <si>
    <t>B8DJFL</t>
  </si>
  <si>
    <t>DATA-US</t>
  </si>
  <si>
    <t>Tableau Software, Inc. Class A</t>
  </si>
  <si>
    <t>Tableau Software Inc.</t>
  </si>
  <si>
    <t>DATA</t>
  </si>
  <si>
    <t>US87336U1051</t>
  </si>
  <si>
    <t>B8DMK08</t>
  </si>
  <si>
    <t>B8DMK0</t>
  </si>
  <si>
    <t>THC-US</t>
  </si>
  <si>
    <t>Tenet Healthcare Corporation</t>
  </si>
  <si>
    <t>Tenet Healthcare Corp.</t>
  </si>
  <si>
    <t>THC</t>
  </si>
  <si>
    <t>US88033G4073</t>
  </si>
  <si>
    <t>B8DXDB3</t>
  </si>
  <si>
    <t>B8DXDB</t>
  </si>
  <si>
    <t>STRZA-US</t>
  </si>
  <si>
    <t>Starz Class A</t>
  </si>
  <si>
    <t>Starz</t>
  </si>
  <si>
    <t>US85571Q1022</t>
  </si>
  <si>
    <t>B8GNC91</t>
  </si>
  <si>
    <t>B8GNC9</t>
  </si>
  <si>
    <t>MATX-US</t>
  </si>
  <si>
    <t>Matson, Inc.</t>
  </si>
  <si>
    <t>Matson Inc.</t>
  </si>
  <si>
    <t>MATX</t>
  </si>
  <si>
    <t>US57686G1058</t>
  </si>
  <si>
    <t>GT Advanced Technologies Inc.</t>
  </si>
  <si>
    <t>B8K6ZD1</t>
  </si>
  <si>
    <t>B8K6ZD</t>
  </si>
  <si>
    <t>WDAY-US</t>
  </si>
  <si>
    <t>Workday, Inc. Class A</t>
  </si>
  <si>
    <t>Workday Inc.</t>
  </si>
  <si>
    <t>WDAY</t>
  </si>
  <si>
    <t>US98138H1014</t>
  </si>
  <si>
    <t>B92RRW2</t>
  </si>
  <si>
    <t>B92RRW</t>
  </si>
  <si>
    <t>SANM-US</t>
  </si>
  <si>
    <t>Sanmina-SCI Corporation</t>
  </si>
  <si>
    <t>Sanmina Corporation</t>
  </si>
  <si>
    <t>SANM</t>
  </si>
  <si>
    <t>US8010561020</t>
  </si>
  <si>
    <t>B92SR70</t>
  </si>
  <si>
    <t>B92SR7</t>
  </si>
  <si>
    <t>ABBV-US</t>
  </si>
  <si>
    <t>AbbVie, Inc.</t>
  </si>
  <si>
    <t>AbbVie Inc.</t>
  </si>
  <si>
    <t>ABBV</t>
  </si>
  <si>
    <t>US00287Y1091</t>
  </si>
  <si>
    <t>B94Q9V0</t>
  </si>
  <si>
    <t>B94Q9V</t>
  </si>
  <si>
    <t>TMUS-US</t>
  </si>
  <si>
    <t>T-Mobile US, Inc.</t>
  </si>
  <si>
    <t>T-Mobile US Inc.</t>
  </si>
  <si>
    <t>TMUS</t>
  </si>
  <si>
    <t>US8725901040</t>
  </si>
  <si>
    <t>B95N910</t>
  </si>
  <si>
    <t>B95N91</t>
  </si>
  <si>
    <t>PTC-US</t>
  </si>
  <si>
    <t>PTC Inc.</t>
  </si>
  <si>
    <t>US69370C1009</t>
  </si>
  <si>
    <t>B95WG16</t>
  </si>
  <si>
    <t>B95WG1</t>
  </si>
  <si>
    <t>ZTS-US</t>
  </si>
  <si>
    <t>Zoetis, Inc. Class A</t>
  </si>
  <si>
    <t>Zoetis Inc.</t>
  </si>
  <si>
    <t>ZTS</t>
  </si>
  <si>
    <t>US98978V1035</t>
  </si>
  <si>
    <t>B9CGTC3</t>
  </si>
  <si>
    <t>B9CGTC</t>
  </si>
  <si>
    <t>NCLH-US</t>
  </si>
  <si>
    <t>Norwegian Cruise Line Holdings Ltd.</t>
  </si>
  <si>
    <t>NCLH</t>
  </si>
  <si>
    <t>BMG667211046</t>
  </si>
  <si>
    <t>B9GPVY2</t>
  </si>
  <si>
    <t>B9GPVY</t>
  </si>
  <si>
    <t>HAWK-US</t>
  </si>
  <si>
    <t>Blackhawk Network Holdings, Inc.</t>
  </si>
  <si>
    <t>Blackhawk Network Holdings Inc.</t>
  </si>
  <si>
    <t>HAWK</t>
  </si>
  <si>
    <t>US09238E1047</t>
  </si>
  <si>
    <t>B9M2WX3</t>
  </si>
  <si>
    <t>B9M2WX</t>
  </si>
  <si>
    <t>LB-US</t>
  </si>
  <si>
    <t>L Brands, Inc.</t>
  </si>
  <si>
    <t>L Brands Inc.</t>
  </si>
  <si>
    <t>US5017971046</t>
  </si>
  <si>
    <t>BBC3995</t>
  </si>
  <si>
    <t>BBC399</t>
  </si>
  <si>
    <t>SUNEQ-US</t>
  </si>
  <si>
    <t>SunEdison, Inc.</t>
  </si>
  <si>
    <t>SunEdison Inc.</t>
  </si>
  <si>
    <t>SUNE.Q</t>
  </si>
  <si>
    <t>US86732Y1091</t>
  </si>
  <si>
    <t>BBGT609</t>
  </si>
  <si>
    <t>BBGT60</t>
  </si>
  <si>
    <t>FOSL-US</t>
  </si>
  <si>
    <t>Fossil Group, Inc.</t>
  </si>
  <si>
    <t>Fossil Group Inc.</t>
  </si>
  <si>
    <t>FOSL</t>
  </si>
  <si>
    <t>US34988V1061</t>
  </si>
  <si>
    <t>BBGVT40</t>
  </si>
  <si>
    <t>BBGVT4</t>
  </si>
  <si>
    <t>NWSA-US</t>
  </si>
  <si>
    <t>News Corporation Class A</t>
  </si>
  <si>
    <t>News Corporation</t>
  </si>
  <si>
    <t>NWSA</t>
  </si>
  <si>
    <t>US65249B1098</t>
  </si>
  <si>
    <t>BBM4S68</t>
  </si>
  <si>
    <t>BBM4S6</t>
  </si>
  <si>
    <t>FOXA-US</t>
  </si>
  <si>
    <t>Twenty-First Century Fox, Inc. Class A</t>
  </si>
  <si>
    <t>Twenty-First Century Fox Inc.</t>
  </si>
  <si>
    <t>FOXA</t>
  </si>
  <si>
    <t>US90130A1016</t>
  </si>
  <si>
    <t>BC4FF21</t>
  </si>
  <si>
    <t>BC4FF2</t>
  </si>
  <si>
    <t>S-US</t>
  </si>
  <si>
    <t>Sprint Corp.</t>
  </si>
  <si>
    <t>Sprint Corporation</t>
  </si>
  <si>
    <t>S</t>
  </si>
  <si>
    <t>US85207U1051</t>
  </si>
  <si>
    <t>BCGCR79</t>
  </si>
  <si>
    <t>BCGCR7</t>
  </si>
  <si>
    <t>SFM-US</t>
  </si>
  <si>
    <t>Sprouts Farmers Markets, Inc.</t>
  </si>
  <si>
    <t>Sprouts Farmers Market Inc.</t>
  </si>
  <si>
    <t>SFM</t>
  </si>
  <si>
    <t>US85208M1027</t>
  </si>
  <si>
    <t>BCT5P15</t>
  </si>
  <si>
    <t>BCT5P1</t>
  </si>
  <si>
    <t>EVHC.XX1-US</t>
  </si>
  <si>
    <t>Envision Healthcare Holdings, Inc.</t>
  </si>
  <si>
    <t>Envision Healthcare Holdings Inc.</t>
  </si>
  <si>
    <t>US29413U1034</t>
  </si>
  <si>
    <t>BCV7KT2</t>
  </si>
  <si>
    <t>BCV7KT</t>
  </si>
  <si>
    <t>AAL-US</t>
  </si>
  <si>
    <t>American Airlines Group, Inc.</t>
  </si>
  <si>
    <t>American Airlines Group Inc.</t>
  </si>
  <si>
    <t>US02376R1023</t>
  </si>
  <si>
    <t>INFO</t>
  </si>
  <si>
    <t>OTCBB</t>
  </si>
  <si>
    <t>BD4R405</t>
  </si>
  <si>
    <t>BD4R40</t>
  </si>
  <si>
    <t>FEYE-US</t>
  </si>
  <si>
    <t>FireEye, Inc.</t>
  </si>
  <si>
    <t>FireEye Inc.</t>
  </si>
  <si>
    <t>FEYE</t>
  </si>
  <si>
    <t>US31816Q1013</t>
  </si>
  <si>
    <t>BD5JMM</t>
  </si>
  <si>
    <t>WPG-US</t>
  </si>
  <si>
    <t>Washington Prime Group Inc.</t>
  </si>
  <si>
    <t>WPG</t>
  </si>
  <si>
    <t>BD5JS97</t>
  </si>
  <si>
    <t>BD5JS9</t>
  </si>
  <si>
    <t>DF-US</t>
  </si>
  <si>
    <t>Dean Foods Company</t>
  </si>
  <si>
    <t>DF</t>
  </si>
  <si>
    <t>US2423702032</t>
  </si>
  <si>
    <t>BD6VBR</t>
  </si>
  <si>
    <t>UNIT-US</t>
  </si>
  <si>
    <t>Uniti Group Inc</t>
  </si>
  <si>
    <t>BD82PS</t>
  </si>
  <si>
    <t>CRK-US</t>
  </si>
  <si>
    <t>Comstock Resources, Inc.</t>
  </si>
  <si>
    <t>Comstock Resources Inc.</t>
  </si>
  <si>
    <t>CRK</t>
  </si>
  <si>
    <t>BD8FFY</t>
  </si>
  <si>
    <t>TIVO-US</t>
  </si>
  <si>
    <t>TiVo Corp.</t>
  </si>
  <si>
    <t>BD8PMK</t>
  </si>
  <si>
    <t>RCM-US</t>
  </si>
  <si>
    <t>R1 RCM Inc</t>
  </si>
  <si>
    <t>BD8Q486</t>
  </si>
  <si>
    <t>BD8Q48</t>
  </si>
  <si>
    <t>FCE.A-US</t>
  </si>
  <si>
    <t>Forest City Realty Trust Inc Class A</t>
  </si>
  <si>
    <t>Forest City Realty Trust Inc</t>
  </si>
  <si>
    <t>FCE.A</t>
  </si>
  <si>
    <t>US3456051099</t>
  </si>
  <si>
    <t>BDFG6S3</t>
  </si>
  <si>
    <t>BDFG6S</t>
  </si>
  <si>
    <t>HUBB-US</t>
  </si>
  <si>
    <t>Hubbell Incorporated Class B</t>
  </si>
  <si>
    <t>Hubbell Incorporated</t>
  </si>
  <si>
    <t>HUBB</t>
  </si>
  <si>
    <t>US4435106079</t>
  </si>
  <si>
    <t>BDJ0LS6</t>
  </si>
  <si>
    <t>BDJ0LS</t>
  </si>
  <si>
    <t>IONS-US</t>
  </si>
  <si>
    <t>Ionis Pharmaceuticals, Inc.</t>
  </si>
  <si>
    <t>Ionis Pharmaceuticals Inc.</t>
  </si>
  <si>
    <t>IONS</t>
  </si>
  <si>
    <t>US4622221004</t>
  </si>
  <si>
    <t>BDV82B8</t>
  </si>
  <si>
    <t>BDV82B</t>
  </si>
  <si>
    <t>LDOS-US</t>
  </si>
  <si>
    <t>Leidos Holdings, Inc.</t>
  </si>
  <si>
    <t>Leidos Holdings Inc.</t>
  </si>
  <si>
    <t>LDOS</t>
  </si>
  <si>
    <t>US5253271028</t>
  </si>
  <si>
    <t>BDZDSJ9</t>
  </si>
  <si>
    <t>BDZDSJ</t>
  </si>
  <si>
    <t>KODK-US</t>
  </si>
  <si>
    <t>Eastman Kodak Company</t>
  </si>
  <si>
    <t>KODK</t>
  </si>
  <si>
    <t>US2774614067</t>
  </si>
  <si>
    <t>BFD2WR8</t>
  </si>
  <si>
    <t>BFD2WR</t>
  </si>
  <si>
    <t>AR-US</t>
  </si>
  <si>
    <t>Antero Resources Corporation</t>
  </si>
  <si>
    <t>AR</t>
  </si>
  <si>
    <t>US03674X1063</t>
  </si>
  <si>
    <t>BFLR866</t>
  </si>
  <si>
    <t>BFLR86</t>
  </si>
  <si>
    <t>TWTR-US</t>
  </si>
  <si>
    <t>Twitter, Inc.</t>
  </si>
  <si>
    <t>Twitter Inc.</t>
  </si>
  <si>
    <t>TWTR</t>
  </si>
  <si>
    <t>US90184L1026</t>
  </si>
  <si>
    <t>BFSSDS9</t>
  </si>
  <si>
    <t>BFSSDS</t>
  </si>
  <si>
    <t>ICE-US</t>
  </si>
  <si>
    <t>Intercontinental Exchange, Inc.</t>
  </si>
  <si>
    <t>Intercontinental Exchange Inc.</t>
  </si>
  <si>
    <t>ICE</t>
  </si>
  <si>
    <t>US45866F1049</t>
  </si>
  <si>
    <t>BFTDJL8</t>
  </si>
  <si>
    <t>BFTDJL</t>
  </si>
  <si>
    <t>BRX-US</t>
  </si>
  <si>
    <t>Brixmor Property Group, Inc.</t>
  </si>
  <si>
    <t>Brixmor Property Group Inc.</t>
  </si>
  <si>
    <t>BRX</t>
  </si>
  <si>
    <t>US11120U1051</t>
  </si>
  <si>
    <t>BGLDK10</t>
  </si>
  <si>
    <t>BGLDK1</t>
  </si>
  <si>
    <t>SIRI-US</t>
  </si>
  <si>
    <t>Sirius XM Holdings, Inc.</t>
  </si>
  <si>
    <t>Sirius XM Holdings Inc.</t>
  </si>
  <si>
    <t>US82968B1035</t>
  </si>
  <si>
    <t>BGM1B98</t>
  </si>
  <si>
    <t>BGM1B9</t>
  </si>
  <si>
    <t>GHC-US</t>
  </si>
  <si>
    <t>Graham Holdings Co.</t>
  </si>
  <si>
    <t>Graham Holdings Company</t>
  </si>
  <si>
    <t>US3846371041</t>
  </si>
  <si>
    <t>BH3XG17</t>
  </si>
  <si>
    <t>BH3XG1</t>
  </si>
  <si>
    <t>ARMK-US</t>
  </si>
  <si>
    <t>Aramark</t>
  </si>
  <si>
    <t>ARMK</t>
  </si>
  <si>
    <t>US03852U1060</t>
  </si>
  <si>
    <t>BJ0KXV4</t>
  </si>
  <si>
    <t>BJ0KXV</t>
  </si>
  <si>
    <t>OGS-US</t>
  </si>
  <si>
    <t>ONE Gas, Inc.</t>
  </si>
  <si>
    <t>ONE Gas Inc.</t>
  </si>
  <si>
    <t>OGS</t>
  </si>
  <si>
    <t>US68235P1084</t>
  </si>
  <si>
    <t>BJTD9L6</t>
  </si>
  <si>
    <t>BJTD9L</t>
  </si>
  <si>
    <t>KN-US</t>
  </si>
  <si>
    <t>Knowles Corp.</t>
  </si>
  <si>
    <t>Knowles Corporation</t>
  </si>
  <si>
    <t>US49926D1090</t>
  </si>
  <si>
    <t>BKQVM44</t>
  </si>
  <si>
    <t>BKQVM4</t>
  </si>
  <si>
    <t>GMCR-US</t>
  </si>
  <si>
    <t>Keurig Green Mountain, Inc.</t>
  </si>
  <si>
    <t>Keurig Green Mountain Inc.</t>
  </si>
  <si>
    <t>US49271M1009</t>
  </si>
  <si>
    <t>BKWQ2N2</t>
  </si>
  <si>
    <t>BKWQ2N</t>
  </si>
  <si>
    <t>VOYA-US</t>
  </si>
  <si>
    <t>Voya Financial, Inc.</t>
  </si>
  <si>
    <t>Voya Financial Inc.</t>
  </si>
  <si>
    <t>VOYA</t>
  </si>
  <si>
    <t>US9290891004</t>
  </si>
  <si>
    <t>BKWQKM7</t>
  </si>
  <si>
    <t>BKWQKM</t>
  </si>
  <si>
    <t>LE-US</t>
  </si>
  <si>
    <t>Lands' End, Inc.</t>
  </si>
  <si>
    <t>Lands' End Inc.</t>
  </si>
  <si>
    <t>LE</t>
  </si>
  <si>
    <t>US51509F1057</t>
  </si>
  <si>
    <t>BLP5GX1</t>
  </si>
  <si>
    <t>BLP5GX</t>
  </si>
  <si>
    <t>NAVI-US</t>
  </si>
  <si>
    <t>Navient Corp</t>
  </si>
  <si>
    <t>Navient Corporation</t>
  </si>
  <si>
    <t>NAVI</t>
  </si>
  <si>
    <t>US63938C1080</t>
  </si>
  <si>
    <t>BLRLH12</t>
  </si>
  <si>
    <t>BLRLH1</t>
  </si>
  <si>
    <t>ALM-GB</t>
  </si>
  <si>
    <t>Allied Minds PLC</t>
  </si>
  <si>
    <t>Allied Minds plc</t>
  </si>
  <si>
    <t>GB00BLRLH124</t>
  </si>
  <si>
    <t>BMH0MV1</t>
  </si>
  <si>
    <t>BMH0MV</t>
  </si>
  <si>
    <t>DNOW-US</t>
  </si>
  <si>
    <t>NOW, Inc.</t>
  </si>
  <si>
    <t>NOW Inc.</t>
  </si>
  <si>
    <t>DNOW</t>
  </si>
  <si>
    <t>US67011P1003</t>
  </si>
  <si>
    <t>BMH4NJ8</t>
  </si>
  <si>
    <t>BMH4NJ</t>
  </si>
  <si>
    <t>SNV-US</t>
  </si>
  <si>
    <t>Synovus Financial Corp.</t>
  </si>
  <si>
    <t>SNV</t>
  </si>
  <si>
    <t>US87161C5013</t>
  </si>
  <si>
    <t>BMM2870</t>
  </si>
  <si>
    <t>BMM287</t>
  </si>
  <si>
    <t>TIME-US</t>
  </si>
  <si>
    <t>Time, Inc.</t>
  </si>
  <si>
    <t>Time Inc.</t>
  </si>
  <si>
    <t>TIME</t>
  </si>
  <si>
    <t>US8872281048</t>
  </si>
  <si>
    <t>BN458W9</t>
  </si>
  <si>
    <t>BN458W</t>
  </si>
  <si>
    <t>RYAM-US</t>
  </si>
  <si>
    <t>Rayonier Advanced Materials Inc</t>
  </si>
  <si>
    <t>Rayonier Advanced Materials Inc.</t>
  </si>
  <si>
    <t>RYAM</t>
  </si>
  <si>
    <t>US75508B1044</t>
  </si>
  <si>
    <t>BN60CQ4</t>
  </si>
  <si>
    <t>BN60CQ</t>
  </si>
  <si>
    <t>OR-CA</t>
  </si>
  <si>
    <t>Osisko Gold Royalties Ltd</t>
  </si>
  <si>
    <t>Osisko Gold Royalties Ltd.</t>
  </si>
  <si>
    <t>CA68827L1013</t>
  </si>
  <si>
    <t>BNBKSP0</t>
  </si>
  <si>
    <t>BNBKSP</t>
  </si>
  <si>
    <t>VRTV-US</t>
  </si>
  <si>
    <t>Veritiv Corp</t>
  </si>
  <si>
    <t>Veritiv Corporation</t>
  </si>
  <si>
    <t>VRTV</t>
  </si>
  <si>
    <t>US9234541020</t>
  </si>
  <si>
    <t>BNBRDD4</t>
  </si>
  <si>
    <t>Fidelity National Financial Inc.</t>
  </si>
  <si>
    <t>FNF</t>
  </si>
  <si>
    <t>US31620R3030</t>
  </si>
  <si>
    <t>Old PSG Wind-down Ltd</t>
  </si>
  <si>
    <t>Performance Sports Group Ltd.</t>
  </si>
  <si>
    <t>CA71377G1000</t>
  </si>
  <si>
    <t>BNLYWQ1</t>
  </si>
  <si>
    <t>BNLYWQ</t>
  </si>
  <si>
    <t>GEO-US</t>
  </si>
  <si>
    <t>GEO Group Inc</t>
  </si>
  <si>
    <t>GEO Group Inc.</t>
  </si>
  <si>
    <t>US36162J1060</t>
  </si>
  <si>
    <t>BP96PS6</t>
  </si>
  <si>
    <t>BP96PS</t>
  </si>
  <si>
    <t>SYF-US</t>
  </si>
  <si>
    <t>Synchrony Financial</t>
  </si>
  <si>
    <t>SYF</t>
  </si>
  <si>
    <t>US87165B1035</t>
  </si>
  <si>
    <t>BPH3N63</t>
  </si>
  <si>
    <t>BPH3N6</t>
  </si>
  <si>
    <t>EQC-US</t>
  </si>
  <si>
    <t>Equity Commonwealth</t>
  </si>
  <si>
    <t>EQC</t>
  </si>
  <si>
    <t>US2946281027</t>
  </si>
  <si>
    <t>BQRX1X3</t>
  </si>
  <si>
    <t>BQRX1X</t>
  </si>
  <si>
    <t>CFG-US</t>
  </si>
  <si>
    <t>Citizens Financial Group, Inc.</t>
  </si>
  <si>
    <t>Citizens Financial Group Inc.</t>
  </si>
  <si>
    <t>CFG</t>
  </si>
  <si>
    <t>US1746101054</t>
  </si>
  <si>
    <t>BQXTWQ5</t>
  </si>
  <si>
    <t>BQXTWQ</t>
  </si>
  <si>
    <t>CDK-US</t>
  </si>
  <si>
    <t>CDK Global Inc</t>
  </si>
  <si>
    <t>CDK Global Inc.</t>
  </si>
  <si>
    <t>CDK</t>
  </si>
  <si>
    <t>US12508E1010</t>
  </si>
  <si>
    <t>BQZJ0Q9</t>
  </si>
  <si>
    <t>BQZJ0Q</t>
  </si>
  <si>
    <t>KEYS-US</t>
  </si>
  <si>
    <t>Keysight Technologies Inc</t>
  </si>
  <si>
    <t>Keysight Technologies Inc.</t>
  </si>
  <si>
    <t>KEYS</t>
  </si>
  <si>
    <t>US49338L1035</t>
  </si>
  <si>
    <t>BR9YYP4</t>
  </si>
  <si>
    <t>BR9YYP</t>
  </si>
  <si>
    <t>QRVO-US</t>
  </si>
  <si>
    <t>Qorvo, Inc.</t>
  </si>
  <si>
    <t>Qorvo Inc.</t>
  </si>
  <si>
    <t>QRVO</t>
  </si>
  <si>
    <t>US74736K1016</t>
  </si>
  <si>
    <t>BRJ6RP1</t>
  </si>
  <si>
    <t>BRJ6RP</t>
  </si>
  <si>
    <t>HYH-US</t>
  </si>
  <si>
    <t>Halyard Health Inc</t>
  </si>
  <si>
    <t>Halyard Health Inc.</t>
  </si>
  <si>
    <t>HYH</t>
  </si>
  <si>
    <t>US40650V1008</t>
  </si>
  <si>
    <t>BRS65X6</t>
  </si>
  <si>
    <t>BRS65X</t>
  </si>
  <si>
    <t>INDV-GB</t>
  </si>
  <si>
    <t>Indivior PLC</t>
  </si>
  <si>
    <t>INDV</t>
  </si>
  <si>
    <t>GB00BRS65X63</t>
  </si>
  <si>
    <t>BRTLC06</t>
  </si>
  <si>
    <t>BRTLC0</t>
  </si>
  <si>
    <t>LBRDK-US</t>
  </si>
  <si>
    <t>Liberty Broadband Corp. Class C</t>
  </si>
  <si>
    <t>BSFWCF5</t>
  </si>
  <si>
    <t>BSFWCF</t>
  </si>
  <si>
    <t>AXTA-US</t>
  </si>
  <si>
    <t>Axalta Coating Systems Ltd.</t>
  </si>
  <si>
    <t>AXTA</t>
  </si>
  <si>
    <t>BMG0750C1082</t>
  </si>
  <si>
    <t>BSHZ3Q0</t>
  </si>
  <si>
    <t>BSHZ3Q</t>
  </si>
  <si>
    <t>TECH-US</t>
  </si>
  <si>
    <t>Bio-Techne Corporation</t>
  </si>
  <si>
    <t>TECH</t>
  </si>
  <si>
    <t>US09073M1045</t>
  </si>
  <si>
    <t>BSPHGL4</t>
  </si>
  <si>
    <t>BSPHGL</t>
  </si>
  <si>
    <t>ANTM-US</t>
  </si>
  <si>
    <t>Anthem, Inc.</t>
  </si>
  <si>
    <t>Anthem Inc.</t>
  </si>
  <si>
    <t>US0367521038</t>
  </si>
  <si>
    <t>BSPHGN6</t>
  </si>
  <si>
    <t>BSPHGN</t>
  </si>
  <si>
    <t>LAMR-US</t>
  </si>
  <si>
    <t>Lamar Advertising Company Class A</t>
  </si>
  <si>
    <t>Lamar Advertising Company</t>
  </si>
  <si>
    <t>LAMR</t>
  </si>
  <si>
    <t>US5128161099</t>
  </si>
  <si>
    <t>BT6T3G0</t>
  </si>
  <si>
    <t>BT6T3G</t>
  </si>
  <si>
    <t>KLXI-US</t>
  </si>
  <si>
    <t>KLX, Inc.</t>
  </si>
  <si>
    <t>KLX Inc.</t>
  </si>
  <si>
    <t>KLXI</t>
  </si>
  <si>
    <t>US4825391034</t>
  </si>
  <si>
    <t>BTGQCX1</t>
  </si>
  <si>
    <t>BTGQCX</t>
  </si>
  <si>
    <t>CCI-US</t>
  </si>
  <si>
    <t>Crown Castle International Corp</t>
  </si>
  <si>
    <t>Crown Castle International Corp.</t>
  </si>
  <si>
    <t>CCI</t>
  </si>
  <si>
    <t>US22822V1017</t>
  </si>
  <si>
    <t>BTN1Y44</t>
  </si>
  <si>
    <t>BTN1Y4</t>
  </si>
  <si>
    <t>WBA-US</t>
  </si>
  <si>
    <t>Walgreens Boots Alliance Inc</t>
  </si>
  <si>
    <t>Walgreens Boots Alliance Inc.</t>
  </si>
  <si>
    <t>US9314271084</t>
  </si>
  <si>
    <t>BTPSGQ9</t>
  </si>
  <si>
    <t>BTPSGQ</t>
  </si>
  <si>
    <t>UE-US</t>
  </si>
  <si>
    <t>Urban Edge Properties</t>
  </si>
  <si>
    <t>UE</t>
  </si>
  <si>
    <t>US91704F1049</t>
  </si>
  <si>
    <t>BVFTF03</t>
  </si>
  <si>
    <t>BVFTF0</t>
  </si>
  <si>
    <t>IRM-US</t>
  </si>
  <si>
    <t>Iron Mountain, Inc.</t>
  </si>
  <si>
    <t>Iron Mountain Inc.</t>
  </si>
  <si>
    <t>IRM</t>
  </si>
  <si>
    <t>US46284V1017</t>
  </si>
  <si>
    <t>BVGC686</t>
  </si>
  <si>
    <t>BVGC68</t>
  </si>
  <si>
    <t>OA-US</t>
  </si>
  <si>
    <t>Orbital ATK, Inc.</t>
  </si>
  <si>
    <t>Orbital ATK Inc.</t>
  </si>
  <si>
    <t>OA</t>
  </si>
  <si>
    <t>US68557N1037</t>
  </si>
  <si>
    <t>BVLZX12</t>
  </si>
  <si>
    <t>BVLZX1</t>
  </si>
  <si>
    <t>EQIX-US</t>
  </si>
  <si>
    <t>Equinix, Inc.</t>
  </si>
  <si>
    <t>Equinix Inc. (REIT)</t>
  </si>
  <si>
    <t>EQIX</t>
  </si>
  <si>
    <t>US29444U7000</t>
  </si>
  <si>
    <t>BVVN4Q8</t>
  </si>
  <si>
    <t>BVVN4Q</t>
  </si>
  <si>
    <t>ES-US</t>
  </si>
  <si>
    <t>Eversource Energy</t>
  </si>
  <si>
    <t>ES</t>
  </si>
  <si>
    <t>US30040W1080</t>
  </si>
  <si>
    <t>BVYJBR3</t>
  </si>
  <si>
    <t>BVYJBR</t>
  </si>
  <si>
    <t>ZG-US</t>
  </si>
  <si>
    <t>Zillow Group, Inc. Class A</t>
  </si>
  <si>
    <t>Zillow Group Inc.</t>
  </si>
  <si>
    <t>US98954M1018</t>
  </si>
  <si>
    <t>BVZCNC0</t>
  </si>
  <si>
    <t>BVZCNC</t>
  </si>
  <si>
    <t>CIM-US</t>
  </si>
  <si>
    <t>Chimera Investment Corporation</t>
  </si>
  <si>
    <t>CIM</t>
  </si>
  <si>
    <t>US16934Q2084</t>
  </si>
  <si>
    <t>BWSW5J5</t>
  </si>
  <si>
    <t>BWSW5J</t>
  </si>
  <si>
    <t>WIN-US</t>
  </si>
  <si>
    <t>Windstream Holdings, Inc.</t>
  </si>
  <si>
    <t>Windstream Holdings Inc.</t>
  </si>
  <si>
    <t>US97382A2006</t>
  </si>
  <si>
    <t>BX8ZSB4</t>
  </si>
  <si>
    <t>BX8ZSB</t>
  </si>
  <si>
    <t>EPC-US</t>
  </si>
  <si>
    <t>Edgewell Personal Care Co.</t>
  </si>
  <si>
    <t>Edgewell Personal Care Company</t>
  </si>
  <si>
    <t>EPC</t>
  </si>
  <si>
    <t>US28035Q1022</t>
  </si>
  <si>
    <t>BXB0LF1</t>
  </si>
  <si>
    <t>BXB0LF</t>
  </si>
  <si>
    <t>TLN-US</t>
  </si>
  <si>
    <t>Talen Energy Corp</t>
  </si>
  <si>
    <t>Talen Energy Corporation</t>
  </si>
  <si>
    <t>US87422J1051</t>
  </si>
  <si>
    <t>JCI</t>
  </si>
  <si>
    <t>BYMYV8</t>
  </si>
  <si>
    <t>GGP-US</t>
  </si>
  <si>
    <t>GGP, Inc.</t>
  </si>
  <si>
    <t>GGP</t>
  </si>
  <si>
    <t>BYND5N</t>
  </si>
  <si>
    <t>ASH-US</t>
  </si>
  <si>
    <t>Ashland Global Holdings, Inc.</t>
  </si>
  <si>
    <t>ASH</t>
  </si>
  <si>
    <t>BYND5W</t>
  </si>
  <si>
    <t>RRD-US</t>
  </si>
  <si>
    <t>R.R. Donnelley &amp; Sons Company</t>
  </si>
  <si>
    <t>RRD</t>
  </si>
  <si>
    <t>BYNPPC6</t>
  </si>
  <si>
    <t>BYNPPC</t>
  </si>
  <si>
    <t>XRAY-US</t>
  </si>
  <si>
    <t>DENTSPLY SIRONA, Inc.</t>
  </si>
  <si>
    <t>DENTSPLY SIRONA Inc.</t>
  </si>
  <si>
    <t>XRAY</t>
  </si>
  <si>
    <t>US24906P1093</t>
  </si>
  <si>
    <t>Waste Connections, Inc.</t>
  </si>
  <si>
    <t>Waste Connections Inc.</t>
  </si>
  <si>
    <t>WCN</t>
  </si>
  <si>
    <t>BYQQ3P</t>
  </si>
  <si>
    <t>CCE-US</t>
  </si>
  <si>
    <t>Coca-Cola European Partners Plc</t>
  </si>
  <si>
    <t>CCE</t>
  </si>
  <si>
    <t>BYR0914</t>
  </si>
  <si>
    <t>BYR091</t>
  </si>
  <si>
    <t>WRK-US</t>
  </si>
  <si>
    <t>WestRock Co.</t>
  </si>
  <si>
    <t>WestRock Company</t>
  </si>
  <si>
    <t>WRK</t>
  </si>
  <si>
    <t>US96145D1054</t>
  </si>
  <si>
    <t>BYRGSX7</t>
  </si>
  <si>
    <t>BYRGSX</t>
  </si>
  <si>
    <t>AROC-US</t>
  </si>
  <si>
    <t>Archrock Inc.</t>
  </si>
  <si>
    <t>AROC</t>
  </si>
  <si>
    <t>US03957W1062</t>
  </si>
  <si>
    <t>BYRY499</t>
  </si>
  <si>
    <t>BYRY49</t>
  </si>
  <si>
    <t>KHC-US</t>
  </si>
  <si>
    <t>Kraft Heinz Company</t>
  </si>
  <si>
    <t>Kraft Heinz Intermediate Corporation II</t>
  </si>
  <si>
    <t>KHC</t>
  </si>
  <si>
    <t>US5007541064</t>
  </si>
  <si>
    <t>BYT2178</t>
  </si>
  <si>
    <t>BYT217</t>
  </si>
  <si>
    <t>OPTT-US</t>
  </si>
  <si>
    <t>Ocean Power Technologies, Inc.</t>
  </si>
  <si>
    <t>Ocean Power Technologies Inc.</t>
  </si>
  <si>
    <t>OPTT</t>
  </si>
  <si>
    <t>US6748704078</t>
  </si>
  <si>
    <t>BYV232</t>
  </si>
  <si>
    <t>SPGI-US</t>
  </si>
  <si>
    <t>S&amp;P Global, Inc.</t>
  </si>
  <si>
    <t>BYVMW0</t>
  </si>
  <si>
    <t>HLT-US</t>
  </si>
  <si>
    <t>Hilton Worldwide Holdings Inc</t>
  </si>
  <si>
    <t>Hilton Worldwide Holdings Inc.</t>
  </si>
  <si>
    <t>HLT</t>
  </si>
  <si>
    <t>BYVVTJ1</t>
  </si>
  <si>
    <t>BYVVTJ</t>
  </si>
  <si>
    <t>VER-US</t>
  </si>
  <si>
    <t>VEREIT, Inc. Class A</t>
  </si>
  <si>
    <t>VEREIT Inc.</t>
  </si>
  <si>
    <t>US92339V1008</t>
  </si>
  <si>
    <t>BYVY8G0</t>
  </si>
  <si>
    <t>BYVY8G</t>
  </si>
  <si>
    <t>GOOGL-US</t>
  </si>
  <si>
    <t>Alphabet Inc. Class A</t>
  </si>
  <si>
    <t>Alphabet Inc.</t>
  </si>
  <si>
    <t>GOOGL</t>
  </si>
  <si>
    <t>US02079K3059</t>
  </si>
  <si>
    <t>BYVYHH4</t>
  </si>
  <si>
    <t>BYVYHH</t>
  </si>
  <si>
    <t>WELL-US</t>
  </si>
  <si>
    <t>Welltower, Inc.</t>
  </si>
  <si>
    <t>Welltower Inc.</t>
  </si>
  <si>
    <t>HCN</t>
  </si>
  <si>
    <t>US95040Q1040</t>
  </si>
  <si>
    <t>BYW36M8</t>
  </si>
  <si>
    <t>BYW36M</t>
  </si>
  <si>
    <t>PYPL-US</t>
  </si>
  <si>
    <t>PayPal Holdings Inc</t>
  </si>
  <si>
    <t>PayPal Holdings Inc.</t>
  </si>
  <si>
    <t>PYPL</t>
  </si>
  <si>
    <t>US70450Y1038</t>
  </si>
  <si>
    <t>BYX4D52</t>
  </si>
  <si>
    <t>BYX4D5</t>
  </si>
  <si>
    <t>HPQ-US</t>
  </si>
  <si>
    <t>HP Inc.</t>
  </si>
  <si>
    <t>HPQ</t>
  </si>
  <si>
    <t>US40434L1052</t>
  </si>
  <si>
    <t>BYXB201</t>
  </si>
  <si>
    <t>BYXB20</t>
  </si>
  <si>
    <t>VIAV-US</t>
  </si>
  <si>
    <t>Viavi Solutions Inc.</t>
  </si>
  <si>
    <t>VIAV</t>
  </si>
  <si>
    <t>US9255501051</t>
  </si>
  <si>
    <t>BYY8XK8</t>
  </si>
  <si>
    <t>BYY8XK</t>
  </si>
  <si>
    <t>WEC-US</t>
  </si>
  <si>
    <t>WEC Energy Group Inc</t>
  </si>
  <si>
    <t>WEC Energy Group Inc.</t>
  </si>
  <si>
    <t>US92939U1060</t>
  </si>
  <si>
    <t>BYYHJL</t>
  </si>
  <si>
    <t>AGNC-US</t>
  </si>
  <si>
    <t>AGNC Investment Corp.</t>
  </si>
  <si>
    <t>AGNC</t>
  </si>
  <si>
    <t>Arch Coal Inc.</t>
  </si>
  <si>
    <t>ARCH</t>
  </si>
  <si>
    <t>BYZGYC</t>
  </si>
  <si>
    <t>LLL-US</t>
  </si>
  <si>
    <t>L3 Technologies Inc</t>
  </si>
  <si>
    <t>LLL</t>
  </si>
  <si>
    <t>Overseas Shipholding Group Inc.</t>
  </si>
  <si>
    <t>BZ07BW4</t>
  </si>
  <si>
    <t>BZ07BW</t>
  </si>
  <si>
    <t>MNST-US</t>
  </si>
  <si>
    <t>Monster Beverage Corporation</t>
  </si>
  <si>
    <t>MNST</t>
  </si>
  <si>
    <t>US61174X1090</t>
  </si>
  <si>
    <t>BZ0P3Z5</t>
  </si>
  <si>
    <t>BZ0P3Z</t>
  </si>
  <si>
    <t>TGNA-US</t>
  </si>
  <si>
    <t>TEGNA, Inc.</t>
  </si>
  <si>
    <t>TEGNA Inc.</t>
  </si>
  <si>
    <t>TGNA</t>
  </si>
  <si>
    <t>US87901J1051</t>
  </si>
  <si>
    <t>BZ0P429</t>
  </si>
  <si>
    <t>BZ0P42</t>
  </si>
  <si>
    <t>GCI-US</t>
  </si>
  <si>
    <t>Gannett Co., Inc.</t>
  </si>
  <si>
    <t>Gannett Co. Inc.</t>
  </si>
  <si>
    <t>GCI</t>
  </si>
  <si>
    <t>US36473H1041</t>
  </si>
  <si>
    <t>BZ0W624</t>
  </si>
  <si>
    <t>BZ0W62</t>
  </si>
  <si>
    <t>BWXT-US</t>
  </si>
  <si>
    <t>BWX Technologies, Inc.</t>
  </si>
  <si>
    <t>BWX Technologies Inc.</t>
  </si>
  <si>
    <t>BWXT</t>
  </si>
  <si>
    <t>US05605H1005</t>
  </si>
  <si>
    <t>BZ1BPL</t>
  </si>
  <si>
    <t>LVNTA-US</t>
  </si>
  <si>
    <t>Liberty Interactive Corporation Class A</t>
  </si>
  <si>
    <t>BZ2Y3W7</t>
  </si>
  <si>
    <t>BZ2Y3W</t>
  </si>
  <si>
    <t>BTUUQ-US</t>
  </si>
  <si>
    <t>Peabody Energy Corporation</t>
  </si>
  <si>
    <t>Peabody Energy Corp.</t>
  </si>
  <si>
    <t>BTUU.Q</t>
  </si>
  <si>
    <t>US7045492037</t>
  </si>
  <si>
    <t>BZ6TS2</t>
  </si>
  <si>
    <t>SBAC-US</t>
  </si>
  <si>
    <t>SBA Communications Corp. Class A</t>
  </si>
  <si>
    <t>SBA Communications Corp.</t>
  </si>
  <si>
    <t>SBAC</t>
  </si>
  <si>
    <t>BZ6VT8</t>
  </si>
  <si>
    <t>CHTR-US</t>
  </si>
  <si>
    <t>Charter Communications, Inc. Class A</t>
  </si>
  <si>
    <t>Charter Communications Inc.</t>
  </si>
  <si>
    <t>CHTR</t>
  </si>
  <si>
    <t>BZ8VC5</t>
  </si>
  <si>
    <t>CXW-US</t>
  </si>
  <si>
    <t>CoreCivic, Inc.</t>
  </si>
  <si>
    <t>CXW</t>
  </si>
  <si>
    <t>BZBY20</t>
  </si>
  <si>
    <t>ITT-US</t>
  </si>
  <si>
    <t>ITT, Inc.</t>
  </si>
  <si>
    <t>ITT</t>
  </si>
  <si>
    <t>BZBYZY</t>
  </si>
  <si>
    <t>HTZ-US</t>
  </si>
  <si>
    <t>Hertz Global Holdings, Inc.</t>
  </si>
  <si>
    <t>Hertz Global Holdings Inc.</t>
  </si>
  <si>
    <t>HTZ</t>
  </si>
  <si>
    <t>Liberty Media Corporation</t>
  </si>
  <si>
    <t>No Evidence of Controversy</t>
  </si>
  <si>
    <t>2021805</t>
  </si>
  <si>
    <t>BYNF41</t>
  </si>
  <si>
    <t>AA-US</t>
  </si>
  <si>
    <t>Alcoa Corp.</t>
  </si>
  <si>
    <t>Alcoa Inc.</t>
  </si>
  <si>
    <t>AA</t>
  </si>
  <si>
    <t>US0138171014</t>
  </si>
  <si>
    <t>2028323</t>
  </si>
  <si>
    <t>202832</t>
  </si>
  <si>
    <t>JAH-US</t>
  </si>
  <si>
    <t>Jarden Corporation</t>
  </si>
  <si>
    <t>JAH</t>
  </si>
  <si>
    <t>US4711091086</t>
  </si>
  <si>
    <t>2195722</t>
  </si>
  <si>
    <t>219572</t>
  </si>
  <si>
    <t>CB.XX2-US</t>
  </si>
  <si>
    <t>Chubb Corporation</t>
  </si>
  <si>
    <t>US1712321017</t>
  </si>
  <si>
    <t>2213572</t>
  </si>
  <si>
    <t>US2057682039</t>
  </si>
  <si>
    <t>2222233</t>
  </si>
  <si>
    <t>222223</t>
  </si>
  <si>
    <t>CAM-US</t>
  </si>
  <si>
    <t>CAM</t>
  </si>
  <si>
    <t>US13342B1052</t>
  </si>
  <si>
    <t>2235822</t>
  </si>
  <si>
    <t>223582</t>
  </si>
  <si>
    <t>BRCM-US</t>
  </si>
  <si>
    <t>Broadcom Corporation Class A</t>
  </si>
  <si>
    <t>BRCM</t>
  </si>
  <si>
    <t>US1113201073</t>
  </si>
  <si>
    <t>2247366</t>
  </si>
  <si>
    <t>L-3 Communications Holdings Inc.</t>
  </si>
  <si>
    <t>US5024241045</t>
  </si>
  <si>
    <t>2248240</t>
  </si>
  <si>
    <t>224824</t>
  </si>
  <si>
    <t>WCN.XX2-US</t>
  </si>
  <si>
    <t>US9410531001</t>
  </si>
  <si>
    <t>2276605</t>
  </si>
  <si>
    <t>US2578671016</t>
  </si>
  <si>
    <t>2295172</t>
  </si>
  <si>
    <t>229517</t>
  </si>
  <si>
    <t>EMC-US</t>
  </si>
  <si>
    <t>EMC Corporation</t>
  </si>
  <si>
    <t>US2686481027</t>
  </si>
  <si>
    <t>2376613</t>
  </si>
  <si>
    <t>237661</t>
  </si>
  <si>
    <t>GSS-US</t>
  </si>
  <si>
    <t>Golden Star Resources Ltd.</t>
  </si>
  <si>
    <t>GSC</t>
  </si>
  <si>
    <t>CA38119T1049</t>
  </si>
  <si>
    <t>2401247</t>
  </si>
  <si>
    <t>240124</t>
  </si>
  <si>
    <t>KWKAQ-US</t>
  </si>
  <si>
    <t>Quicksilver Resources Inc.</t>
  </si>
  <si>
    <t>US74837R1041</t>
  </si>
  <si>
    <t>2429294</t>
  </si>
  <si>
    <t>US78388J1060</t>
  </si>
  <si>
    <t>2444479</t>
  </si>
  <si>
    <t>244447</t>
  </si>
  <si>
    <t>FCS-US</t>
  </si>
  <si>
    <t>Fairchild Semiconductor International, Inc.</t>
  </si>
  <si>
    <t>Fairchild Semiconductor International Inc.</t>
  </si>
  <si>
    <t>US3037261035</t>
  </si>
  <si>
    <t>2476803</t>
  </si>
  <si>
    <t>247680</t>
  </si>
  <si>
    <t>JCI.XX1-US</t>
  </si>
  <si>
    <t>Johnson Controls, Inc.</t>
  </si>
  <si>
    <t>Johnson Controls Inc.</t>
  </si>
  <si>
    <t>US4783661071</t>
  </si>
  <si>
    <t>2551443</t>
  </si>
  <si>
    <t>McGraw Hill Financial Inc.</t>
  </si>
  <si>
    <t>MHFI</t>
  </si>
  <si>
    <t>US5806451093</t>
  </si>
  <si>
    <t>2591524</t>
  </si>
  <si>
    <t>259152</t>
  </si>
  <si>
    <t>RAX-US</t>
  </si>
  <si>
    <t>Rackspace Hosting, Inc.</t>
  </si>
  <si>
    <t>Rackspace Hosting Inc.</t>
  </si>
  <si>
    <t>US7500861007</t>
  </si>
  <si>
    <t>2692397</t>
  </si>
  <si>
    <t>269239</t>
  </si>
  <si>
    <t>PCL-US</t>
  </si>
  <si>
    <t>Plum Creek Timber Company, Inc.</t>
  </si>
  <si>
    <t>Plum Creek Timber Co. Inc.</t>
  </si>
  <si>
    <t>US7292511083</t>
  </si>
  <si>
    <t>2693420</t>
  </si>
  <si>
    <t>269342</t>
  </si>
  <si>
    <t>PLCM-US</t>
  </si>
  <si>
    <t>Polycom, Inc.</t>
  </si>
  <si>
    <t>Polycom Inc.</t>
  </si>
  <si>
    <t>PLCM</t>
  </si>
  <si>
    <t>US73172K1043</t>
  </si>
  <si>
    <t>2717320</t>
  </si>
  <si>
    <t>271732</t>
  </si>
  <si>
    <t>QLGC-US</t>
  </si>
  <si>
    <t>QLogic Corporation</t>
  </si>
  <si>
    <t>QLGC</t>
  </si>
  <si>
    <t>US7472771010</t>
  </si>
  <si>
    <t>2717483</t>
  </si>
  <si>
    <t>271748</t>
  </si>
  <si>
    <t>STR-US</t>
  </si>
  <si>
    <t>Questar Corporation</t>
  </si>
  <si>
    <t>US7483561020</t>
  </si>
  <si>
    <t>2759418</t>
  </si>
  <si>
    <t>Corrections Corporation of America</t>
  </si>
  <si>
    <t>US22025Y4070</t>
  </si>
  <si>
    <t>2892045</t>
  </si>
  <si>
    <t>289204</t>
  </si>
  <si>
    <t>MWW-US</t>
  </si>
  <si>
    <t>Monster Worldwide, Inc.</t>
  </si>
  <si>
    <t>Monster Worldwide Inc.</t>
  </si>
  <si>
    <t>US6117421072</t>
  </si>
  <si>
    <t>2971698</t>
  </si>
  <si>
    <t>297169</t>
  </si>
  <si>
    <t>POM-US</t>
  </si>
  <si>
    <t>Pepco Holdings, Inc.</t>
  </si>
  <si>
    <t>US7132911022</t>
  </si>
  <si>
    <t>B032FN0</t>
  </si>
  <si>
    <t>B032FN</t>
  </si>
  <si>
    <t>ARCC-US</t>
  </si>
  <si>
    <t>Ares Capital Corporation</t>
  </si>
  <si>
    <t>ARCC</t>
  </si>
  <si>
    <t>US04010L1035</t>
  </si>
  <si>
    <t>B033T75</t>
  </si>
  <si>
    <t>B033T7</t>
  </si>
  <si>
    <t>MDVN-US</t>
  </si>
  <si>
    <t>Medivation, Inc.</t>
  </si>
  <si>
    <t>Medivation Inc.</t>
  </si>
  <si>
    <t>US58501N1019</t>
  </si>
  <si>
    <t>B066NX5</t>
  </si>
  <si>
    <t>B066NX</t>
  </si>
  <si>
    <t>ANRZQ-US</t>
  </si>
  <si>
    <t>Alpha Natural Resources, Inc.</t>
  </si>
  <si>
    <t>ANRZ.Q</t>
  </si>
  <si>
    <t>US02076X1028</t>
  </si>
  <si>
    <t>B08L7X6</t>
  </si>
  <si>
    <t>B08L7X</t>
  </si>
  <si>
    <t>IHS-US</t>
  </si>
  <si>
    <t>IHS Inc. Class A</t>
  </si>
  <si>
    <t>IHS Inc.</t>
  </si>
  <si>
    <t>US4517341073</t>
  </si>
  <si>
    <t>B0BVFJ5</t>
  </si>
  <si>
    <t>Ashland Inc.</t>
  </si>
  <si>
    <t>US0442091049</t>
  </si>
  <si>
    <t>B0F7FR7</t>
  </si>
  <si>
    <t>B0F7FR</t>
  </si>
  <si>
    <t>ITC-US</t>
  </si>
  <si>
    <t>ITC Holdings Corp.</t>
  </si>
  <si>
    <t>US4656851056</t>
  </si>
  <si>
    <t>B12GHV2</t>
  </si>
  <si>
    <t>B12GHV</t>
  </si>
  <si>
    <t>HOT-US</t>
  </si>
  <si>
    <t>Starwood Hotels &amp; Resorts Worldwide, Inc.</t>
  </si>
  <si>
    <t>Starwood Hotels &amp; Resorts Worldwide Inc.</t>
  </si>
  <si>
    <t>US85590A4013</t>
  </si>
  <si>
    <t>B1HHJP8</t>
  </si>
  <si>
    <t>US42805T1051</t>
  </si>
  <si>
    <t>B1PPRK5</t>
  </si>
  <si>
    <t>B1PPRK</t>
  </si>
  <si>
    <t>BLY-AU</t>
  </si>
  <si>
    <t>Boart Longyear Limited</t>
  </si>
  <si>
    <t>BLY</t>
  </si>
  <si>
    <t>AU000000BLY8</t>
  </si>
  <si>
    <t>B28M896</t>
  </si>
  <si>
    <t>B28M89</t>
  </si>
  <si>
    <t>SDOCQ-US</t>
  </si>
  <si>
    <t>SandRidge Energy, Inc.</t>
  </si>
  <si>
    <t>SandRidge Energy Inc.</t>
  </si>
  <si>
    <t>SDOC.Q</t>
  </si>
  <si>
    <t>US80007P3073</t>
  </si>
  <si>
    <t>B2B0FZ2</t>
  </si>
  <si>
    <t>B2B0FZ</t>
  </si>
  <si>
    <t>N-US</t>
  </si>
  <si>
    <t>NetSuite Inc.</t>
  </si>
  <si>
    <t>US64118Q1076</t>
  </si>
  <si>
    <t>B2R5SY1</t>
  </si>
  <si>
    <t>B2R5SY</t>
  </si>
  <si>
    <t>HTS-US</t>
  </si>
  <si>
    <t>Hatteras Financial Corp.</t>
  </si>
  <si>
    <t>HTS</t>
  </si>
  <si>
    <t>US41902R1032</t>
  </si>
  <si>
    <t>B2R8TC5</t>
  </si>
  <si>
    <t>American Capital Agency Corp.</t>
  </si>
  <si>
    <t>US02503X1054</t>
  </si>
  <si>
    <t>B2R9T17</t>
  </si>
  <si>
    <t>Rovi Corporation</t>
  </si>
  <si>
    <t>ROVI</t>
  </si>
  <si>
    <t>US7793761021</t>
  </si>
  <si>
    <t>B3QVXD1</t>
  </si>
  <si>
    <t>Accretive Health Inc.</t>
  </si>
  <si>
    <t>ACHI</t>
  </si>
  <si>
    <t>US00438V1035</t>
  </si>
  <si>
    <t>B42BPG9</t>
  </si>
  <si>
    <t>Coca-Cola Enterprises Inc.</t>
  </si>
  <si>
    <t>US19122T1097</t>
  </si>
  <si>
    <t>B432K33</t>
  </si>
  <si>
    <t>B432K3</t>
  </si>
  <si>
    <t>KKR-US</t>
  </si>
  <si>
    <t>KKR &amp; Co. L.P.</t>
  </si>
  <si>
    <t>KKR</t>
  </si>
  <si>
    <t>US48248M1027</t>
  </si>
  <si>
    <t>B4WB848</t>
  </si>
  <si>
    <t>B4WB84</t>
  </si>
  <si>
    <t>EDMC-US</t>
  </si>
  <si>
    <t>Education Management Corporation</t>
  </si>
  <si>
    <t>EDMC</t>
  </si>
  <si>
    <t>US28140M1036</t>
  </si>
  <si>
    <t>B4XT1S6</t>
  </si>
  <si>
    <t>US16117M3051</t>
  </si>
  <si>
    <t>B50H726</t>
  </si>
  <si>
    <t>B50H72</t>
  </si>
  <si>
    <t>AR-CA</t>
  </si>
  <si>
    <t>Argonaut Gold Inc.</t>
  </si>
  <si>
    <t>CA04016A1012</t>
  </si>
  <si>
    <t>B56VLR5</t>
  </si>
  <si>
    <t>General Growth Properties Inc.</t>
  </si>
  <si>
    <t>US3700231034</t>
  </si>
  <si>
    <t>B6TB704</t>
  </si>
  <si>
    <t>B6TB70</t>
  </si>
  <si>
    <t>GTATQ-US</t>
  </si>
  <si>
    <t>GTAT.Q</t>
  </si>
  <si>
    <t>US36191U1060</t>
  </si>
  <si>
    <t>B6Y9SW2</t>
  </si>
  <si>
    <t>ITT Corporation</t>
  </si>
  <si>
    <t>US4509112011</t>
  </si>
  <si>
    <t>B7KYMP9</t>
  </si>
  <si>
    <t>B7KYMP</t>
  </si>
  <si>
    <t>LMCA.XX1-US</t>
  </si>
  <si>
    <t>Liberty Media Corp. Class A</t>
  </si>
  <si>
    <t>LMCA</t>
  </si>
  <si>
    <t>US5312291025</t>
  </si>
  <si>
    <t>B7XWRM2</t>
  </si>
  <si>
    <t>B7XWRM</t>
  </si>
  <si>
    <t>ADT.XX11-US</t>
  </si>
  <si>
    <t>ADT Corporation</t>
  </si>
  <si>
    <t>ADT</t>
  </si>
  <si>
    <t>US00101J1060</t>
  </si>
  <si>
    <t>B8FK6R9</t>
  </si>
  <si>
    <t>US53071M8800</t>
  </si>
  <si>
    <t>BH3XFX2</t>
  </si>
  <si>
    <t>US43300A1043</t>
  </si>
  <si>
    <t>BNGK510</t>
  </si>
  <si>
    <t>BNGK51</t>
  </si>
  <si>
    <t>PSG-CA</t>
  </si>
  <si>
    <t>BPYD656</t>
  </si>
  <si>
    <t>BPYD65</t>
  </si>
  <si>
    <t>OSGB-US</t>
  </si>
  <si>
    <t>Overseas Shipholding Group Inc Class B</t>
  </si>
  <si>
    <t>OSGB</t>
  </si>
  <si>
    <t>US69036R4002</t>
  </si>
  <si>
    <t>BVCY4B5</t>
  </si>
  <si>
    <t>WP GLIMCHER Inc.</t>
  </si>
  <si>
    <t>US92939N1028</t>
  </si>
  <si>
    <t>BVYV0D8</t>
  </si>
  <si>
    <t>Communications Sales &amp; Leasing Inc.</t>
  </si>
  <si>
    <t>CSAL</t>
  </si>
  <si>
    <t>US20341J1043</t>
  </si>
  <si>
    <t>BYXB1T3</t>
  </si>
  <si>
    <t>BYXB1T</t>
  </si>
  <si>
    <t>ACIIQ-US</t>
  </si>
  <si>
    <t>Arch Coal, Inc.</t>
  </si>
  <si>
    <t>US0393803087</t>
  </si>
  <si>
    <t>SPX YE15</t>
  </si>
  <si>
    <t>SPX YE17</t>
  </si>
  <si>
    <t>SPX 15-17</t>
  </si>
  <si>
    <t>PRICE YE17</t>
  </si>
  <si>
    <t>REL-RETURN</t>
  </si>
  <si>
    <t>PRICE YE15</t>
  </si>
  <si>
    <t>ROE</t>
  </si>
  <si>
    <t>This sheet contains FactSet XML data for use with this workbook's =FDS codes.  Modifying the worksheet's contents may damage the workbook's =FDS functionality.</t>
  </si>
  <si>
    <t>RETURN 15-17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</si>
</sst>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000"/>
    <numFmt numFmtId="165" formatCode="0.00000"/>
    <numFmt numFmtId="166" formatCode="0.000000"/>
    <numFmt numFmtId="167" formatCode="_(* #,##0.0_);_(* \(#,##0.0\);_(* &quot;-&quot;?_);_(@_)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7">
    <xf numFmtId="0" fontId="0" fillId="0" borderId="0" xfId="0"/>
    <xf numFmtId="2" fontId="2" fillId="3" borderId="0" xfId="0" applyNumberFormat="1" applyFont="1" applyFill="1" applyBorder="1" applyAlignment="1" applyProtection="1">
      <alignment horizontal="center" vertical="center"/>
    </xf>
    <xf numFmtId="0" fontId="2" fillId="3" borderId="0" xfId="0" applyNumberFormat="1" applyFont="1" applyFill="1" applyBorder="1" applyAlignment="1" applyProtection="1">
      <alignment horizontal="center" vertical="center"/>
    </xf>
    <xf numFmtId="166" fontId="2" fillId="3" borderId="0" xfId="0" applyNumberFormat="1" applyFont="1" applyFill="1" applyBorder="1" applyAlignment="1" applyProtection="1">
      <alignment horizontal="center" vertical="center"/>
    </xf>
    <xf numFmtId="2" fontId="3" fillId="2" borderId="0" xfId="0" applyNumberFormat="1" applyFont="1" applyFill="1" applyBorder="1" applyAlignment="1" applyProtection="1">
      <alignment wrapText="1"/>
    </xf>
    <xf numFmtId="165" fontId="3" fillId="2" borderId="0" xfId="0" applyNumberFormat="1" applyFont="1" applyFill="1" applyBorder="1" applyAlignment="1" applyProtection="1"/>
    <xf numFmtId="166" fontId="3" fillId="2" borderId="0" xfId="0" applyNumberFormat="1" applyFont="1" applyFill="1" applyBorder="1" applyAlignment="1" applyProtection="1"/>
    <xf numFmtId="164" fontId="3" fillId="2" borderId="0" xfId="0" applyNumberFormat="1" applyFont="1" applyFill="1" applyBorder="1" applyAlignment="1" applyProtection="1"/>
    <xf numFmtId="2" fontId="3" fillId="2" borderId="0" xfId="0" applyNumberFormat="1" applyFont="1" applyFill="1" applyBorder="1" applyAlignment="1" applyProtection="1">
      <alignment horizontal="left" vertical="center"/>
    </xf>
    <xf numFmtId="1" fontId="3" fillId="2" borderId="0" xfId="0" applyNumberFormat="1" applyFont="1" applyFill="1" applyBorder="1" applyAlignment="1" applyProtection="1">
      <alignment horizontal="right" vertical="center"/>
    </xf>
    <xf numFmtId="0" fontId="0" fillId="0" borderId="0" xfId="0" applyFont="1"/>
    <xf numFmtId="0" fontId="5" fillId="0" borderId="0" xfId="0" applyFont="1"/>
    <xf numFmtId="167" fontId="3" fillId="2" borderId="0" xfId="0" applyNumberFormat="1" applyFont="1" applyFill="1" applyBorder="1" applyAlignment="1" applyProtection="1">
      <alignment horizontal="right" vertical="center"/>
    </xf>
    <xf numFmtId="43" fontId="6" fillId="0" borderId="0" xfId="2" applyNumberFormat="1" applyFont="1" applyFill="1" applyBorder="1"/>
    <xf numFmtId="0" fontId="2" fillId="3" borderId="0" xfId="0" applyNumberFormat="1" applyFont="1" applyFill="1" applyBorder="1" applyAlignment="1" applyProtection="1">
      <alignment vertical="center"/>
    </xf>
    <xf numFmtId="2" fontId="6" fillId="2" borderId="0" xfId="0" applyNumberFormat="1" applyFont="1" applyFill="1" applyBorder="1" applyAlignment="1" applyProtection="1">
      <alignment vertical="center"/>
    </xf>
    <xf numFmtId="0" fontId="0" fillId="0" borderId="0" xfId="0" applyFont="1" applyAlignment="1"/>
  </cellXfs>
  <cellStyles count="3">
    <cellStyle name="Hyperlink" xfId="1" builtinId="8" customBuiltin="1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9"/>
  <sheetViews>
    <sheetView workbookViewId="0"/>
  </sheetViews>
  <sheetFormatPr defaultRowHeight="15" x14ac:dyDescent="0.25"/>
  <sheetData>
    <row r="1" spans="1:2" x14ac:dyDescent="0.25">
      <c r="B1" t="s">
        <v>6567</v>
      </c>
    </row>
    <row r="2" spans="1:2" x14ac:dyDescent="0.25"/>
    <row r="3" spans="1:2" x14ac:dyDescent="0.25"/>
    <row r="4" spans="1:2" x14ac:dyDescent="0.25"/>
    <row r="5" spans="1:2" x14ac:dyDescent="0.25"/>
    <row r="6" spans="1:2" x14ac:dyDescent="0.25"/>
    <row r="7" spans="1:2" x14ac:dyDescent="0.25"/>
    <row r="8" spans="1:2" x14ac:dyDescent="0.25"/>
    <row r="9" spans="1:2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988"/>
  <sheetViews>
    <sheetView tabSelected="1" zoomScale="75" zoomScaleNormal="75" workbookViewId="0">
      <pane ySplit="1" topLeftCell="A2" activePane="bottomLeft" state="frozen"/>
      <selection pane="bottomLeft" activeCell="Q18" sqref="Q18"/>
    </sheetView>
  </sheetViews>
  <sheetFormatPr defaultRowHeight="15" x14ac:dyDescent="0.25"/>
  <cols>
    <col min="1" max="1" width="15.5703125" style="10" bestFit="1" customWidth="1"/>
    <col min="2" max="2" width="10.140625" style="10" bestFit="1" customWidth="1"/>
    <col min="3" max="3" width="12" style="10" bestFit="1" customWidth="1"/>
    <col min="4" max="4" width="12" style="10" customWidth="1"/>
    <col min="5" max="5" width="12.5703125" style="16" bestFit="1" customWidth="1"/>
    <col min="6" max="6" width="10" style="10" bestFit="1" customWidth="1"/>
    <col min="7" max="7" width="19.42578125" style="10" bestFit="1" customWidth="1"/>
    <col min="8" max="9" width="13.85546875" style="10" bestFit="1" customWidth="1"/>
    <col min="10" max="10" width="16.85546875" style="10" bestFit="1" customWidth="1"/>
    <col min="11" max="11" width="16" style="10" bestFit="1" customWidth="1"/>
    <col min="12" max="12" width="16" style="10" customWidth="1"/>
    <col min="13" max="13" width="40.28515625" style="10" customWidth="1"/>
    <col min="14" max="14" width="45.28515625" style="10" customWidth="1"/>
    <col min="15" max="15" width="9.140625" style="10"/>
    <col min="16" max="16" width="13.7109375" style="10" bestFit="1" customWidth="1"/>
    <col min="17" max="18" width="29" style="10" bestFit="1" customWidth="1"/>
    <col min="19" max="19" width="22.140625" style="10" customWidth="1"/>
    <col min="20" max="20" width="24" style="10" bestFit="1" customWidth="1"/>
    <col min="21" max="21" width="24.140625" style="10" bestFit="1" customWidth="1"/>
    <col min="22" max="22" width="19.140625" style="10" customWidth="1"/>
    <col min="23" max="23" width="14.140625" style="10" customWidth="1"/>
    <col min="24" max="24" width="18.140625" style="10" customWidth="1"/>
    <col min="25" max="25" width="17.140625" style="10" customWidth="1"/>
    <col min="26" max="26" width="19.140625" style="10" customWidth="1"/>
    <col min="27" max="27" width="14.140625" style="10" customWidth="1"/>
    <col min="28" max="28" width="18.140625" style="10" customWidth="1"/>
    <col min="29" max="29" width="20.140625" style="10" customWidth="1"/>
    <col min="30" max="30" width="15.140625" style="10" customWidth="1"/>
    <col min="31" max="31" width="19.140625" style="10" customWidth="1"/>
    <col min="32" max="41" width="28.140625" style="10" customWidth="1"/>
    <col min="42" max="42" width="22.140625" style="10" customWidth="1"/>
    <col min="43" max="43" width="20.140625" style="10" customWidth="1"/>
    <col min="44" max="16384" width="9.140625" style="10"/>
  </cols>
  <sheetData>
    <row r="1" spans="1:43" s="11" customFormat="1" ht="17.45" customHeight="1" x14ac:dyDescent="0.25">
      <c r="A1" s="1" t="s">
        <v>0</v>
      </c>
      <c r="B1" s="2" t="s">
        <v>1</v>
      </c>
      <c r="C1" s="2" t="s">
        <v>6560</v>
      </c>
      <c r="D1" s="2" t="s">
        <v>6561</v>
      </c>
      <c r="E1" s="14" t="s">
        <v>6562</v>
      </c>
      <c r="F1" s="1" t="s">
        <v>2</v>
      </c>
      <c r="G1" s="1" t="s">
        <v>3</v>
      </c>
      <c r="H1" s="1" t="s">
        <v>6565</v>
      </c>
      <c r="I1" s="1" t="s">
        <v>6563</v>
      </c>
      <c r="J1" s="1" t="s">
        <v>6568</v>
      </c>
      <c r="K1" s="1" t="s">
        <v>6564</v>
      </c>
      <c r="L1" s="1" t="s">
        <v>6566</v>
      </c>
      <c r="M1" s="1" t="s">
        <v>4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3" t="s">
        <v>11</v>
      </c>
      <c r="U1" s="3" t="s">
        <v>12</v>
      </c>
      <c r="V1" s="3" t="s">
        <v>13</v>
      </c>
      <c r="W1" s="3" t="s">
        <v>14</v>
      </c>
      <c r="X1" s="3" t="s">
        <v>15</v>
      </c>
      <c r="Y1" s="3" t="s">
        <v>16</v>
      </c>
      <c r="Z1" s="3" t="s">
        <v>17</v>
      </c>
      <c r="AA1" s="3" t="s">
        <v>18</v>
      </c>
      <c r="AB1" s="3" t="s">
        <v>19</v>
      </c>
      <c r="AC1" s="3" t="s">
        <v>20</v>
      </c>
      <c r="AD1" s="3" t="s">
        <v>21</v>
      </c>
      <c r="AE1" s="3" t="s">
        <v>22</v>
      </c>
      <c r="AF1" s="1" t="s">
        <v>23</v>
      </c>
      <c r="AG1" s="1" t="s">
        <v>24</v>
      </c>
      <c r="AH1" s="1" t="s">
        <v>25</v>
      </c>
      <c r="AI1" s="1" t="s">
        <v>26</v>
      </c>
      <c r="AJ1" s="1" t="s">
        <v>27</v>
      </c>
      <c r="AK1" s="1" t="s">
        <v>28</v>
      </c>
      <c r="AL1" s="1" t="s">
        <v>29</v>
      </c>
      <c r="AM1" s="1" t="s">
        <v>30</v>
      </c>
      <c r="AN1" s="1" t="s">
        <v>31</v>
      </c>
      <c r="AO1" s="1" t="s">
        <v>32</v>
      </c>
      <c r="AP1" s="1" t="s">
        <v>33</v>
      </c>
      <c r="AQ1" s="1" t="s">
        <v>34</v>
      </c>
    </row>
    <row r="2" spans="1:43" ht="12.6" customHeight="1" x14ac:dyDescent="0.25">
      <c r="A2" s="8" t="s">
        <v>675</v>
      </c>
      <c r="B2" s="9">
        <v>20151231</v>
      </c>
      <c r="C2" s="12">
        <f>_xll.FDS("SPX","FG_PRICE(12/30/2015)")</f>
        <v>2063.36</v>
      </c>
      <c r="D2" s="12">
        <f>_xll.FDS("SPX","FG_PRICE(12/30/2017)")</f>
        <v>2673.61</v>
      </c>
      <c r="E2" s="15">
        <f>D2/C2-1</f>
        <v>0.2957554668114144</v>
      </c>
      <c r="F2" s="8" t="s">
        <v>676</v>
      </c>
      <c r="G2" s="8" t="s">
        <v>677</v>
      </c>
      <c r="H2" s="13">
        <f>_xll.FDS(G2,"FG_PRICE(12/30/2015)")</f>
        <v>146.41</v>
      </c>
      <c r="I2" s="13">
        <f>_xll.FDS(G2,"FG_PRICE(12/31/2017)")</f>
        <v>294.91000000000003</v>
      </c>
      <c r="J2" s="13">
        <f>I2/H2-1</f>
        <v>1.0142749812171301</v>
      </c>
      <c r="K2" s="13">
        <f>J2-E2</f>
        <v>0.71851951440571571</v>
      </c>
      <c r="L2" s="13">
        <f>_xll.FDS(G2,"FF_ROE(ANN_R,12/30/2015)")</f>
        <v>46.219201359388272</v>
      </c>
      <c r="M2" s="8" t="s">
        <v>678</v>
      </c>
      <c r="N2" s="4" t="s">
        <v>679</v>
      </c>
      <c r="O2" s="4" t="s">
        <v>680</v>
      </c>
      <c r="P2" s="4" t="s">
        <v>96</v>
      </c>
      <c r="Q2" s="4" t="s">
        <v>51</v>
      </c>
      <c r="R2" s="4" t="s">
        <v>61</v>
      </c>
      <c r="S2" s="4" t="s">
        <v>62</v>
      </c>
      <c r="T2" s="6" t="e">
        <v>#N/A</v>
      </c>
      <c r="U2" s="5">
        <v>55</v>
      </c>
      <c r="V2" s="5">
        <v>62</v>
      </c>
      <c r="W2" s="5">
        <v>45</v>
      </c>
      <c r="X2" s="5">
        <v>59</v>
      </c>
      <c r="Y2" s="5">
        <v>25.64</v>
      </c>
      <c r="Z2" s="5">
        <v>56.41</v>
      </c>
      <c r="AA2" s="5">
        <v>12.82</v>
      </c>
      <c r="AB2" s="5">
        <v>10.26</v>
      </c>
      <c r="AC2" s="6">
        <v>0.35</v>
      </c>
      <c r="AD2" s="6">
        <v>0.35</v>
      </c>
      <c r="AE2" s="6">
        <v>0.3</v>
      </c>
      <c r="AF2" s="4" t="s">
        <v>46</v>
      </c>
      <c r="AG2" s="4" t="s">
        <v>6296</v>
      </c>
      <c r="AH2" s="4" t="s">
        <v>6296</v>
      </c>
      <c r="AI2" s="4" t="s">
        <v>46</v>
      </c>
      <c r="AJ2" s="4" t="s">
        <v>6296</v>
      </c>
      <c r="AK2" s="4" t="s">
        <v>46</v>
      </c>
      <c r="AL2" s="4" t="s">
        <v>46</v>
      </c>
      <c r="AM2" s="4" t="s">
        <v>37</v>
      </c>
      <c r="AN2" s="4" t="s">
        <v>37</v>
      </c>
      <c r="AO2" s="4" t="s">
        <v>6296</v>
      </c>
      <c r="AP2" s="4" t="s">
        <v>681</v>
      </c>
      <c r="AQ2" s="4" t="s">
        <v>47</v>
      </c>
    </row>
    <row r="3" spans="1:43" ht="12.6" customHeight="1" x14ac:dyDescent="0.25">
      <c r="A3" s="8" t="s">
        <v>587</v>
      </c>
      <c r="B3" s="9">
        <v>20151231</v>
      </c>
      <c r="C3" s="12">
        <f>_xll.FDS("SPX","FG_PRICE(12/30/2015)")</f>
        <v>2063.36</v>
      </c>
      <c r="D3" s="12">
        <f>_xll.FDS("SPX","FG_PRICE(12/30/2017)")</f>
        <v>2673.61</v>
      </c>
      <c r="E3" s="15">
        <f>D3/C3-1</f>
        <v>0.2957554668114144</v>
      </c>
      <c r="F3" s="8" t="s">
        <v>588</v>
      </c>
      <c r="G3" s="8" t="s">
        <v>589</v>
      </c>
      <c r="H3" s="13">
        <f>_xll.FDS(G3,"FG_PRICE(12/30/2015)")</f>
        <v>42.92</v>
      </c>
      <c r="I3" s="13" t="e">
        <f>_xll.FDS(G3,"FG_PRICE(12/31/2017)")</f>
        <v>#N/A</v>
      </c>
      <c r="J3" s="13" t="e">
        <f>I3/H3-1</f>
        <v>#N/A</v>
      </c>
      <c r="K3" s="13" t="e">
        <f>J3-E3</f>
        <v>#N/A</v>
      </c>
      <c r="L3" s="13">
        <f>_xll.FDS(G3,"FF_ROE(ANN_R,12/30/2015)")</f>
        <v>4.4057572633909823</v>
      </c>
      <c r="M3" s="8" t="s">
        <v>590</v>
      </c>
      <c r="N3" s="4" t="s">
        <v>591</v>
      </c>
      <c r="O3" s="4" t="s">
        <v>592</v>
      </c>
      <c r="P3" s="4" t="s">
        <v>106</v>
      </c>
      <c r="Q3" s="4" t="s">
        <v>51</v>
      </c>
      <c r="R3" s="4" t="s">
        <v>61</v>
      </c>
      <c r="S3" s="4" t="s">
        <v>62</v>
      </c>
      <c r="T3" s="6" t="e">
        <v>#N/A</v>
      </c>
      <c r="U3" s="5">
        <v>47</v>
      </c>
      <c r="V3" s="5">
        <v>40</v>
      </c>
      <c r="W3" s="5">
        <v>44</v>
      </c>
      <c r="X3" s="5">
        <v>59</v>
      </c>
      <c r="Y3" s="6">
        <v>2.56</v>
      </c>
      <c r="Z3" s="6">
        <v>0</v>
      </c>
      <c r="AA3" s="6">
        <v>7.69</v>
      </c>
      <c r="AB3" s="5">
        <v>10.26</v>
      </c>
      <c r="AC3" s="6">
        <v>0.35</v>
      </c>
      <c r="AD3" s="6">
        <v>0.35</v>
      </c>
      <c r="AE3" s="6">
        <v>0.3</v>
      </c>
      <c r="AF3" s="4" t="s">
        <v>6296</v>
      </c>
      <c r="AG3" s="4" t="s">
        <v>6296</v>
      </c>
      <c r="AH3" s="4" t="s">
        <v>6296</v>
      </c>
      <c r="AI3" s="4" t="s">
        <v>6296</v>
      </c>
      <c r="AJ3" s="4" t="s">
        <v>6296</v>
      </c>
      <c r="AK3" s="4" t="s">
        <v>42</v>
      </c>
      <c r="AL3" s="4" t="s">
        <v>42</v>
      </c>
      <c r="AM3" s="4" t="s">
        <v>42</v>
      </c>
      <c r="AN3" s="4" t="s">
        <v>6296</v>
      </c>
      <c r="AO3" s="4" t="s">
        <v>6296</v>
      </c>
      <c r="AP3" s="4" t="s">
        <v>593</v>
      </c>
      <c r="AQ3" s="4" t="s">
        <v>47</v>
      </c>
    </row>
    <row r="4" spans="1:43" ht="12.6" customHeight="1" x14ac:dyDescent="0.25">
      <c r="A4" s="8" t="s">
        <v>3507</v>
      </c>
      <c r="B4" s="9">
        <v>20151231</v>
      </c>
      <c r="C4" s="12">
        <f>_xll.FDS("SPX","FG_PRICE(12/30/2015)")</f>
        <v>2063.36</v>
      </c>
      <c r="D4" s="12">
        <f>_xll.FDS("SPX","FG_PRICE(12/30/2017)")</f>
        <v>2673.61</v>
      </c>
      <c r="E4" s="15">
        <f>D4/C4-1</f>
        <v>0.2957554668114144</v>
      </c>
      <c r="F4" s="8" t="s">
        <v>3508</v>
      </c>
      <c r="G4" s="8" t="s">
        <v>3509</v>
      </c>
      <c r="H4" s="13">
        <f>_xll.FDS(G4,"FG_PRICE(12/30/2015)")</f>
        <v>93.27</v>
      </c>
      <c r="I4" s="13">
        <f>_xll.FDS(G4,"FG_PRICE(12/31/2017)")</f>
        <v>135.62</v>
      </c>
      <c r="J4" s="13">
        <f>I4/H4-1</f>
        <v>0.45405811086094139</v>
      </c>
      <c r="K4" s="13">
        <f>J4-E4</f>
        <v>0.15830264404952699</v>
      </c>
      <c r="L4" s="13">
        <f>_xll.FDS(G4,"FF_ROE(ANN_R,12/30/2015)")</f>
        <v>36.924714019686093</v>
      </c>
      <c r="M4" s="8" t="s">
        <v>3510</v>
      </c>
      <c r="N4" s="4" t="s">
        <v>3511</v>
      </c>
      <c r="O4" s="4" t="s">
        <v>3512</v>
      </c>
      <c r="P4" s="4" t="s">
        <v>96</v>
      </c>
      <c r="Q4" s="4" t="s">
        <v>51</v>
      </c>
      <c r="R4" s="4" t="s">
        <v>61</v>
      </c>
      <c r="S4" s="4" t="s">
        <v>62</v>
      </c>
      <c r="T4" s="6" t="e">
        <v>#N/A</v>
      </c>
      <c r="U4" s="5">
        <v>70</v>
      </c>
      <c r="V4" s="5">
        <v>70</v>
      </c>
      <c r="W4" s="5">
        <v>66</v>
      </c>
      <c r="X4" s="5">
        <v>75</v>
      </c>
      <c r="Y4" s="5">
        <v>76.92</v>
      </c>
      <c r="Z4" s="5">
        <v>82.05</v>
      </c>
      <c r="AA4" s="5">
        <v>79.489999999999995</v>
      </c>
      <c r="AB4" s="5">
        <v>82.05</v>
      </c>
      <c r="AC4" s="6">
        <v>0.35</v>
      </c>
      <c r="AD4" s="6">
        <v>0.35</v>
      </c>
      <c r="AE4" s="6">
        <v>0.3</v>
      </c>
      <c r="AF4" s="4" t="s">
        <v>6296</v>
      </c>
      <c r="AG4" s="4" t="s">
        <v>6296</v>
      </c>
      <c r="AH4" s="4" t="s">
        <v>6296</v>
      </c>
      <c r="AI4" s="4" t="s">
        <v>6296</v>
      </c>
      <c r="AJ4" s="4" t="s">
        <v>6296</v>
      </c>
      <c r="AK4" s="4" t="s">
        <v>6296</v>
      </c>
      <c r="AL4" s="4" t="s">
        <v>6296</v>
      </c>
      <c r="AM4" s="4" t="s">
        <v>6296</v>
      </c>
      <c r="AN4" s="4" t="s">
        <v>6296</v>
      </c>
      <c r="AO4" s="4" t="s">
        <v>6296</v>
      </c>
      <c r="AP4" s="4" t="s">
        <v>3513</v>
      </c>
      <c r="AQ4" s="4" t="s">
        <v>47</v>
      </c>
    </row>
    <row r="5" spans="1:43" ht="12.6" customHeight="1" x14ac:dyDescent="0.25">
      <c r="A5" s="8" t="s">
        <v>1724</v>
      </c>
      <c r="B5" s="9">
        <v>20151231</v>
      </c>
      <c r="C5" s="12">
        <f>_xll.FDS("SPX","FG_PRICE(12/30/2015)")</f>
        <v>2063.36</v>
      </c>
      <c r="D5" s="12">
        <f>_xll.FDS("SPX","FG_PRICE(12/30/2017)")</f>
        <v>2673.61</v>
      </c>
      <c r="E5" s="15">
        <f>D5/C5-1</f>
        <v>0.2957554668114144</v>
      </c>
      <c r="F5" s="8" t="s">
        <v>1725</v>
      </c>
      <c r="G5" s="8" t="s">
        <v>1726</v>
      </c>
      <c r="H5" s="13">
        <f>_xll.FDS(G5,"FG_PRICE(12/30/2015)")</f>
        <v>139.26</v>
      </c>
      <c r="I5" s="13">
        <f>_xll.FDS(G5,"FG_PRICE(12/31/2017)")</f>
        <v>203.45</v>
      </c>
      <c r="J5" s="13">
        <f>I5/H5-1</f>
        <v>0.46093637799798937</v>
      </c>
      <c r="K5" s="13">
        <f>J5-E5</f>
        <v>0.16518091118657496</v>
      </c>
      <c r="L5" s="13">
        <f>_xll.FDS(G5,"FF_ROE(ANN_R,12/30/2015)")</f>
        <v>20.303835928598559</v>
      </c>
      <c r="M5" s="8" t="s">
        <v>1727</v>
      </c>
      <c r="N5" s="4" t="s">
        <v>1727</v>
      </c>
      <c r="O5" s="4" t="s">
        <v>1728</v>
      </c>
      <c r="P5" s="4" t="s">
        <v>96</v>
      </c>
      <c r="Q5" s="4" t="s">
        <v>51</v>
      </c>
      <c r="R5" s="4" t="s">
        <v>61</v>
      </c>
      <c r="S5" s="4" t="s">
        <v>62</v>
      </c>
      <c r="T5" s="6" t="e">
        <v>#N/A</v>
      </c>
      <c r="U5" s="5">
        <v>55</v>
      </c>
      <c r="V5" s="5">
        <v>54</v>
      </c>
      <c r="W5" s="5">
        <v>51</v>
      </c>
      <c r="X5" s="5">
        <v>60</v>
      </c>
      <c r="Y5" s="5">
        <v>25.64</v>
      </c>
      <c r="Z5" s="5">
        <v>30.77</v>
      </c>
      <c r="AA5" s="5">
        <v>25.64</v>
      </c>
      <c r="AB5" s="5">
        <v>15.38</v>
      </c>
      <c r="AC5" s="6">
        <v>0.35</v>
      </c>
      <c r="AD5" s="6">
        <v>0.35</v>
      </c>
      <c r="AE5" s="6">
        <v>0.3</v>
      </c>
      <c r="AF5" s="4" t="s">
        <v>42</v>
      </c>
      <c r="AG5" s="4" t="s">
        <v>6296</v>
      </c>
      <c r="AH5" s="4" t="s">
        <v>6296</v>
      </c>
      <c r="AI5" s="4" t="s">
        <v>42</v>
      </c>
      <c r="AJ5" s="4" t="s">
        <v>6296</v>
      </c>
      <c r="AK5" s="4" t="s">
        <v>6296</v>
      </c>
      <c r="AL5" s="4" t="s">
        <v>42</v>
      </c>
      <c r="AM5" s="4" t="s">
        <v>6296</v>
      </c>
      <c r="AN5" s="4" t="s">
        <v>6296</v>
      </c>
      <c r="AO5" s="4" t="s">
        <v>6296</v>
      </c>
      <c r="AP5" s="4" t="s">
        <v>1729</v>
      </c>
      <c r="AQ5" s="4" t="s">
        <v>47</v>
      </c>
    </row>
    <row r="6" spans="1:43" ht="12.6" customHeight="1" x14ac:dyDescent="0.25">
      <c r="A6" s="8" t="s">
        <v>224</v>
      </c>
      <c r="B6" s="9">
        <v>20151231</v>
      </c>
      <c r="C6" s="12">
        <f>_xll.FDS("SPX","FG_PRICE(12/30/2015)")</f>
        <v>2063.36</v>
      </c>
      <c r="D6" s="12">
        <f>_xll.FDS("SPX","FG_PRICE(12/30/2017)")</f>
        <v>2673.61</v>
      </c>
      <c r="E6" s="15">
        <f>D6/C6-1</f>
        <v>0.2957554668114144</v>
      </c>
      <c r="F6" s="8" t="s">
        <v>225</v>
      </c>
      <c r="G6" s="8" t="s">
        <v>226</v>
      </c>
      <c r="H6" s="13">
        <f>_xll.FDS(G6,"FG_PRICE(12/30/2015)")</f>
        <v>103.86544000000001</v>
      </c>
      <c r="I6" s="13">
        <f>_xll.FDS(G6,"FG_PRICE(12/31/2017)")</f>
        <v>153.36000000000001</v>
      </c>
      <c r="J6" s="13">
        <f>I6/H6-1</f>
        <v>0.4765257818192461</v>
      </c>
      <c r="K6" s="13">
        <f>J6-E6</f>
        <v>0.18077031500783169</v>
      </c>
      <c r="L6" s="13">
        <f>_xll.FDS(G6,"FF_ROE(ANN_R,12/30/2015)")</f>
        <v>24.137341988384009</v>
      </c>
      <c r="M6" s="8" t="s">
        <v>227</v>
      </c>
      <c r="N6" s="4" t="s">
        <v>227</v>
      </c>
      <c r="O6" s="4" t="s">
        <v>228</v>
      </c>
      <c r="P6" s="4" t="s">
        <v>96</v>
      </c>
      <c r="Q6" s="4" t="s">
        <v>51</v>
      </c>
      <c r="R6" s="4" t="s">
        <v>61</v>
      </c>
      <c r="S6" s="4" t="s">
        <v>62</v>
      </c>
      <c r="T6" s="6" t="e">
        <v>#N/A</v>
      </c>
      <c r="U6" s="5">
        <v>59</v>
      </c>
      <c r="V6" s="5">
        <v>50</v>
      </c>
      <c r="W6" s="5">
        <v>54</v>
      </c>
      <c r="X6" s="5">
        <v>74</v>
      </c>
      <c r="Y6" s="5">
        <v>38.46</v>
      </c>
      <c r="Z6" s="5">
        <v>20.51</v>
      </c>
      <c r="AA6" s="5">
        <v>35.9</v>
      </c>
      <c r="AB6" s="5">
        <v>79.489999999999995</v>
      </c>
      <c r="AC6" s="6">
        <v>0.35</v>
      </c>
      <c r="AD6" s="6">
        <v>0.35</v>
      </c>
      <c r="AE6" s="6">
        <v>0.3</v>
      </c>
      <c r="AF6" s="4" t="s">
        <v>46</v>
      </c>
      <c r="AG6" s="4" t="s">
        <v>6296</v>
      </c>
      <c r="AH6" s="4" t="s">
        <v>6296</v>
      </c>
      <c r="AI6" s="4" t="s">
        <v>37</v>
      </c>
      <c r="AJ6" s="4" t="s">
        <v>6296</v>
      </c>
      <c r="AK6" s="4" t="s">
        <v>46</v>
      </c>
      <c r="AL6" s="4" t="s">
        <v>42</v>
      </c>
      <c r="AM6" s="4" t="s">
        <v>42</v>
      </c>
      <c r="AN6" s="4" t="s">
        <v>6296</v>
      </c>
      <c r="AO6" s="4" t="s">
        <v>6296</v>
      </c>
      <c r="AP6" s="4" t="s">
        <v>229</v>
      </c>
      <c r="AQ6" s="4" t="s">
        <v>47</v>
      </c>
    </row>
    <row r="7" spans="1:43" ht="12.6" customHeight="1" x14ac:dyDescent="0.25">
      <c r="A7" s="8" t="s">
        <v>6033</v>
      </c>
      <c r="B7" s="9">
        <v>20151231</v>
      </c>
      <c r="C7" s="12">
        <f>_xll.FDS("SPX","FG_PRICE(12/30/2015)")</f>
        <v>2063.36</v>
      </c>
      <c r="D7" s="12">
        <f>_xll.FDS("SPX","FG_PRICE(12/30/2017)")</f>
        <v>2673.61</v>
      </c>
      <c r="E7" s="15">
        <f>D7/C7-1</f>
        <v>0.2957554668114144</v>
      </c>
      <c r="F7" s="8" t="s">
        <v>6034</v>
      </c>
      <c r="G7" s="8" t="s">
        <v>6035</v>
      </c>
      <c r="H7" s="13">
        <f>_xll.FDS(G7,"FG_PRICE(12/30/2015)")</f>
        <v>30.9</v>
      </c>
      <c r="I7" s="13">
        <f>_xll.FDS(G7,"FG_PRICE(12/31/2017)")</f>
        <v>68.25</v>
      </c>
      <c r="J7" s="13">
        <f>I7/H7-1</f>
        <v>1.20873786407767</v>
      </c>
      <c r="K7" s="13">
        <f>J7-E7</f>
        <v>0.91298239726625563</v>
      </c>
      <c r="L7" s="13">
        <f>_xll.FDS(G7,"FF_ROE(ANN_R,12/30/2015)")</f>
        <v>3.2515224211109062</v>
      </c>
      <c r="M7" s="8" t="s">
        <v>6036</v>
      </c>
      <c r="N7" s="4" t="s">
        <v>6037</v>
      </c>
      <c r="O7" s="4" t="s">
        <v>6038</v>
      </c>
      <c r="P7" s="4" t="s">
        <v>106</v>
      </c>
      <c r="Q7" s="4" t="s">
        <v>51</v>
      </c>
      <c r="R7" s="4" t="s">
        <v>61</v>
      </c>
      <c r="S7" s="4" t="s">
        <v>62</v>
      </c>
      <c r="T7" s="6" t="e">
        <v>#N/A</v>
      </c>
      <c r="U7" s="5">
        <v>49</v>
      </c>
      <c r="V7" s="5">
        <v>41</v>
      </c>
      <c r="W7" s="5">
        <v>43</v>
      </c>
      <c r="X7" s="5">
        <v>66</v>
      </c>
      <c r="Y7" s="6">
        <v>5.13</v>
      </c>
      <c r="Z7" s="6">
        <v>7.69</v>
      </c>
      <c r="AA7" s="6">
        <v>0</v>
      </c>
      <c r="AB7" s="5">
        <v>53.85</v>
      </c>
      <c r="AC7" s="6">
        <v>0.35</v>
      </c>
      <c r="AD7" s="6">
        <v>0.35</v>
      </c>
      <c r="AE7" s="6">
        <v>0.3</v>
      </c>
      <c r="AF7" s="4" t="s">
        <v>6296</v>
      </c>
      <c r="AG7" s="4" t="s">
        <v>6296</v>
      </c>
      <c r="AH7" s="4" t="s">
        <v>6296</v>
      </c>
      <c r="AI7" s="4" t="s">
        <v>6296</v>
      </c>
      <c r="AJ7" s="4" t="s">
        <v>6296</v>
      </c>
      <c r="AK7" s="4" t="s">
        <v>6296</v>
      </c>
      <c r="AL7" s="4" t="s">
        <v>6296</v>
      </c>
      <c r="AM7" s="4" t="s">
        <v>6296</v>
      </c>
      <c r="AN7" s="4" t="s">
        <v>6296</v>
      </c>
      <c r="AO7" s="4" t="s">
        <v>6296</v>
      </c>
      <c r="AP7" s="4" t="s">
        <v>6039</v>
      </c>
      <c r="AQ7" s="4" t="s">
        <v>47</v>
      </c>
    </row>
    <row r="8" spans="1:43" ht="12.6" customHeight="1" x14ac:dyDescent="0.25">
      <c r="A8" s="8" t="s">
        <v>6328</v>
      </c>
      <c r="B8" s="9">
        <v>20151231</v>
      </c>
      <c r="C8" s="12">
        <f>_xll.FDS("SPX","FG_PRICE(12/30/2015)")</f>
        <v>2063.36</v>
      </c>
      <c r="D8" s="12">
        <f>_xll.FDS("SPX","FG_PRICE(12/30/2017)")</f>
        <v>2673.61</v>
      </c>
      <c r="E8" s="15">
        <f>D8/C8-1</f>
        <v>0.2957554668114144</v>
      </c>
      <c r="F8" s="8" t="s">
        <v>6230</v>
      </c>
      <c r="G8" s="8" t="s">
        <v>6231</v>
      </c>
      <c r="H8" s="13">
        <f>_xll.FDS(G8,"FG_PRICE(12/30/2015)")</f>
        <v>120.94</v>
      </c>
      <c r="I8" s="13">
        <f>_xll.FDS(G8,"FG_PRICE(12/31/2017)")</f>
        <v>197.85</v>
      </c>
      <c r="J8" s="13">
        <f>I8/H8-1</f>
        <v>0.63593517446667769</v>
      </c>
      <c r="K8" s="13">
        <f>J8-E8</f>
        <v>0.34017970765526329</v>
      </c>
      <c r="L8" s="13">
        <f>_xll.FDS(G8,"FF_ROE(ANN_R,12/30/2015)")</f>
        <v>11.177927131234521</v>
      </c>
      <c r="M8" s="8" t="s">
        <v>6232</v>
      </c>
      <c r="N8" s="4" t="s">
        <v>6329</v>
      </c>
      <c r="O8" s="4" t="s">
        <v>6233</v>
      </c>
      <c r="P8" s="4" t="s">
        <v>96</v>
      </c>
      <c r="Q8" s="4" t="s">
        <v>51</v>
      </c>
      <c r="R8" s="4" t="s">
        <v>61</v>
      </c>
      <c r="S8" s="4" t="s">
        <v>62</v>
      </c>
      <c r="T8" s="6" t="e">
        <v>#N/A</v>
      </c>
      <c r="U8" s="5">
        <v>51</v>
      </c>
      <c r="V8" s="5">
        <v>46</v>
      </c>
      <c r="W8" s="5">
        <v>50</v>
      </c>
      <c r="X8" s="5">
        <v>57</v>
      </c>
      <c r="Y8" s="5">
        <v>12.82</v>
      </c>
      <c r="Z8" s="5">
        <v>15.38</v>
      </c>
      <c r="AA8" s="5">
        <v>23.08</v>
      </c>
      <c r="AB8" s="6">
        <v>5.13</v>
      </c>
      <c r="AC8" s="6">
        <v>0.35</v>
      </c>
      <c r="AD8" s="6">
        <v>0.35</v>
      </c>
      <c r="AE8" s="6">
        <v>0.3</v>
      </c>
      <c r="AF8" s="4" t="s">
        <v>6296</v>
      </c>
      <c r="AG8" s="4" t="s">
        <v>6296</v>
      </c>
      <c r="AH8" s="4" t="s">
        <v>6296</v>
      </c>
      <c r="AI8" s="4" t="s">
        <v>6296</v>
      </c>
      <c r="AJ8" s="4" t="s">
        <v>6296</v>
      </c>
      <c r="AK8" s="4" t="s">
        <v>6296</v>
      </c>
      <c r="AL8" s="4" t="s">
        <v>42</v>
      </c>
      <c r="AM8" s="4" t="s">
        <v>37</v>
      </c>
      <c r="AN8" s="4" t="s">
        <v>37</v>
      </c>
      <c r="AO8" s="4" t="s">
        <v>6296</v>
      </c>
      <c r="AP8" s="4" t="s">
        <v>6330</v>
      </c>
      <c r="AQ8" s="4" t="s">
        <v>47</v>
      </c>
    </row>
    <row r="9" spans="1:43" ht="12.6" customHeight="1" x14ac:dyDescent="0.25">
      <c r="A9" s="8" t="s">
        <v>2463</v>
      </c>
      <c r="B9" s="9">
        <v>20151231</v>
      </c>
      <c r="C9" s="12">
        <f>_xll.FDS("SPX","FG_PRICE(12/30/2015)")</f>
        <v>2063.36</v>
      </c>
      <c r="D9" s="12">
        <f>_xll.FDS("SPX","FG_PRICE(12/30/2017)")</f>
        <v>2673.61</v>
      </c>
      <c r="E9" s="15">
        <f>D9/C9-1</f>
        <v>0.2957554668114144</v>
      </c>
      <c r="F9" s="8" t="s">
        <v>2464</v>
      </c>
      <c r="G9" s="8" t="s">
        <v>2465</v>
      </c>
      <c r="H9" s="13">
        <f>_xll.FDS(G9,"FG_PRICE(12/30/2015)")</f>
        <v>219.8</v>
      </c>
      <c r="I9" s="13">
        <f>_xll.FDS(G9,"FG_PRICE(12/31/2017)")</f>
        <v>321.05</v>
      </c>
      <c r="J9" s="13">
        <f>I9/H9-1</f>
        <v>0.46064604185623281</v>
      </c>
      <c r="K9" s="13">
        <f>J9-E9</f>
        <v>0.16489057504481841</v>
      </c>
      <c r="L9" s="13">
        <f>_xll.FDS(G9,"FF_ROE(ANN_R,12/30/2015)")</f>
        <v>86.895888434719879</v>
      </c>
      <c r="M9" s="8" t="s">
        <v>2466</v>
      </c>
      <c r="N9" s="4" t="s">
        <v>2466</v>
      </c>
      <c r="O9" s="4" t="s">
        <v>2467</v>
      </c>
      <c r="P9" s="4" t="s">
        <v>96</v>
      </c>
      <c r="Q9" s="4" t="s">
        <v>51</v>
      </c>
      <c r="R9" s="4" t="s">
        <v>61</v>
      </c>
      <c r="S9" s="4" t="s">
        <v>62</v>
      </c>
      <c r="T9" s="6" t="e">
        <v>#N/A</v>
      </c>
      <c r="U9" s="5">
        <v>71</v>
      </c>
      <c r="V9" s="5">
        <v>73</v>
      </c>
      <c r="W9" s="5">
        <v>64</v>
      </c>
      <c r="X9" s="5">
        <v>78</v>
      </c>
      <c r="Y9" s="5">
        <v>79.489999999999995</v>
      </c>
      <c r="Z9" s="5">
        <v>87.18</v>
      </c>
      <c r="AA9" s="5">
        <v>74.36</v>
      </c>
      <c r="AB9" s="5">
        <v>84.62</v>
      </c>
      <c r="AC9" s="6">
        <v>0.35</v>
      </c>
      <c r="AD9" s="6">
        <v>0.35</v>
      </c>
      <c r="AE9" s="6">
        <v>0.3</v>
      </c>
      <c r="AF9" s="4" t="s">
        <v>37</v>
      </c>
      <c r="AG9" s="4" t="s">
        <v>6296</v>
      </c>
      <c r="AH9" s="4" t="s">
        <v>6296</v>
      </c>
      <c r="AI9" s="4" t="s">
        <v>37</v>
      </c>
      <c r="AJ9" s="4" t="s">
        <v>6296</v>
      </c>
      <c r="AK9" s="4" t="s">
        <v>37</v>
      </c>
      <c r="AL9" s="4" t="s">
        <v>37</v>
      </c>
      <c r="AM9" s="4" t="s">
        <v>37</v>
      </c>
      <c r="AN9" s="4" t="s">
        <v>6296</v>
      </c>
      <c r="AO9" s="4" t="s">
        <v>42</v>
      </c>
      <c r="AP9" s="4" t="s">
        <v>2468</v>
      </c>
      <c r="AQ9" s="4" t="s">
        <v>47</v>
      </c>
    </row>
    <row r="10" spans="1:43" ht="12.6" customHeight="1" x14ac:dyDescent="0.25">
      <c r="A10" s="8" t="s">
        <v>2952</v>
      </c>
      <c r="B10" s="9">
        <v>20151231</v>
      </c>
      <c r="C10" s="12">
        <f>_xll.FDS("SPX","FG_PRICE(12/30/2015)")</f>
        <v>2063.36</v>
      </c>
      <c r="D10" s="12">
        <f>_xll.FDS("SPX","FG_PRICE(12/30/2017)")</f>
        <v>2673.61</v>
      </c>
      <c r="E10" s="15">
        <f>D10/C10-1</f>
        <v>0.2957554668114144</v>
      </c>
      <c r="F10" s="8" t="s">
        <v>2953</v>
      </c>
      <c r="G10" s="8" t="s">
        <v>2954</v>
      </c>
      <c r="H10" s="13">
        <f>_xll.FDS(G10,"FG_PRICE(12/30/2015)")</f>
        <v>190.08</v>
      </c>
      <c r="I10" s="13">
        <f>_xll.FDS(G10,"FG_PRICE(12/31/2017)")</f>
        <v>306.91000000000003</v>
      </c>
      <c r="J10" s="13">
        <f>I10/H10-1</f>
        <v>0.61463594276094269</v>
      </c>
      <c r="K10" s="13">
        <f>J10-E10</f>
        <v>0.31888047594952829</v>
      </c>
      <c r="L10" s="13">
        <f>_xll.FDS(G10,"FF_ROE(ANN_R,12/30/2015)")</f>
        <v>23.17558106972837</v>
      </c>
      <c r="M10" s="8" t="s">
        <v>2955</v>
      </c>
      <c r="N10" s="4" t="s">
        <v>2955</v>
      </c>
      <c r="O10" s="4" t="s">
        <v>2956</v>
      </c>
      <c r="P10" s="4" t="s">
        <v>96</v>
      </c>
      <c r="Q10" s="4" t="s">
        <v>51</v>
      </c>
      <c r="R10" s="4" t="s">
        <v>61</v>
      </c>
      <c r="S10" s="4" t="s">
        <v>62</v>
      </c>
      <c r="T10" s="6" t="e">
        <v>#N/A</v>
      </c>
      <c r="U10" s="5">
        <v>68</v>
      </c>
      <c r="V10" s="5">
        <v>59</v>
      </c>
      <c r="W10" s="5">
        <v>66</v>
      </c>
      <c r="X10" s="5">
        <v>81</v>
      </c>
      <c r="Y10" s="5">
        <v>74.36</v>
      </c>
      <c r="Z10" s="5">
        <v>46.15</v>
      </c>
      <c r="AA10" s="5">
        <v>79.489999999999995</v>
      </c>
      <c r="AB10" s="5">
        <v>92.31</v>
      </c>
      <c r="AC10" s="6">
        <v>0.35</v>
      </c>
      <c r="AD10" s="6">
        <v>0.35</v>
      </c>
      <c r="AE10" s="6">
        <v>0.3</v>
      </c>
      <c r="AF10" s="4" t="s">
        <v>37</v>
      </c>
      <c r="AG10" s="4" t="s">
        <v>6296</v>
      </c>
      <c r="AH10" s="4" t="s">
        <v>6296</v>
      </c>
      <c r="AI10" s="4" t="s">
        <v>42</v>
      </c>
      <c r="AJ10" s="4" t="s">
        <v>6296</v>
      </c>
      <c r="AK10" s="4" t="s">
        <v>42</v>
      </c>
      <c r="AL10" s="4" t="s">
        <v>6296</v>
      </c>
      <c r="AM10" s="4" t="s">
        <v>42</v>
      </c>
      <c r="AN10" s="4" t="s">
        <v>6296</v>
      </c>
      <c r="AO10" s="4" t="s">
        <v>6296</v>
      </c>
      <c r="AP10" s="4" t="s">
        <v>2957</v>
      </c>
      <c r="AQ10" s="4" t="s">
        <v>47</v>
      </c>
    </row>
    <row r="11" spans="1:43" ht="12.6" customHeight="1" x14ac:dyDescent="0.25">
      <c r="A11" s="8" t="s">
        <v>6066</v>
      </c>
      <c r="B11" s="9">
        <v>20151231</v>
      </c>
      <c r="C11" s="12">
        <f>_xll.FDS("SPX","FG_PRICE(12/30/2015)")</f>
        <v>2063.36</v>
      </c>
      <c r="D11" s="12">
        <f>_xll.FDS("SPX","FG_PRICE(12/30/2017)")</f>
        <v>2673.61</v>
      </c>
      <c r="E11" s="15">
        <f>D11/C11-1</f>
        <v>0.2957554668114144</v>
      </c>
      <c r="F11" s="8" t="s">
        <v>6067</v>
      </c>
      <c r="G11" s="8" t="s">
        <v>6068</v>
      </c>
      <c r="H11" s="13">
        <f>_xll.FDS(G11,"FG_PRICE(12/30/2015)")</f>
        <v>90.53</v>
      </c>
      <c r="I11" s="13">
        <f>_xll.FDS(G11,"FG_PRICE(12/31/2017)")</f>
        <v>131.5</v>
      </c>
      <c r="J11" s="13">
        <f>I11/H11-1</f>
        <v>0.45255716337125818</v>
      </c>
      <c r="K11" s="13">
        <f>J11-E11</f>
        <v>0.15680169655984377</v>
      </c>
      <c r="L11" s="13" t="e">
        <f>_xll.FDS(G11,"FF_ROE(ANN_R,12/30/2015)")</f>
        <v>#N/A</v>
      </c>
      <c r="M11" s="8" t="s">
        <v>6069</v>
      </c>
      <c r="N11" s="4" t="s">
        <v>6070</v>
      </c>
      <c r="O11" s="4" t="s">
        <v>6071</v>
      </c>
      <c r="P11" s="4" t="s">
        <v>96</v>
      </c>
      <c r="Q11" s="4" t="s">
        <v>51</v>
      </c>
      <c r="R11" s="4" t="s">
        <v>61</v>
      </c>
      <c r="S11" s="4" t="s">
        <v>62</v>
      </c>
      <c r="T11" s="6" t="e">
        <v>#N/A</v>
      </c>
      <c r="U11" s="5">
        <v>64</v>
      </c>
      <c r="V11" s="5">
        <v>56</v>
      </c>
      <c r="W11" s="5">
        <v>55</v>
      </c>
      <c r="X11" s="5">
        <v>83</v>
      </c>
      <c r="Y11" s="5">
        <v>61.54</v>
      </c>
      <c r="Z11" s="5">
        <v>41.03</v>
      </c>
      <c r="AA11" s="5">
        <v>41.03</v>
      </c>
      <c r="AB11" s="5">
        <v>94.87</v>
      </c>
      <c r="AC11" s="6">
        <v>0.35</v>
      </c>
      <c r="AD11" s="6">
        <v>0.35</v>
      </c>
      <c r="AE11" s="6">
        <v>0.3</v>
      </c>
      <c r="AF11" s="4" t="s">
        <v>6296</v>
      </c>
      <c r="AG11" s="4" t="s">
        <v>6296</v>
      </c>
      <c r="AH11" s="4" t="s">
        <v>6296</v>
      </c>
      <c r="AI11" s="4" t="s">
        <v>6296</v>
      </c>
      <c r="AJ11" s="4" t="s">
        <v>6296</v>
      </c>
      <c r="AK11" s="4" t="s">
        <v>42</v>
      </c>
      <c r="AL11" s="4" t="s">
        <v>6296</v>
      </c>
      <c r="AM11" s="4" t="s">
        <v>6296</v>
      </c>
      <c r="AN11" s="4" t="s">
        <v>6296</v>
      </c>
      <c r="AO11" s="4" t="s">
        <v>6296</v>
      </c>
      <c r="AP11" s="4" t="s">
        <v>6072</v>
      </c>
      <c r="AQ11" s="4" t="s">
        <v>47</v>
      </c>
    </row>
    <row r="12" spans="1:43" ht="12.6" customHeight="1" x14ac:dyDescent="0.25">
      <c r="A12" s="8" t="s">
        <v>3219</v>
      </c>
      <c r="B12" s="9">
        <v>20151231</v>
      </c>
      <c r="C12" s="12">
        <f>_xll.FDS("SPX","FG_PRICE(12/30/2015)")</f>
        <v>2063.36</v>
      </c>
      <c r="D12" s="12">
        <f>_xll.FDS("SPX","FG_PRICE(12/30/2017)")</f>
        <v>2673.61</v>
      </c>
      <c r="E12" s="15">
        <f>D12/C12-1</f>
        <v>0.2957554668114144</v>
      </c>
      <c r="F12" s="8" t="s">
        <v>3220</v>
      </c>
      <c r="G12" s="8" t="s">
        <v>3221</v>
      </c>
      <c r="H12" s="13">
        <f>_xll.FDS(G12,"FG_PRICE(12/30/2015)")</f>
        <v>231.96</v>
      </c>
      <c r="I12" s="13" t="e">
        <f>_xll.FDS(G12,"FG_PRICE(12/31/2017)")</f>
        <v>#N/A</v>
      </c>
      <c r="J12" s="13" t="e">
        <f>I12/H12-1</f>
        <v>#N/A</v>
      </c>
      <c r="K12" s="13" t="e">
        <f>J12-E12</f>
        <v>#N/A</v>
      </c>
      <c r="L12" s="13">
        <f>_xll.FDS(G12,"FF_ROE(ANN_R,12/30/2015)")</f>
        <v>13.84718799014116</v>
      </c>
      <c r="M12" s="8" t="s">
        <v>3222</v>
      </c>
      <c r="N12" s="4" t="s">
        <v>3222</v>
      </c>
      <c r="O12" s="4" t="s">
        <v>47</v>
      </c>
      <c r="P12" s="4" t="s">
        <v>96</v>
      </c>
      <c r="Q12" s="4" t="s">
        <v>51</v>
      </c>
      <c r="R12" s="4" t="s">
        <v>61</v>
      </c>
      <c r="S12" s="4" t="s">
        <v>62</v>
      </c>
      <c r="T12" s="6" t="e">
        <v>#N/A</v>
      </c>
      <c r="U12" s="5">
        <v>50</v>
      </c>
      <c r="V12" s="5">
        <v>49</v>
      </c>
      <c r="W12" s="5">
        <v>49</v>
      </c>
      <c r="X12" s="5">
        <v>54</v>
      </c>
      <c r="Y12" s="5">
        <v>10.26</v>
      </c>
      <c r="Z12" s="5">
        <v>17.95</v>
      </c>
      <c r="AA12" s="5">
        <v>20.51</v>
      </c>
      <c r="AB12" s="6">
        <v>0</v>
      </c>
      <c r="AC12" s="6">
        <v>0.35</v>
      </c>
      <c r="AD12" s="6">
        <v>0.35</v>
      </c>
      <c r="AE12" s="6">
        <v>0.3</v>
      </c>
      <c r="AF12" s="4" t="s">
        <v>42</v>
      </c>
      <c r="AG12" s="4" t="s">
        <v>6296</v>
      </c>
      <c r="AH12" s="4" t="s">
        <v>6296</v>
      </c>
      <c r="AI12" s="4" t="s">
        <v>42</v>
      </c>
      <c r="AJ12" s="4" t="s">
        <v>6296</v>
      </c>
      <c r="AK12" s="4" t="s">
        <v>6296</v>
      </c>
      <c r="AL12" s="4" t="s">
        <v>6296</v>
      </c>
      <c r="AM12" s="4" t="s">
        <v>6296</v>
      </c>
      <c r="AN12" s="4" t="s">
        <v>42</v>
      </c>
      <c r="AO12" s="4" t="s">
        <v>6296</v>
      </c>
      <c r="AP12" s="4" t="s">
        <v>3223</v>
      </c>
      <c r="AQ12" s="4" t="s">
        <v>47</v>
      </c>
    </row>
    <row r="13" spans="1:43" ht="12.6" customHeight="1" x14ac:dyDescent="0.25">
      <c r="A13" s="8" t="s">
        <v>3470</v>
      </c>
      <c r="B13" s="9">
        <v>20151231</v>
      </c>
      <c r="C13" s="12">
        <f>_xll.FDS("SPX","FG_PRICE(12/30/2015)")</f>
        <v>2063.36</v>
      </c>
      <c r="D13" s="12">
        <f>_xll.FDS("SPX","FG_PRICE(12/30/2017)")</f>
        <v>2673.61</v>
      </c>
      <c r="E13" s="15">
        <f>D13/C13-1</f>
        <v>0.2957554668114144</v>
      </c>
      <c r="F13" s="8" t="s">
        <v>3471</v>
      </c>
      <c r="G13" s="8" t="s">
        <v>3472</v>
      </c>
      <c r="H13" s="13">
        <f>_xll.FDS(G13,"FG_PRICE(12/30/2015)")</f>
        <v>125.74</v>
      </c>
      <c r="I13" s="13">
        <f>_xll.FDS(G13,"FG_PRICE(12/31/2017)")</f>
        <v>187.85</v>
      </c>
      <c r="J13" s="13">
        <f>I13/H13-1</f>
        <v>0.49395578177191024</v>
      </c>
      <c r="K13" s="13">
        <f>J13-E13</f>
        <v>0.19820031496049584</v>
      </c>
      <c r="L13" s="13">
        <f>_xll.FDS(G13,"FF_ROE(ANN_R,12/30/2015)")</f>
        <v>21.196498054474709</v>
      </c>
      <c r="M13" s="8" t="s">
        <v>3473</v>
      </c>
      <c r="N13" s="4" t="s">
        <v>3473</v>
      </c>
      <c r="O13" s="4" t="s">
        <v>3474</v>
      </c>
      <c r="P13" s="4" t="s">
        <v>96</v>
      </c>
      <c r="Q13" s="4" t="s">
        <v>51</v>
      </c>
      <c r="R13" s="4" t="s">
        <v>61</v>
      </c>
      <c r="S13" s="4" t="s">
        <v>62</v>
      </c>
      <c r="T13" s="6" t="e">
        <v>#N/A</v>
      </c>
      <c r="U13" s="5">
        <v>63</v>
      </c>
      <c r="V13" s="5">
        <v>68</v>
      </c>
      <c r="W13" s="5">
        <v>62</v>
      </c>
      <c r="X13" s="5">
        <v>60</v>
      </c>
      <c r="Y13" s="5">
        <v>53.85</v>
      </c>
      <c r="Z13" s="5">
        <v>69.23</v>
      </c>
      <c r="AA13" s="5">
        <v>61.54</v>
      </c>
      <c r="AB13" s="5">
        <v>15.38</v>
      </c>
      <c r="AC13" s="6">
        <v>0.35</v>
      </c>
      <c r="AD13" s="6">
        <v>0.35</v>
      </c>
      <c r="AE13" s="6">
        <v>0.3</v>
      </c>
      <c r="AF13" s="4" t="s">
        <v>6296</v>
      </c>
      <c r="AG13" s="4" t="s">
        <v>6296</v>
      </c>
      <c r="AH13" s="4" t="s">
        <v>6296</v>
      </c>
      <c r="AI13" s="4" t="s">
        <v>6296</v>
      </c>
      <c r="AJ13" s="4" t="s">
        <v>6296</v>
      </c>
      <c r="AK13" s="4" t="s">
        <v>6296</v>
      </c>
      <c r="AL13" s="4" t="s">
        <v>37</v>
      </c>
      <c r="AM13" s="4" t="s">
        <v>37</v>
      </c>
      <c r="AN13" s="4" t="s">
        <v>6296</v>
      </c>
      <c r="AO13" s="4" t="s">
        <v>6296</v>
      </c>
      <c r="AP13" s="4" t="s">
        <v>3475</v>
      </c>
      <c r="AQ13" s="4" t="s">
        <v>47</v>
      </c>
    </row>
    <row r="14" spans="1:43" ht="12.6" customHeight="1" x14ac:dyDescent="0.25">
      <c r="A14" s="8" t="s">
        <v>4850</v>
      </c>
      <c r="B14" s="9">
        <v>20151231</v>
      </c>
      <c r="C14" s="12">
        <f>_xll.FDS("SPX","FG_PRICE(12/30/2015)")</f>
        <v>2063.36</v>
      </c>
      <c r="D14" s="12">
        <f>_xll.FDS("SPX","FG_PRICE(12/30/2017)")</f>
        <v>2673.61</v>
      </c>
      <c r="E14" s="15">
        <f>D14/C14-1</f>
        <v>0.2957554668114144</v>
      </c>
      <c r="F14" s="8" t="s">
        <v>4851</v>
      </c>
      <c r="G14" s="8" t="s">
        <v>4852</v>
      </c>
      <c r="H14" s="13">
        <f>_xll.FDS(G14,"FG_PRICE(12/30/2015)")</f>
        <v>48.97</v>
      </c>
      <c r="I14" s="13">
        <f>_xll.FDS(G14,"FG_PRICE(12/31/2017)")</f>
        <v>87.25</v>
      </c>
      <c r="J14" s="13">
        <f>I14/H14-1</f>
        <v>0.78170308352052276</v>
      </c>
      <c r="K14" s="13">
        <f>J14-E14</f>
        <v>0.48594761670910835</v>
      </c>
      <c r="L14" s="13">
        <f>_xll.FDS(G14,"FF_ROE(ANN_R,12/30/2015)")</f>
        <v>23.030303030303031</v>
      </c>
      <c r="M14" s="8" t="s">
        <v>4853</v>
      </c>
      <c r="N14" s="4" t="s">
        <v>4854</v>
      </c>
      <c r="O14" s="4" t="s">
        <v>4493</v>
      </c>
      <c r="P14" s="4" t="s">
        <v>96</v>
      </c>
      <c r="Q14" s="4" t="s">
        <v>51</v>
      </c>
      <c r="R14" s="4" t="s">
        <v>61</v>
      </c>
      <c r="S14" s="4" t="s">
        <v>62</v>
      </c>
      <c r="T14" s="6" t="e">
        <v>#N/A</v>
      </c>
      <c r="U14" s="5">
        <v>60</v>
      </c>
      <c r="V14" s="5">
        <v>53</v>
      </c>
      <c r="W14" s="5">
        <v>59</v>
      </c>
      <c r="X14" s="5">
        <v>69</v>
      </c>
      <c r="Y14" s="5">
        <v>43.59</v>
      </c>
      <c r="Z14" s="5">
        <v>28.21</v>
      </c>
      <c r="AA14" s="5">
        <v>56.41</v>
      </c>
      <c r="AB14" s="5">
        <v>66.67</v>
      </c>
      <c r="AC14" s="6">
        <v>0.35</v>
      </c>
      <c r="AD14" s="6">
        <v>0.35</v>
      </c>
      <c r="AE14" s="6">
        <v>0.3</v>
      </c>
      <c r="AF14" s="4" t="s">
        <v>6296</v>
      </c>
      <c r="AG14" s="4" t="s">
        <v>6296</v>
      </c>
      <c r="AH14" s="4" t="s">
        <v>6296</v>
      </c>
      <c r="AI14" s="4" t="s">
        <v>42</v>
      </c>
      <c r="AJ14" s="4" t="s">
        <v>6296</v>
      </c>
      <c r="AK14" s="4" t="s">
        <v>6296</v>
      </c>
      <c r="AL14" s="4" t="s">
        <v>6296</v>
      </c>
      <c r="AM14" s="4" t="s">
        <v>6296</v>
      </c>
      <c r="AN14" s="4" t="s">
        <v>6296</v>
      </c>
      <c r="AO14" s="4" t="s">
        <v>6296</v>
      </c>
      <c r="AP14" s="4" t="s">
        <v>4855</v>
      </c>
      <c r="AQ14" s="4" t="s">
        <v>47</v>
      </c>
    </row>
    <row r="15" spans="1:43" ht="12.6" customHeight="1" x14ac:dyDescent="0.25">
      <c r="A15" s="8" t="s">
        <v>4747</v>
      </c>
      <c r="B15" s="9">
        <v>20151231</v>
      </c>
      <c r="C15" s="12">
        <f>_xll.FDS("SPX","FG_PRICE(12/30/2015)")</f>
        <v>2063.36</v>
      </c>
      <c r="D15" s="12">
        <f>_xll.FDS("SPX","FG_PRICE(12/30/2017)")</f>
        <v>2673.61</v>
      </c>
      <c r="E15" s="15">
        <f>D15/C15-1</f>
        <v>0.2957554668114144</v>
      </c>
      <c r="F15" s="8" t="s">
        <v>4748</v>
      </c>
      <c r="G15" s="8" t="s">
        <v>4749</v>
      </c>
      <c r="H15" s="13">
        <f>_xll.FDS(G15,"FG_PRICE(12/30/2015)")</f>
        <v>227.88</v>
      </c>
      <c r="I15" s="13">
        <f>_xll.FDS(G15,"FG_PRICE(12/31/2017)")</f>
        <v>274.62</v>
      </c>
      <c r="J15" s="13">
        <f>I15/H15-1</f>
        <v>0.2051079515534493</v>
      </c>
      <c r="K15" s="13">
        <f>J15-E15</f>
        <v>-9.0647515257965106E-2</v>
      </c>
      <c r="L15" s="13" t="e">
        <f>_xll.FDS(G15,"FF_ROE(ANN_R,12/30/2015)")</f>
        <v>#N/A</v>
      </c>
      <c r="M15" s="8" t="s">
        <v>4750</v>
      </c>
      <c r="N15" s="4" t="s">
        <v>4750</v>
      </c>
      <c r="O15" s="4" t="s">
        <v>4751</v>
      </c>
      <c r="P15" s="4" t="s">
        <v>96</v>
      </c>
      <c r="Q15" s="4" t="s">
        <v>51</v>
      </c>
      <c r="R15" s="4" t="s">
        <v>61</v>
      </c>
      <c r="S15" s="4" t="s">
        <v>62</v>
      </c>
      <c r="T15" s="6" t="e">
        <v>#N/A</v>
      </c>
      <c r="U15" s="5">
        <v>52</v>
      </c>
      <c r="V15" s="5">
        <v>45</v>
      </c>
      <c r="W15" s="5">
        <v>43</v>
      </c>
      <c r="X15" s="5">
        <v>69</v>
      </c>
      <c r="Y15" s="5">
        <v>17.95</v>
      </c>
      <c r="Z15" s="5">
        <v>12.82</v>
      </c>
      <c r="AA15" s="6">
        <v>0</v>
      </c>
      <c r="AB15" s="5">
        <v>66.67</v>
      </c>
      <c r="AC15" s="6">
        <v>0.35</v>
      </c>
      <c r="AD15" s="6">
        <v>0.35</v>
      </c>
      <c r="AE15" s="6">
        <v>0.3</v>
      </c>
      <c r="AF15" s="4" t="s">
        <v>6296</v>
      </c>
      <c r="AG15" s="4" t="s">
        <v>6296</v>
      </c>
      <c r="AH15" s="4" t="s">
        <v>6296</v>
      </c>
      <c r="AI15" s="4" t="s">
        <v>6296</v>
      </c>
      <c r="AJ15" s="4" t="s">
        <v>6296</v>
      </c>
      <c r="AK15" s="4" t="s">
        <v>6296</v>
      </c>
      <c r="AL15" s="4" t="s">
        <v>6296</v>
      </c>
      <c r="AM15" s="4" t="s">
        <v>6296</v>
      </c>
      <c r="AN15" s="4" t="s">
        <v>6296</v>
      </c>
      <c r="AO15" s="4" t="s">
        <v>6296</v>
      </c>
      <c r="AP15" s="4" t="s">
        <v>4752</v>
      </c>
      <c r="AQ15" s="4" t="s">
        <v>47</v>
      </c>
    </row>
    <row r="16" spans="1:43" ht="12.6" customHeight="1" x14ac:dyDescent="0.25">
      <c r="A16" s="8" t="s">
        <v>4043</v>
      </c>
      <c r="B16" s="9">
        <v>20151231</v>
      </c>
      <c r="C16" s="12">
        <f>_xll.FDS("SPX","FG_PRICE(12/30/2015)")</f>
        <v>2063.36</v>
      </c>
      <c r="D16" s="12">
        <f>_xll.FDS("SPX","FG_PRICE(12/30/2017)")</f>
        <v>2673.61</v>
      </c>
      <c r="E16" s="15">
        <f>D16/C16-1</f>
        <v>0.2957554668114144</v>
      </c>
      <c r="F16" s="8" t="s">
        <v>4044</v>
      </c>
      <c r="G16" s="8" t="s">
        <v>4045</v>
      </c>
      <c r="H16" s="13">
        <f>_xll.FDS(G16,"FG_PRICE(12/30/2015)")</f>
        <v>39.96</v>
      </c>
      <c r="I16" s="13">
        <f>_xll.FDS(G16,"FG_PRICE(12/31/2017)")</f>
        <v>27.2</v>
      </c>
      <c r="J16" s="13">
        <f>I16/H16-1</f>
        <v>-0.31931931931931934</v>
      </c>
      <c r="K16" s="13">
        <f>J16-E16</f>
        <v>-0.61507478613073374</v>
      </c>
      <c r="L16" s="13">
        <f>_xll.FDS(G16,"FF_ROE(ANN_R,12/30/2015)")</f>
        <v>10.801514584151169</v>
      </c>
      <c r="M16" s="8" t="s">
        <v>4046</v>
      </c>
      <c r="N16" s="4" t="s">
        <v>4047</v>
      </c>
      <c r="O16" s="4" t="s">
        <v>4048</v>
      </c>
      <c r="P16" s="4" t="s">
        <v>96</v>
      </c>
      <c r="Q16" s="4" t="s">
        <v>51</v>
      </c>
      <c r="R16" s="4" t="s">
        <v>61</v>
      </c>
      <c r="S16" s="4" t="s">
        <v>62</v>
      </c>
      <c r="T16" s="6" t="e">
        <v>#N/A</v>
      </c>
      <c r="U16" s="5">
        <v>51</v>
      </c>
      <c r="V16" s="5">
        <v>43</v>
      </c>
      <c r="W16" s="5">
        <v>48</v>
      </c>
      <c r="X16" s="5">
        <v>64</v>
      </c>
      <c r="Y16" s="5">
        <v>12.82</v>
      </c>
      <c r="Z16" s="5">
        <v>10.26</v>
      </c>
      <c r="AA16" s="5">
        <v>15.38</v>
      </c>
      <c r="AB16" s="5">
        <v>41.03</v>
      </c>
      <c r="AC16" s="6">
        <v>0.35</v>
      </c>
      <c r="AD16" s="6">
        <v>0.35</v>
      </c>
      <c r="AE16" s="6">
        <v>0.3</v>
      </c>
      <c r="AF16" s="4" t="s">
        <v>6296</v>
      </c>
      <c r="AG16" s="4" t="s">
        <v>6296</v>
      </c>
      <c r="AH16" s="4" t="s">
        <v>6296</v>
      </c>
      <c r="AI16" s="4" t="s">
        <v>6296</v>
      </c>
      <c r="AJ16" s="4" t="s">
        <v>6296</v>
      </c>
      <c r="AK16" s="4" t="s">
        <v>6296</v>
      </c>
      <c r="AL16" s="4" t="s">
        <v>6296</v>
      </c>
      <c r="AM16" s="4" t="s">
        <v>6296</v>
      </c>
      <c r="AN16" s="4" t="s">
        <v>6296</v>
      </c>
      <c r="AO16" s="4" t="s">
        <v>6296</v>
      </c>
      <c r="AP16" s="4" t="s">
        <v>4049</v>
      </c>
      <c r="AQ16" s="4" t="s">
        <v>47</v>
      </c>
    </row>
    <row r="17" spans="1:43" ht="12.6" customHeight="1" x14ac:dyDescent="0.25">
      <c r="A17" s="8" t="s">
        <v>3992</v>
      </c>
      <c r="B17" s="9">
        <v>20151231</v>
      </c>
      <c r="C17" s="12">
        <f>_xll.FDS("SPX","FG_PRICE(12/30/2015)")</f>
        <v>2063.36</v>
      </c>
      <c r="D17" s="12">
        <f>_xll.FDS("SPX","FG_PRICE(12/30/2017)")</f>
        <v>2673.61</v>
      </c>
      <c r="E17" s="15">
        <f>D17/C17-1</f>
        <v>0.2957554668114144</v>
      </c>
      <c r="F17" s="8" t="s">
        <v>3993</v>
      </c>
      <c r="G17" s="8" t="s">
        <v>3994</v>
      </c>
      <c r="H17" s="13">
        <f>_xll.FDS(G17,"FG_PRICE(12/30/2015)")</f>
        <v>42.45</v>
      </c>
      <c r="I17" s="13">
        <f>_xll.FDS(G17,"FG_PRICE(12/31/2017)")</f>
        <v>56.59</v>
      </c>
      <c r="J17" s="13">
        <f>I17/H17-1</f>
        <v>0.3330977620730271</v>
      </c>
      <c r="K17" s="13">
        <f>J17-E17</f>
        <v>3.7342295261612701E-2</v>
      </c>
      <c r="L17" s="13">
        <f>_xll.FDS(G17,"FF_ROE(ANN_R,12/30/2015)")</f>
        <v>13.97874306839187</v>
      </c>
      <c r="M17" s="8" t="s">
        <v>3995</v>
      </c>
      <c r="N17" s="4" t="s">
        <v>3995</v>
      </c>
      <c r="O17" s="4" t="s">
        <v>3996</v>
      </c>
      <c r="P17" s="4" t="s">
        <v>96</v>
      </c>
      <c r="Q17" s="4" t="s">
        <v>51</v>
      </c>
      <c r="R17" s="4" t="s">
        <v>61</v>
      </c>
      <c r="S17" s="4" t="s">
        <v>62</v>
      </c>
      <c r="T17" s="6" t="e">
        <v>#N/A</v>
      </c>
      <c r="U17" s="5">
        <v>58</v>
      </c>
      <c r="V17" s="5">
        <v>54</v>
      </c>
      <c r="W17" s="5">
        <v>56</v>
      </c>
      <c r="X17" s="5">
        <v>65</v>
      </c>
      <c r="Y17" s="5">
        <v>35.9</v>
      </c>
      <c r="Z17" s="5">
        <v>30.77</v>
      </c>
      <c r="AA17" s="5">
        <v>46.15</v>
      </c>
      <c r="AB17" s="5">
        <v>46.15</v>
      </c>
      <c r="AC17" s="6">
        <v>0.35</v>
      </c>
      <c r="AD17" s="6">
        <v>0.35</v>
      </c>
      <c r="AE17" s="6">
        <v>0.3</v>
      </c>
      <c r="AF17" s="4" t="s">
        <v>6296</v>
      </c>
      <c r="AG17" s="4" t="s">
        <v>6296</v>
      </c>
      <c r="AH17" s="4" t="s">
        <v>6296</v>
      </c>
      <c r="AI17" s="4" t="s">
        <v>42</v>
      </c>
      <c r="AJ17" s="4" t="s">
        <v>6296</v>
      </c>
      <c r="AK17" s="4" t="s">
        <v>37</v>
      </c>
      <c r="AL17" s="4" t="s">
        <v>37</v>
      </c>
      <c r="AM17" s="4" t="s">
        <v>42</v>
      </c>
      <c r="AN17" s="4" t="s">
        <v>6296</v>
      </c>
      <c r="AO17" s="4" t="s">
        <v>6296</v>
      </c>
      <c r="AP17" s="4" t="s">
        <v>3997</v>
      </c>
      <c r="AQ17" s="4" t="s">
        <v>47</v>
      </c>
    </row>
    <row r="18" spans="1:43" ht="12.6" customHeight="1" x14ac:dyDescent="0.25">
      <c r="A18" s="8" t="s">
        <v>4139</v>
      </c>
      <c r="B18" s="9">
        <v>20151231</v>
      </c>
      <c r="C18" s="12">
        <f>_xll.FDS("SPX","FG_PRICE(12/30/2015)")</f>
        <v>2063.36</v>
      </c>
      <c r="D18" s="12">
        <f>_xll.FDS("SPX","FG_PRICE(12/30/2017)")</f>
        <v>2673.61</v>
      </c>
      <c r="E18" s="15">
        <f>D18/C18-1</f>
        <v>0.2957554668114144</v>
      </c>
      <c r="F18" s="8" t="s">
        <v>4140</v>
      </c>
      <c r="G18" s="8" t="s">
        <v>4141</v>
      </c>
      <c r="H18" s="13">
        <f>_xll.FDS(G18,"FG_PRICE(12/30/2015)")</f>
        <v>96.9</v>
      </c>
      <c r="I18" s="13">
        <f>_xll.FDS(G18,"FG_PRICE(12/31/2017)")</f>
        <v>127.57</v>
      </c>
      <c r="J18" s="13">
        <f>I18/H18-1</f>
        <v>0.3165118679050567</v>
      </c>
      <c r="K18" s="13">
        <f>J18-E18</f>
        <v>2.0756401093642296E-2</v>
      </c>
      <c r="L18" s="13">
        <f>_xll.FDS(G18,"FF_ROE(ANN_R,12/30/2015)")</f>
        <v>19.23302525404651</v>
      </c>
      <c r="M18" s="8" t="s">
        <v>4142</v>
      </c>
      <c r="N18" s="4" t="s">
        <v>4143</v>
      </c>
      <c r="O18" s="4" t="s">
        <v>4144</v>
      </c>
      <c r="P18" s="4" t="s">
        <v>96</v>
      </c>
      <c r="Q18" s="4" t="s">
        <v>51</v>
      </c>
      <c r="R18" s="4" t="s">
        <v>61</v>
      </c>
      <c r="S18" s="4" t="s">
        <v>62</v>
      </c>
      <c r="T18" s="6" t="e">
        <v>#N/A</v>
      </c>
      <c r="U18" s="5">
        <v>60</v>
      </c>
      <c r="V18" s="5">
        <v>61</v>
      </c>
      <c r="W18" s="5">
        <v>56</v>
      </c>
      <c r="X18" s="5">
        <v>62</v>
      </c>
      <c r="Y18" s="5">
        <v>43.59</v>
      </c>
      <c r="Z18" s="5">
        <v>51.28</v>
      </c>
      <c r="AA18" s="5">
        <v>46.15</v>
      </c>
      <c r="AB18" s="5">
        <v>33.33</v>
      </c>
      <c r="AC18" s="6">
        <v>0.35</v>
      </c>
      <c r="AD18" s="6">
        <v>0.35</v>
      </c>
      <c r="AE18" s="6">
        <v>0.3</v>
      </c>
      <c r="AF18" s="4" t="s">
        <v>42</v>
      </c>
      <c r="AG18" s="4" t="s">
        <v>6296</v>
      </c>
      <c r="AH18" s="4" t="s">
        <v>6296</v>
      </c>
      <c r="AI18" s="4" t="s">
        <v>42</v>
      </c>
      <c r="AJ18" s="4" t="s">
        <v>42</v>
      </c>
      <c r="AK18" s="4" t="s">
        <v>37</v>
      </c>
      <c r="AL18" s="4" t="s">
        <v>42</v>
      </c>
      <c r="AM18" s="4" t="s">
        <v>37</v>
      </c>
      <c r="AN18" s="4" t="s">
        <v>42</v>
      </c>
      <c r="AO18" s="4" t="s">
        <v>6296</v>
      </c>
      <c r="AP18" s="4" t="s">
        <v>4145</v>
      </c>
      <c r="AQ18" s="4" t="s">
        <v>47</v>
      </c>
    </row>
    <row r="19" spans="1:43" ht="12.6" customHeight="1" x14ac:dyDescent="0.25">
      <c r="A19" s="8" t="s">
        <v>694</v>
      </c>
      <c r="B19" s="9">
        <v>20151231</v>
      </c>
      <c r="C19" s="12">
        <f>_xll.FDS("SPX","FG_PRICE(12/30/2015)")</f>
        <v>2063.36</v>
      </c>
      <c r="D19" s="12">
        <f>_xll.FDS("SPX","FG_PRICE(12/30/2017)")</f>
        <v>2673.61</v>
      </c>
      <c r="E19" s="15">
        <f>D19/C19-1</f>
        <v>0.2957554668114144</v>
      </c>
      <c r="F19" s="8" t="s">
        <v>695</v>
      </c>
      <c r="G19" s="8" t="s">
        <v>696</v>
      </c>
      <c r="H19" s="13">
        <f>_xll.FDS(G19,"FG_PRICE(12/30/2015)")</f>
        <v>43.92</v>
      </c>
      <c r="I19" s="13">
        <f>_xll.FDS(G19,"FG_PRICE(12/31/2017)")</f>
        <v>51.09</v>
      </c>
      <c r="J19" s="13">
        <f>I19/H19-1</f>
        <v>0.16325136612021862</v>
      </c>
      <c r="K19" s="13">
        <f>J19-E19</f>
        <v>-0.13250410069119578</v>
      </c>
      <c r="L19" s="13">
        <f>_xll.FDS(G19,"FF_ROE(ANN_R,12/30/2015)")</f>
        <v>18.275554564708511</v>
      </c>
      <c r="M19" s="8" t="s">
        <v>697</v>
      </c>
      <c r="N19" s="4" t="s">
        <v>697</v>
      </c>
      <c r="O19" s="4" t="s">
        <v>698</v>
      </c>
      <c r="P19" s="4" t="s">
        <v>96</v>
      </c>
      <c r="Q19" s="4" t="s">
        <v>464</v>
      </c>
      <c r="R19" s="4" t="s">
        <v>61</v>
      </c>
      <c r="S19" s="4" t="s">
        <v>62</v>
      </c>
      <c r="T19" s="6" t="e">
        <v>#N/A</v>
      </c>
      <c r="U19" s="5">
        <v>65</v>
      </c>
      <c r="V19" s="5">
        <v>68</v>
      </c>
      <c r="W19" s="5">
        <v>61</v>
      </c>
      <c r="X19" s="5">
        <v>67</v>
      </c>
      <c r="Y19" s="5">
        <v>63.24</v>
      </c>
      <c r="Z19" s="5">
        <v>54.41</v>
      </c>
      <c r="AA19" s="5">
        <v>51.47</v>
      </c>
      <c r="AB19" s="5">
        <v>75</v>
      </c>
      <c r="AC19" s="6">
        <v>0.35</v>
      </c>
      <c r="AD19" s="6">
        <v>0.4</v>
      </c>
      <c r="AE19" s="6">
        <v>0.25</v>
      </c>
      <c r="AF19" s="4" t="s">
        <v>6296</v>
      </c>
      <c r="AG19" s="4" t="s">
        <v>6296</v>
      </c>
      <c r="AH19" s="4" t="s">
        <v>6296</v>
      </c>
      <c r="AI19" s="4" t="s">
        <v>6296</v>
      </c>
      <c r="AJ19" s="4" t="s">
        <v>6296</v>
      </c>
      <c r="AK19" s="4" t="s">
        <v>42</v>
      </c>
      <c r="AL19" s="4" t="s">
        <v>6296</v>
      </c>
      <c r="AM19" s="4" t="s">
        <v>6296</v>
      </c>
      <c r="AN19" s="4" t="s">
        <v>6296</v>
      </c>
      <c r="AO19" s="4" t="s">
        <v>6296</v>
      </c>
      <c r="AP19" s="4" t="s">
        <v>699</v>
      </c>
      <c r="AQ19" s="4" t="s">
        <v>47</v>
      </c>
    </row>
    <row r="20" spans="1:43" ht="12.6" customHeight="1" x14ac:dyDescent="0.25">
      <c r="A20" s="8" t="s">
        <v>4977</v>
      </c>
      <c r="B20" s="9">
        <v>20151231</v>
      </c>
      <c r="C20" s="12">
        <f>_xll.FDS("SPX","FG_PRICE(12/30/2015)")</f>
        <v>2063.36</v>
      </c>
      <c r="D20" s="12">
        <f>_xll.FDS("SPX","FG_PRICE(12/30/2017)")</f>
        <v>2673.61</v>
      </c>
      <c r="E20" s="15">
        <f>D20/C20-1</f>
        <v>0.2957554668114144</v>
      </c>
      <c r="F20" s="8" t="s">
        <v>4978</v>
      </c>
      <c r="G20" s="8" t="s">
        <v>4979</v>
      </c>
      <c r="H20" s="13">
        <f>_xll.FDS(G20,"FG_PRICE(12/30/2015)")</f>
        <v>6.88</v>
      </c>
      <c r="I20" s="13" t="e">
        <f>_xll.FDS(G20,"FG_PRICE(12/31/2017)")</f>
        <v>#N/A</v>
      </c>
      <c r="J20" s="13" t="e">
        <f>I20/H20-1</f>
        <v>#N/A</v>
      </c>
      <c r="K20" s="13" t="e">
        <f>J20-E20</f>
        <v>#N/A</v>
      </c>
      <c r="L20" s="13">
        <f>_xll.FDS(G20,"FF_ROE(ANN_R,12/30/2015)")</f>
        <v>-14.63414634146341</v>
      </c>
      <c r="M20" s="8" t="s">
        <v>4980</v>
      </c>
      <c r="N20" s="4" t="s">
        <v>4981</v>
      </c>
      <c r="O20" s="4" t="s">
        <v>47</v>
      </c>
      <c r="P20" s="4" t="s">
        <v>106</v>
      </c>
      <c r="Q20" s="4" t="s">
        <v>464</v>
      </c>
      <c r="R20" s="4" t="s">
        <v>61</v>
      </c>
      <c r="S20" s="4" t="s">
        <v>62</v>
      </c>
      <c r="T20" s="6" t="e">
        <v>#N/A</v>
      </c>
      <c r="U20" s="5">
        <v>64</v>
      </c>
      <c r="V20" s="5">
        <v>53</v>
      </c>
      <c r="W20" s="5">
        <v>72</v>
      </c>
      <c r="X20" s="5">
        <v>66</v>
      </c>
      <c r="Y20" s="5">
        <v>55.88</v>
      </c>
      <c r="Z20" s="5">
        <v>20.59</v>
      </c>
      <c r="AA20" s="5">
        <v>77.94</v>
      </c>
      <c r="AB20" s="5">
        <v>70.59</v>
      </c>
      <c r="AC20" s="6">
        <v>0.35</v>
      </c>
      <c r="AD20" s="6">
        <v>0.4</v>
      </c>
      <c r="AE20" s="6">
        <v>0.25</v>
      </c>
      <c r="AF20" s="4" t="s">
        <v>42</v>
      </c>
      <c r="AG20" s="4" t="s">
        <v>6296</v>
      </c>
      <c r="AH20" s="4" t="s">
        <v>6296</v>
      </c>
      <c r="AI20" s="4" t="s">
        <v>42</v>
      </c>
      <c r="AJ20" s="4" t="s">
        <v>6296</v>
      </c>
      <c r="AK20" s="4" t="s">
        <v>6296</v>
      </c>
      <c r="AL20" s="4" t="s">
        <v>6296</v>
      </c>
      <c r="AM20" s="4" t="s">
        <v>6296</v>
      </c>
      <c r="AN20" s="4" t="s">
        <v>6296</v>
      </c>
      <c r="AO20" s="4" t="s">
        <v>6296</v>
      </c>
      <c r="AP20" s="4" t="s">
        <v>4982</v>
      </c>
      <c r="AQ20" s="4" t="s">
        <v>47</v>
      </c>
    </row>
    <row r="21" spans="1:43" ht="12.6" customHeight="1" x14ac:dyDescent="0.25">
      <c r="A21" s="8" t="s">
        <v>1730</v>
      </c>
      <c r="B21" s="9">
        <v>20151231</v>
      </c>
      <c r="C21" s="12">
        <f>_xll.FDS("SPX","FG_PRICE(12/30/2015)")</f>
        <v>2063.36</v>
      </c>
      <c r="D21" s="12">
        <f>_xll.FDS("SPX","FG_PRICE(12/30/2017)")</f>
        <v>2673.61</v>
      </c>
      <c r="E21" s="15">
        <f>D21/C21-1</f>
        <v>0.2957554668114144</v>
      </c>
      <c r="F21" s="8" t="s">
        <v>1731</v>
      </c>
      <c r="G21" s="8" t="s">
        <v>1732</v>
      </c>
      <c r="H21" s="13">
        <f>_xll.FDS(G21,"FG_PRICE(12/30/2015)")</f>
        <v>16.29</v>
      </c>
      <c r="I21" s="13">
        <f>_xll.FDS(G21,"FG_PRICE(12/31/2017)")</f>
        <v>20.95</v>
      </c>
      <c r="J21" s="13">
        <f>I21/H21-1</f>
        <v>0.28606507059545727</v>
      </c>
      <c r="K21" s="13">
        <f>J21-E21</f>
        <v>-9.6903962159571311E-3</v>
      </c>
      <c r="L21" s="13">
        <f>_xll.FDS(G21,"FF_ROE(ANN_R,12/30/2015)")</f>
        <v>19.910519035235939</v>
      </c>
      <c r="M21" s="8" t="s">
        <v>1733</v>
      </c>
      <c r="N21" s="4" t="s">
        <v>1733</v>
      </c>
      <c r="O21" s="4" t="s">
        <v>1734</v>
      </c>
      <c r="P21" s="4" t="s">
        <v>106</v>
      </c>
      <c r="Q21" s="4" t="s">
        <v>464</v>
      </c>
      <c r="R21" s="4" t="s">
        <v>61</v>
      </c>
      <c r="S21" s="4" t="s">
        <v>62</v>
      </c>
      <c r="T21" s="6" t="e">
        <v>#N/A</v>
      </c>
      <c r="U21" s="5">
        <v>57</v>
      </c>
      <c r="V21" s="5">
        <v>52</v>
      </c>
      <c r="W21" s="5">
        <v>57</v>
      </c>
      <c r="X21" s="5">
        <v>64</v>
      </c>
      <c r="Y21" s="5">
        <v>26.47</v>
      </c>
      <c r="Z21" s="5">
        <v>19.12</v>
      </c>
      <c r="AA21" s="5">
        <v>41.18</v>
      </c>
      <c r="AB21" s="5">
        <v>60.29</v>
      </c>
      <c r="AC21" s="6">
        <v>0.35</v>
      </c>
      <c r="AD21" s="6">
        <v>0.4</v>
      </c>
      <c r="AE21" s="6">
        <v>0.25</v>
      </c>
      <c r="AF21" s="4" t="s">
        <v>6296</v>
      </c>
      <c r="AG21" s="4" t="s">
        <v>6296</v>
      </c>
      <c r="AH21" s="4" t="s">
        <v>6296</v>
      </c>
      <c r="AI21" s="4" t="s">
        <v>6296</v>
      </c>
      <c r="AJ21" s="4" t="s">
        <v>6296</v>
      </c>
      <c r="AK21" s="4" t="s">
        <v>6296</v>
      </c>
      <c r="AL21" s="4" t="s">
        <v>6296</v>
      </c>
      <c r="AM21" s="4" t="s">
        <v>6296</v>
      </c>
      <c r="AN21" s="4" t="s">
        <v>6296</v>
      </c>
      <c r="AO21" s="4" t="s">
        <v>6296</v>
      </c>
      <c r="AP21" s="4" t="s">
        <v>1735</v>
      </c>
      <c r="AQ21" s="4" t="s">
        <v>47</v>
      </c>
    </row>
    <row r="22" spans="1:43" ht="12.6" customHeight="1" x14ac:dyDescent="0.25">
      <c r="A22" s="8" t="s">
        <v>1769</v>
      </c>
      <c r="B22" s="9">
        <v>20151231</v>
      </c>
      <c r="C22" s="12">
        <f>_xll.FDS("SPX","FG_PRICE(12/30/2015)")</f>
        <v>2063.36</v>
      </c>
      <c r="D22" s="12">
        <f>_xll.FDS("SPX","FG_PRICE(12/30/2017)")</f>
        <v>2673.61</v>
      </c>
      <c r="E22" s="15">
        <f>D22/C22-1</f>
        <v>0.2957554668114144</v>
      </c>
      <c r="F22" s="8" t="s">
        <v>1770</v>
      </c>
      <c r="G22" s="8" t="s">
        <v>1771</v>
      </c>
      <c r="H22" s="13">
        <f>_xll.FDS(G22,"FG_PRICE(12/30/2015)")</f>
        <v>33.305</v>
      </c>
      <c r="I22" s="13">
        <f>_xll.FDS(G22,"FG_PRICE(12/31/2017)")</f>
        <v>32.31</v>
      </c>
      <c r="J22" s="13">
        <f>I22/H22-1</f>
        <v>-2.9875394084972196E-2</v>
      </c>
      <c r="K22" s="13">
        <f>J22-E22</f>
        <v>-0.3256308608963866</v>
      </c>
      <c r="L22" s="13">
        <f>_xll.FDS(G22,"FF_ROE(ANN_R,12/30/2015)")</f>
        <v>94.018404907975466</v>
      </c>
      <c r="M22" s="8" t="s">
        <v>1772</v>
      </c>
      <c r="N22" s="4" t="s">
        <v>1773</v>
      </c>
      <c r="O22" s="4" t="s">
        <v>1774</v>
      </c>
      <c r="P22" s="4" t="s">
        <v>106</v>
      </c>
      <c r="Q22" s="4" t="s">
        <v>464</v>
      </c>
      <c r="R22" s="4" t="s">
        <v>61</v>
      </c>
      <c r="S22" s="4" t="s">
        <v>62</v>
      </c>
      <c r="T22" s="6" t="e">
        <v>#N/A</v>
      </c>
      <c r="U22" s="5">
        <v>71</v>
      </c>
      <c r="V22" s="5">
        <v>71</v>
      </c>
      <c r="W22" s="5">
        <v>76</v>
      </c>
      <c r="X22" s="5">
        <v>64</v>
      </c>
      <c r="Y22" s="5">
        <v>83.82</v>
      </c>
      <c r="Z22" s="5">
        <v>64.709999999999994</v>
      </c>
      <c r="AA22" s="5">
        <v>85.29</v>
      </c>
      <c r="AB22" s="5">
        <v>60.29</v>
      </c>
      <c r="AC22" s="6">
        <v>0.35</v>
      </c>
      <c r="AD22" s="6">
        <v>0.4</v>
      </c>
      <c r="AE22" s="6">
        <v>0.25</v>
      </c>
      <c r="AF22" s="4" t="s">
        <v>6296</v>
      </c>
      <c r="AG22" s="4" t="s">
        <v>6296</v>
      </c>
      <c r="AH22" s="4" t="s">
        <v>6296</v>
      </c>
      <c r="AI22" s="4" t="s">
        <v>37</v>
      </c>
      <c r="AJ22" s="4" t="s">
        <v>6296</v>
      </c>
      <c r="AK22" s="4" t="s">
        <v>42</v>
      </c>
      <c r="AL22" s="4" t="s">
        <v>6296</v>
      </c>
      <c r="AM22" s="4" t="s">
        <v>42</v>
      </c>
      <c r="AN22" s="4" t="s">
        <v>6296</v>
      </c>
      <c r="AO22" s="4" t="s">
        <v>6296</v>
      </c>
      <c r="AP22" s="4" t="s">
        <v>1775</v>
      </c>
      <c r="AQ22" s="4" t="s">
        <v>47</v>
      </c>
    </row>
    <row r="23" spans="1:43" ht="12.6" customHeight="1" x14ac:dyDescent="0.25">
      <c r="A23" s="8" t="s">
        <v>6361</v>
      </c>
      <c r="B23" s="9">
        <v>20151231</v>
      </c>
      <c r="C23" s="12">
        <f>_xll.FDS("SPX","FG_PRICE(12/30/2015)")</f>
        <v>2063.36</v>
      </c>
      <c r="D23" s="12">
        <f>_xll.FDS("SPX","FG_PRICE(12/30/2017)")</f>
        <v>2673.61</v>
      </c>
      <c r="E23" s="15">
        <f>D23/C23-1</f>
        <v>0.2957554668114144</v>
      </c>
      <c r="F23" s="8" t="s">
        <v>6362</v>
      </c>
      <c r="G23" s="8" t="s">
        <v>6363</v>
      </c>
      <c r="H23" s="13">
        <f>_xll.FDS(G23,"FG_PRICE(12/30/2015)")</f>
        <v>40.229999999999997</v>
      </c>
      <c r="I23" s="13" t="e">
        <f>_xll.FDS(G23,"FG_PRICE(12/31/2017)")</f>
        <v>#N/A</v>
      </c>
      <c r="J23" s="13" t="e">
        <f>I23/H23-1</f>
        <v>#N/A</v>
      </c>
      <c r="K23" s="13" t="e">
        <f>J23-E23</f>
        <v>#N/A</v>
      </c>
      <c r="L23" s="13">
        <f>_xll.FDS(G23,"FF_ROE(ANN_R,12/30/2015)")</f>
        <v>13.29575903169177</v>
      </c>
      <c r="M23" s="8" t="s">
        <v>6364</v>
      </c>
      <c r="N23" s="4" t="s">
        <v>6365</v>
      </c>
      <c r="O23" s="4" t="s">
        <v>6117</v>
      </c>
      <c r="P23" s="4" t="s">
        <v>96</v>
      </c>
      <c r="Q23" s="4" t="s">
        <v>464</v>
      </c>
      <c r="R23" s="4" t="s">
        <v>61</v>
      </c>
      <c r="S23" s="4" t="s">
        <v>62</v>
      </c>
      <c r="T23" s="6" t="e">
        <v>#N/A</v>
      </c>
      <c r="U23" s="5">
        <v>80</v>
      </c>
      <c r="V23" s="5">
        <v>79</v>
      </c>
      <c r="W23" s="5">
        <v>83</v>
      </c>
      <c r="X23" s="5">
        <v>75</v>
      </c>
      <c r="Y23" s="5">
        <v>97.06</v>
      </c>
      <c r="Z23" s="5">
        <v>89.71</v>
      </c>
      <c r="AA23" s="5">
        <v>95.59</v>
      </c>
      <c r="AB23" s="5">
        <v>92.65</v>
      </c>
      <c r="AC23" s="6">
        <v>0.35</v>
      </c>
      <c r="AD23" s="6">
        <v>0.4</v>
      </c>
      <c r="AE23" s="6">
        <v>0.25</v>
      </c>
      <c r="AF23" s="4" t="s">
        <v>6296</v>
      </c>
      <c r="AG23" s="4" t="s">
        <v>6296</v>
      </c>
      <c r="AH23" s="4" t="s">
        <v>6296</v>
      </c>
      <c r="AI23" s="4" t="s">
        <v>42</v>
      </c>
      <c r="AJ23" s="4" t="s">
        <v>6296</v>
      </c>
      <c r="AK23" s="4" t="s">
        <v>42</v>
      </c>
      <c r="AL23" s="4" t="s">
        <v>37</v>
      </c>
      <c r="AM23" s="4" t="s">
        <v>6296</v>
      </c>
      <c r="AN23" s="4" t="s">
        <v>42</v>
      </c>
      <c r="AO23" s="4" t="s">
        <v>6296</v>
      </c>
      <c r="AP23" s="4" t="s">
        <v>6366</v>
      </c>
      <c r="AQ23" s="4" t="s">
        <v>47</v>
      </c>
    </row>
    <row r="24" spans="1:43" ht="12.6" customHeight="1" x14ac:dyDescent="0.25">
      <c r="A24" s="8" t="s">
        <v>5270</v>
      </c>
      <c r="B24" s="9">
        <v>20151231</v>
      </c>
      <c r="C24" s="12">
        <f>_xll.FDS("SPX","FG_PRICE(12/30/2015)")</f>
        <v>2063.36</v>
      </c>
      <c r="D24" s="12">
        <f>_xll.FDS("SPX","FG_PRICE(12/30/2017)")</f>
        <v>2673.61</v>
      </c>
      <c r="E24" s="15">
        <f>D24/C24-1</f>
        <v>0.2957554668114144</v>
      </c>
      <c r="F24" s="8" t="s">
        <v>5271</v>
      </c>
      <c r="G24" s="8" t="s">
        <v>5272</v>
      </c>
      <c r="H24" s="13">
        <f>_xll.FDS(G24,"FG_PRICE(12/30/2015)")</f>
        <v>124.45</v>
      </c>
      <c r="I24" s="13">
        <f>_xll.FDS(G24,"FG_PRICE(12/31/2017)")</f>
        <v>176.66</v>
      </c>
      <c r="J24" s="13">
        <f>I24/H24-1</f>
        <v>0.41952591402169537</v>
      </c>
      <c r="K24" s="13">
        <f>J24-E24</f>
        <v>0.12377044721028096</v>
      </c>
      <c r="L24" s="13">
        <f>_xll.FDS(G24,"FF_ROE(ANN_R,12/30/2015)")</f>
        <v>22.395789964527779</v>
      </c>
      <c r="M24" s="8" t="s">
        <v>5273</v>
      </c>
      <c r="N24" s="4" t="s">
        <v>5273</v>
      </c>
      <c r="O24" s="4" t="s">
        <v>5274</v>
      </c>
      <c r="P24" s="4" t="s">
        <v>96</v>
      </c>
      <c r="Q24" s="4" t="s">
        <v>464</v>
      </c>
      <c r="R24" s="4" t="s">
        <v>61</v>
      </c>
      <c r="S24" s="4" t="s">
        <v>62</v>
      </c>
      <c r="T24" s="6" t="e">
        <v>#N/A</v>
      </c>
      <c r="U24" s="5">
        <v>57</v>
      </c>
      <c r="V24" s="5">
        <v>54</v>
      </c>
      <c r="W24" s="5">
        <v>53</v>
      </c>
      <c r="X24" s="5">
        <v>68</v>
      </c>
      <c r="Y24" s="5">
        <v>26.47</v>
      </c>
      <c r="Z24" s="5">
        <v>23.53</v>
      </c>
      <c r="AA24" s="5">
        <v>22.06</v>
      </c>
      <c r="AB24" s="5">
        <v>80.88</v>
      </c>
      <c r="AC24" s="6">
        <v>0.35</v>
      </c>
      <c r="AD24" s="6">
        <v>0.4</v>
      </c>
      <c r="AE24" s="6">
        <v>0.25</v>
      </c>
      <c r="AF24" s="4" t="s">
        <v>6296</v>
      </c>
      <c r="AG24" s="4" t="s">
        <v>6296</v>
      </c>
      <c r="AH24" s="4" t="s">
        <v>6296</v>
      </c>
      <c r="AI24" s="4" t="s">
        <v>37</v>
      </c>
      <c r="AJ24" s="4" t="s">
        <v>6296</v>
      </c>
      <c r="AK24" s="4" t="s">
        <v>6296</v>
      </c>
      <c r="AL24" s="4" t="s">
        <v>6296</v>
      </c>
      <c r="AM24" s="4" t="s">
        <v>6296</v>
      </c>
      <c r="AN24" s="4" t="s">
        <v>6296</v>
      </c>
      <c r="AO24" s="4" t="s">
        <v>6296</v>
      </c>
      <c r="AP24" s="4" t="s">
        <v>5275</v>
      </c>
      <c r="AQ24" s="4" t="s">
        <v>47</v>
      </c>
    </row>
    <row r="25" spans="1:43" ht="12.6" customHeight="1" x14ac:dyDescent="0.25">
      <c r="A25" s="8" t="s">
        <v>2398</v>
      </c>
      <c r="B25" s="9">
        <v>20151231</v>
      </c>
      <c r="C25" s="12">
        <f>_xll.FDS("SPX","FG_PRICE(12/30/2015)")</f>
        <v>2063.36</v>
      </c>
      <c r="D25" s="12">
        <f>_xll.FDS("SPX","FG_PRICE(12/30/2017)")</f>
        <v>2673.61</v>
      </c>
      <c r="E25" s="15">
        <f>D25/C25-1</f>
        <v>0.2957554668114144</v>
      </c>
      <c r="F25" s="8" t="s">
        <v>2399</v>
      </c>
      <c r="G25" s="8" t="s">
        <v>2400</v>
      </c>
      <c r="H25" s="13">
        <f>_xll.FDS(G25,"FG_PRICE(12/30/2015)")</f>
        <v>46.59</v>
      </c>
      <c r="I25" s="13">
        <f>_xll.FDS(G25,"FG_PRICE(12/31/2017)")</f>
        <v>58.54</v>
      </c>
      <c r="J25" s="13">
        <f>I25/H25-1</f>
        <v>0.25649280961579723</v>
      </c>
      <c r="K25" s="13">
        <f>J25-E25</f>
        <v>-3.9262657195617168E-2</v>
      </c>
      <c r="L25" s="13">
        <f>_xll.FDS(G25,"FF_ROE(ANN_R,12/30/2015)")</f>
        <v>48.602150537634408</v>
      </c>
      <c r="M25" s="8" t="s">
        <v>2401</v>
      </c>
      <c r="N25" s="4" t="s">
        <v>2401</v>
      </c>
      <c r="O25" s="4" t="s">
        <v>2402</v>
      </c>
      <c r="P25" s="4" t="s">
        <v>96</v>
      </c>
      <c r="Q25" s="4" t="s">
        <v>464</v>
      </c>
      <c r="R25" s="4" t="s">
        <v>61</v>
      </c>
      <c r="S25" s="4" t="s">
        <v>62</v>
      </c>
      <c r="T25" s="6" t="e">
        <v>#N/A</v>
      </c>
      <c r="U25" s="5">
        <v>60</v>
      </c>
      <c r="V25" s="5">
        <v>56</v>
      </c>
      <c r="W25" s="5">
        <v>59</v>
      </c>
      <c r="X25" s="5">
        <v>68</v>
      </c>
      <c r="Y25" s="5">
        <v>33.82</v>
      </c>
      <c r="Z25" s="5">
        <v>26.47</v>
      </c>
      <c r="AA25" s="5">
        <v>47.06</v>
      </c>
      <c r="AB25" s="5">
        <v>80.88</v>
      </c>
      <c r="AC25" s="6">
        <v>0.35</v>
      </c>
      <c r="AD25" s="6">
        <v>0.4</v>
      </c>
      <c r="AE25" s="6">
        <v>0.25</v>
      </c>
      <c r="AF25" s="4" t="s">
        <v>6296</v>
      </c>
      <c r="AG25" s="4" t="s">
        <v>6296</v>
      </c>
      <c r="AH25" s="4" t="s">
        <v>6296</v>
      </c>
      <c r="AI25" s="4" t="s">
        <v>6296</v>
      </c>
      <c r="AJ25" s="4" t="s">
        <v>6296</v>
      </c>
      <c r="AK25" s="4" t="s">
        <v>42</v>
      </c>
      <c r="AL25" s="4" t="s">
        <v>6296</v>
      </c>
      <c r="AM25" s="4" t="s">
        <v>6296</v>
      </c>
      <c r="AN25" s="4" t="s">
        <v>6296</v>
      </c>
      <c r="AO25" s="4" t="s">
        <v>6296</v>
      </c>
      <c r="AP25" s="4" t="s">
        <v>2403</v>
      </c>
      <c r="AQ25" s="4" t="s">
        <v>47</v>
      </c>
    </row>
    <row r="26" spans="1:43" ht="12.6" customHeight="1" x14ac:dyDescent="0.25">
      <c r="A26" s="8" t="s">
        <v>5195</v>
      </c>
      <c r="B26" s="9">
        <v>20151231</v>
      </c>
      <c r="C26" s="12">
        <f>_xll.FDS("SPX","FG_PRICE(12/30/2015)")</f>
        <v>2063.36</v>
      </c>
      <c r="D26" s="12">
        <f>_xll.FDS("SPX","FG_PRICE(12/30/2017)")</f>
        <v>2673.61</v>
      </c>
      <c r="E26" s="15">
        <f>D26/C26-1</f>
        <v>0.2957554668114144</v>
      </c>
      <c r="F26" s="8" t="s">
        <v>5196</v>
      </c>
      <c r="G26" s="8" t="s">
        <v>5197</v>
      </c>
      <c r="H26" s="13">
        <f>_xll.FDS(G26,"FG_PRICE(12/30/2015)")</f>
        <v>116.2</v>
      </c>
      <c r="I26" s="13">
        <f>_xll.FDS(G26,"FG_PRICE(12/31/2017)")</f>
        <v>125.14</v>
      </c>
      <c r="J26" s="13">
        <f>I26/H26-1</f>
        <v>7.6936316695352724E-2</v>
      </c>
      <c r="K26" s="13">
        <f>J26-E26</f>
        <v>-0.21881915011606168</v>
      </c>
      <c r="L26" s="13">
        <f>_xll.FDS(G26,"FF_ROE(ANN_R,12/30/2015)")</f>
        <v>2.2980251346499099</v>
      </c>
      <c r="M26" s="8" t="s">
        <v>5198</v>
      </c>
      <c r="N26" s="4" t="s">
        <v>5198</v>
      </c>
      <c r="O26" s="4" t="s">
        <v>5199</v>
      </c>
      <c r="P26" s="4" t="s">
        <v>96</v>
      </c>
      <c r="Q26" s="4" t="s">
        <v>464</v>
      </c>
      <c r="R26" s="4" t="s">
        <v>61</v>
      </c>
      <c r="S26" s="4" t="s">
        <v>62</v>
      </c>
      <c r="T26" s="6" t="e">
        <v>#N/A</v>
      </c>
      <c r="U26" s="5">
        <v>70</v>
      </c>
      <c r="V26" s="5">
        <v>68</v>
      </c>
      <c r="W26" s="5">
        <v>65</v>
      </c>
      <c r="X26" s="5">
        <v>79</v>
      </c>
      <c r="Y26" s="5">
        <v>82.35</v>
      </c>
      <c r="Z26" s="5">
        <v>54.41</v>
      </c>
      <c r="AA26" s="5">
        <v>66.180000000000007</v>
      </c>
      <c r="AB26" s="5">
        <v>97.06</v>
      </c>
      <c r="AC26" s="6">
        <v>0.35</v>
      </c>
      <c r="AD26" s="6">
        <v>0.4</v>
      </c>
      <c r="AE26" s="6">
        <v>0.25</v>
      </c>
      <c r="AF26" s="4" t="s">
        <v>6296</v>
      </c>
      <c r="AG26" s="4" t="s">
        <v>6296</v>
      </c>
      <c r="AH26" s="4" t="s">
        <v>6296</v>
      </c>
      <c r="AI26" s="4" t="s">
        <v>37</v>
      </c>
      <c r="AJ26" s="4" t="s">
        <v>6296</v>
      </c>
      <c r="AK26" s="4" t="s">
        <v>6296</v>
      </c>
      <c r="AL26" s="4" t="s">
        <v>6296</v>
      </c>
      <c r="AM26" s="4" t="s">
        <v>6296</v>
      </c>
      <c r="AN26" s="4" t="s">
        <v>6296</v>
      </c>
      <c r="AO26" s="4" t="s">
        <v>6296</v>
      </c>
      <c r="AP26" s="4" t="s">
        <v>5200</v>
      </c>
      <c r="AQ26" s="4" t="s">
        <v>47</v>
      </c>
    </row>
    <row r="27" spans="1:43" ht="12.6" customHeight="1" x14ac:dyDescent="0.25">
      <c r="A27" s="8" t="s">
        <v>2792</v>
      </c>
      <c r="B27" s="9">
        <v>20151231</v>
      </c>
      <c r="C27" s="12">
        <f>_xll.FDS("SPX","FG_PRICE(12/30/2015)")</f>
        <v>2063.36</v>
      </c>
      <c r="D27" s="12">
        <f>_xll.FDS("SPX","FG_PRICE(12/30/2017)")</f>
        <v>2673.61</v>
      </c>
      <c r="E27" s="15">
        <f>D27/C27-1</f>
        <v>0.2957554668114144</v>
      </c>
      <c r="F27" s="8" t="s">
        <v>2793</v>
      </c>
      <c r="G27" s="8" t="s">
        <v>2794</v>
      </c>
      <c r="H27" s="13">
        <f>_xll.FDS(G27,"FG_PRICE(12/30/2015)")</f>
        <v>14.17</v>
      </c>
      <c r="I27" s="13">
        <f>_xll.FDS(G27,"FG_PRICE(12/31/2017)")</f>
        <v>12.49</v>
      </c>
      <c r="J27" s="13">
        <f>I27/H27-1</f>
        <v>-0.11856033874382499</v>
      </c>
      <c r="K27" s="13">
        <f>J27-E27</f>
        <v>-0.41431580555523939</v>
      </c>
      <c r="L27" s="13">
        <f>_xll.FDS(G27,"FF_ROE(ANN_R,12/30/2015)")</f>
        <v>4.844454064264772</v>
      </c>
      <c r="M27" s="8" t="s">
        <v>2795</v>
      </c>
      <c r="N27" s="4" t="s">
        <v>2796</v>
      </c>
      <c r="O27" s="4" t="s">
        <v>2797</v>
      </c>
      <c r="P27" s="4" t="s">
        <v>96</v>
      </c>
      <c r="Q27" s="4" t="s">
        <v>1854</v>
      </c>
      <c r="R27" s="4" t="s">
        <v>61</v>
      </c>
      <c r="S27" s="4" t="s">
        <v>62</v>
      </c>
      <c r="T27" s="6" t="e">
        <v>#N/A</v>
      </c>
      <c r="U27" s="5">
        <v>70</v>
      </c>
      <c r="V27" s="5">
        <v>67</v>
      </c>
      <c r="W27" s="5">
        <v>75</v>
      </c>
      <c r="X27" s="5">
        <v>71</v>
      </c>
      <c r="Y27" s="5">
        <v>87.23</v>
      </c>
      <c r="Z27" s="5">
        <v>70.209999999999994</v>
      </c>
      <c r="AA27" s="5">
        <v>80.849999999999994</v>
      </c>
      <c r="AB27" s="5">
        <v>78.72</v>
      </c>
      <c r="AC27" s="6">
        <v>0.45</v>
      </c>
      <c r="AD27" s="6">
        <v>0.3</v>
      </c>
      <c r="AE27" s="6">
        <v>0.25</v>
      </c>
      <c r="AF27" s="4" t="s">
        <v>42</v>
      </c>
      <c r="AG27" s="4" t="s">
        <v>6296</v>
      </c>
      <c r="AH27" s="4" t="s">
        <v>37</v>
      </c>
      <c r="AI27" s="4" t="s">
        <v>37</v>
      </c>
      <c r="AJ27" s="4" t="s">
        <v>37</v>
      </c>
      <c r="AK27" s="4" t="s">
        <v>37</v>
      </c>
      <c r="AL27" s="4" t="s">
        <v>37</v>
      </c>
      <c r="AM27" s="4" t="s">
        <v>37</v>
      </c>
      <c r="AN27" s="4" t="s">
        <v>6296</v>
      </c>
      <c r="AO27" s="4" t="s">
        <v>6296</v>
      </c>
      <c r="AP27" s="4" t="s">
        <v>2798</v>
      </c>
      <c r="AQ27" s="4" t="s">
        <v>47</v>
      </c>
    </row>
    <row r="28" spans="1:43" ht="12.6" customHeight="1" x14ac:dyDescent="0.25">
      <c r="A28" s="8" t="s">
        <v>5390</v>
      </c>
      <c r="B28" s="9">
        <v>20151231</v>
      </c>
      <c r="C28" s="12">
        <f>_xll.FDS("SPX","FG_PRICE(12/30/2015)")</f>
        <v>2063.36</v>
      </c>
      <c r="D28" s="12">
        <f>_xll.FDS("SPX","FG_PRICE(12/30/2017)")</f>
        <v>2673.61</v>
      </c>
      <c r="E28" s="15">
        <f>D28/C28-1</f>
        <v>0.2957554668114144</v>
      </c>
      <c r="F28" s="8" t="s">
        <v>5391</v>
      </c>
      <c r="G28" s="8" t="s">
        <v>5392</v>
      </c>
      <c r="H28" s="13">
        <f>_xll.FDS(G28,"FG_PRICE(12/30/2015)")</f>
        <v>34.33</v>
      </c>
      <c r="I28" s="13">
        <f>_xll.FDS(G28,"FG_PRICE(12/31/2017)")</f>
        <v>40.99</v>
      </c>
      <c r="J28" s="13">
        <f>I28/H28-1</f>
        <v>0.19399941741916704</v>
      </c>
      <c r="K28" s="13">
        <f>J28-E28</f>
        <v>-0.10175604939224736</v>
      </c>
      <c r="L28" s="13">
        <f>_xll.FDS(G28,"FF_ROE(ANN_R,12/30/2015)")</f>
        <v>10.11733961877434</v>
      </c>
      <c r="M28" s="8" t="s">
        <v>5393</v>
      </c>
      <c r="N28" s="4" t="s">
        <v>5393</v>
      </c>
      <c r="O28" s="4" t="s">
        <v>5394</v>
      </c>
      <c r="P28" s="4" t="s">
        <v>96</v>
      </c>
      <c r="Q28" s="4" t="s">
        <v>1854</v>
      </c>
      <c r="R28" s="4" t="s">
        <v>61</v>
      </c>
      <c r="S28" s="4" t="s">
        <v>62</v>
      </c>
      <c r="T28" s="6" t="e">
        <v>#N/A</v>
      </c>
      <c r="U28" s="5">
        <v>61</v>
      </c>
      <c r="V28" s="5">
        <v>56</v>
      </c>
      <c r="W28" s="5">
        <v>65</v>
      </c>
      <c r="X28" s="5">
        <v>67</v>
      </c>
      <c r="Y28" s="5">
        <v>61.7</v>
      </c>
      <c r="Z28" s="5">
        <v>53.19</v>
      </c>
      <c r="AA28" s="5">
        <v>76.599999999999994</v>
      </c>
      <c r="AB28" s="5">
        <v>65.959999999999994</v>
      </c>
      <c r="AC28" s="6">
        <v>0.45</v>
      </c>
      <c r="AD28" s="6">
        <v>0.3</v>
      </c>
      <c r="AE28" s="6">
        <v>0.25</v>
      </c>
      <c r="AF28" s="4" t="s">
        <v>46</v>
      </c>
      <c r="AG28" s="4" t="s">
        <v>6296</v>
      </c>
      <c r="AH28" s="4" t="s">
        <v>37</v>
      </c>
      <c r="AI28" s="4" t="s">
        <v>46</v>
      </c>
      <c r="AJ28" s="4" t="s">
        <v>37</v>
      </c>
      <c r="AK28" s="4" t="s">
        <v>248</v>
      </c>
      <c r="AL28" s="4" t="s">
        <v>6296</v>
      </c>
      <c r="AM28" s="4" t="s">
        <v>37</v>
      </c>
      <c r="AN28" s="4" t="s">
        <v>6296</v>
      </c>
      <c r="AO28" s="4" t="s">
        <v>6296</v>
      </c>
      <c r="AP28" s="4" t="s">
        <v>5395</v>
      </c>
      <c r="AQ28" s="4" t="s">
        <v>47</v>
      </c>
    </row>
    <row r="29" spans="1:43" ht="12.6" customHeight="1" x14ac:dyDescent="0.25">
      <c r="A29" s="8" t="s">
        <v>1848</v>
      </c>
      <c r="B29" s="9">
        <v>20151231</v>
      </c>
      <c r="C29" s="12">
        <f>_xll.FDS("SPX","FG_PRICE(12/30/2015)")</f>
        <v>2063.36</v>
      </c>
      <c r="D29" s="12">
        <f>_xll.FDS("SPX","FG_PRICE(12/30/2017)")</f>
        <v>2673.61</v>
      </c>
      <c r="E29" s="15">
        <f>D29/C29-1</f>
        <v>0.2957554668114144</v>
      </c>
      <c r="F29" s="8" t="s">
        <v>1849</v>
      </c>
      <c r="G29" s="8" t="s">
        <v>1850</v>
      </c>
      <c r="H29" s="13">
        <f>_xll.FDS(G29,"FG_PRICE(12/30/2015)")</f>
        <v>45.56</v>
      </c>
      <c r="I29" s="13">
        <f>_xll.FDS(G29,"FG_PRICE(12/31/2017)")</f>
        <v>50.88</v>
      </c>
      <c r="J29" s="13">
        <f>I29/H29-1</f>
        <v>0.11676909569798077</v>
      </c>
      <c r="K29" s="13">
        <f>J29-E29</f>
        <v>-0.17898637111343363</v>
      </c>
      <c r="L29" s="13">
        <f>_xll.FDS(G29,"FF_ROE(ANN_R,12/30/2015)")</f>
        <v>28.540075542697029</v>
      </c>
      <c r="M29" s="8" t="s">
        <v>1851</v>
      </c>
      <c r="N29" s="4" t="s">
        <v>1852</v>
      </c>
      <c r="O29" s="4" t="s">
        <v>1853</v>
      </c>
      <c r="P29" s="4" t="s">
        <v>96</v>
      </c>
      <c r="Q29" s="4" t="s">
        <v>1854</v>
      </c>
      <c r="R29" s="4" t="s">
        <v>61</v>
      </c>
      <c r="S29" s="4" t="s">
        <v>62</v>
      </c>
      <c r="T29" s="6" t="e">
        <v>#N/A</v>
      </c>
      <c r="U29" s="5">
        <v>56</v>
      </c>
      <c r="V29" s="5">
        <v>44</v>
      </c>
      <c r="W29" s="5">
        <v>58</v>
      </c>
      <c r="X29" s="5">
        <v>75</v>
      </c>
      <c r="Y29" s="5">
        <v>46.81</v>
      </c>
      <c r="Z29" s="5">
        <v>25.53</v>
      </c>
      <c r="AA29" s="5">
        <v>61.7</v>
      </c>
      <c r="AB29" s="5">
        <v>89.36</v>
      </c>
      <c r="AC29" s="6">
        <v>0.45</v>
      </c>
      <c r="AD29" s="6">
        <v>0.3</v>
      </c>
      <c r="AE29" s="6">
        <v>0.25</v>
      </c>
      <c r="AF29" s="4" t="s">
        <v>6296</v>
      </c>
      <c r="AG29" s="4" t="s">
        <v>6296</v>
      </c>
      <c r="AH29" s="4" t="s">
        <v>6296</v>
      </c>
      <c r="AI29" s="4" t="s">
        <v>6296</v>
      </c>
      <c r="AJ29" s="4" t="s">
        <v>6296</v>
      </c>
      <c r="AK29" s="4" t="s">
        <v>37</v>
      </c>
      <c r="AL29" s="4" t="s">
        <v>6296</v>
      </c>
      <c r="AM29" s="4" t="s">
        <v>42</v>
      </c>
      <c r="AN29" s="4" t="s">
        <v>6296</v>
      </c>
      <c r="AO29" s="4" t="s">
        <v>6296</v>
      </c>
      <c r="AP29" s="4" t="s">
        <v>1855</v>
      </c>
      <c r="AQ29" s="4" t="s">
        <v>47</v>
      </c>
    </row>
    <row r="30" spans="1:43" ht="12.6" customHeight="1" x14ac:dyDescent="0.25">
      <c r="A30" s="8" t="s">
        <v>4016</v>
      </c>
      <c r="B30" s="9">
        <v>20151231</v>
      </c>
      <c r="C30" s="12">
        <f>_xll.FDS("SPX","FG_PRICE(12/30/2015)")</f>
        <v>2063.36</v>
      </c>
      <c r="D30" s="12">
        <f>_xll.FDS("SPX","FG_PRICE(12/30/2017)")</f>
        <v>2673.61</v>
      </c>
      <c r="E30" s="15">
        <f>D30/C30-1</f>
        <v>0.2957554668114144</v>
      </c>
      <c r="F30" s="8" t="s">
        <v>4017</v>
      </c>
      <c r="G30" s="8" t="s">
        <v>4018</v>
      </c>
      <c r="H30" s="13">
        <f>_xll.FDS(G30,"FG_PRICE(12/30/2015)")</f>
        <v>57.32</v>
      </c>
      <c r="I30" s="13">
        <f>_xll.FDS(G30,"FG_PRICE(12/31/2017)")</f>
        <v>150.72</v>
      </c>
      <c r="J30" s="13">
        <f>I30/H30-1</f>
        <v>1.6294487090020935</v>
      </c>
      <c r="K30" s="13">
        <f>J30-E30</f>
        <v>1.3336932421906791</v>
      </c>
      <c r="L30" s="13">
        <f>_xll.FDS(G30,"FF_ROE(ANN_R,12/30/2015)")</f>
        <v>19.776844891829391</v>
      </c>
      <c r="M30" s="8" t="s">
        <v>4019</v>
      </c>
      <c r="N30" s="4" t="s">
        <v>4020</v>
      </c>
      <c r="O30" s="4" t="s">
        <v>4021</v>
      </c>
      <c r="P30" s="4" t="s">
        <v>96</v>
      </c>
      <c r="Q30" s="4" t="s">
        <v>1854</v>
      </c>
      <c r="R30" s="4" t="s">
        <v>61</v>
      </c>
      <c r="S30" s="4" t="s">
        <v>62</v>
      </c>
      <c r="T30" s="6" t="e">
        <v>#N/A</v>
      </c>
      <c r="U30" s="5">
        <v>53</v>
      </c>
      <c r="V30" s="5">
        <v>43</v>
      </c>
      <c r="W30" s="5">
        <v>52</v>
      </c>
      <c r="X30" s="5">
        <v>73</v>
      </c>
      <c r="Y30" s="5">
        <v>34.04</v>
      </c>
      <c r="Z30" s="5">
        <v>21.28</v>
      </c>
      <c r="AA30" s="5">
        <v>40.43</v>
      </c>
      <c r="AB30" s="5">
        <v>85.11</v>
      </c>
      <c r="AC30" s="6">
        <v>0.45</v>
      </c>
      <c r="AD30" s="6">
        <v>0.3</v>
      </c>
      <c r="AE30" s="6">
        <v>0.25</v>
      </c>
      <c r="AF30" s="4" t="s">
        <v>6296</v>
      </c>
      <c r="AG30" s="4" t="s">
        <v>6296</v>
      </c>
      <c r="AH30" s="4" t="s">
        <v>6296</v>
      </c>
      <c r="AI30" s="4" t="s">
        <v>6296</v>
      </c>
      <c r="AJ30" s="4" t="s">
        <v>6296</v>
      </c>
      <c r="AK30" s="4" t="s">
        <v>6296</v>
      </c>
      <c r="AL30" s="4" t="s">
        <v>6296</v>
      </c>
      <c r="AM30" s="4" t="s">
        <v>6296</v>
      </c>
      <c r="AN30" s="4" t="s">
        <v>6296</v>
      </c>
      <c r="AO30" s="4" t="s">
        <v>6296</v>
      </c>
      <c r="AP30" s="4" t="s">
        <v>4022</v>
      </c>
      <c r="AQ30" s="4" t="s">
        <v>47</v>
      </c>
    </row>
    <row r="31" spans="1:43" ht="12.6" customHeight="1" x14ac:dyDescent="0.25">
      <c r="A31" s="8" t="s">
        <v>5352</v>
      </c>
      <c r="B31" s="9">
        <v>20151231</v>
      </c>
      <c r="C31" s="12">
        <f>_xll.FDS("SPX","FG_PRICE(12/30/2015)")</f>
        <v>2063.36</v>
      </c>
      <c r="D31" s="12">
        <f>_xll.FDS("SPX","FG_PRICE(12/30/2017)")</f>
        <v>2673.61</v>
      </c>
      <c r="E31" s="15">
        <f>D31/C31-1</f>
        <v>0.2957554668114144</v>
      </c>
      <c r="F31" s="8" t="s">
        <v>5353</v>
      </c>
      <c r="G31" s="8" t="s">
        <v>5354</v>
      </c>
      <c r="H31" s="13">
        <f>_xll.FDS(G31,"FG_PRICE(12/30/2015)")</f>
        <v>238.09</v>
      </c>
      <c r="I31" s="13">
        <f>_xll.FDS(G31,"FG_PRICE(12/31/2017)")</f>
        <v>311.35000000000002</v>
      </c>
      <c r="J31" s="13">
        <f>I31/H31-1</f>
        <v>0.30769876937292628</v>
      </c>
      <c r="K31" s="13">
        <f>J31-E31</f>
        <v>1.1943302561511882E-2</v>
      </c>
      <c r="L31" s="13">
        <f>_xll.FDS(G31,"FF_ROE(ANN_R,12/30/2015)")</f>
        <v>-37.24783542243307</v>
      </c>
      <c r="M31" s="8" t="s">
        <v>5355</v>
      </c>
      <c r="N31" s="4" t="s">
        <v>5356</v>
      </c>
      <c r="O31" s="4" t="s">
        <v>5357</v>
      </c>
      <c r="P31" s="4" t="s">
        <v>106</v>
      </c>
      <c r="Q31" s="4" t="s">
        <v>1854</v>
      </c>
      <c r="R31" s="4" t="s">
        <v>61</v>
      </c>
      <c r="S31" s="4" t="s">
        <v>62</v>
      </c>
      <c r="T31" s="6" t="e">
        <v>#N/A</v>
      </c>
      <c r="U31" s="5">
        <v>56</v>
      </c>
      <c r="V31" s="5">
        <v>62</v>
      </c>
      <c r="W31" s="5">
        <v>50</v>
      </c>
      <c r="X31" s="5">
        <v>55</v>
      </c>
      <c r="Y31" s="5">
        <v>46.81</v>
      </c>
      <c r="Z31" s="5">
        <v>63.83</v>
      </c>
      <c r="AA31" s="5">
        <v>34.04</v>
      </c>
      <c r="AB31" s="5">
        <v>21.28</v>
      </c>
      <c r="AC31" s="6">
        <v>0.45</v>
      </c>
      <c r="AD31" s="6">
        <v>0.3</v>
      </c>
      <c r="AE31" s="6">
        <v>0.25</v>
      </c>
      <c r="AF31" s="4" t="s">
        <v>6296</v>
      </c>
      <c r="AG31" s="4" t="s">
        <v>6296</v>
      </c>
      <c r="AH31" s="4" t="s">
        <v>6296</v>
      </c>
      <c r="AI31" s="4" t="s">
        <v>42</v>
      </c>
      <c r="AJ31" s="4" t="s">
        <v>6296</v>
      </c>
      <c r="AK31" s="4" t="s">
        <v>42</v>
      </c>
      <c r="AL31" s="4" t="s">
        <v>6296</v>
      </c>
      <c r="AM31" s="4" t="s">
        <v>42</v>
      </c>
      <c r="AN31" s="4" t="s">
        <v>6296</v>
      </c>
      <c r="AO31" s="4" t="s">
        <v>6296</v>
      </c>
      <c r="AP31" s="4" t="s">
        <v>5358</v>
      </c>
      <c r="AQ31" s="4" t="s">
        <v>47</v>
      </c>
    </row>
    <row r="32" spans="1:43" ht="12.6" customHeight="1" x14ac:dyDescent="0.25">
      <c r="A32" s="8" t="s">
        <v>426</v>
      </c>
      <c r="B32" s="9">
        <v>20151231</v>
      </c>
      <c r="C32" s="12">
        <f>_xll.FDS("SPX","FG_PRICE(12/30/2015)")</f>
        <v>2063.36</v>
      </c>
      <c r="D32" s="12">
        <f>_xll.FDS("SPX","FG_PRICE(12/30/2017)")</f>
        <v>2673.61</v>
      </c>
      <c r="E32" s="15">
        <f>D32/C32-1</f>
        <v>0.2957554668114144</v>
      </c>
      <c r="F32" s="8" t="s">
        <v>427</v>
      </c>
      <c r="G32" s="8" t="s">
        <v>428</v>
      </c>
      <c r="H32" s="13">
        <f>_xll.FDS(G32,"FG_PRICE(12/30/2015)")</f>
        <v>19</v>
      </c>
      <c r="I32" s="13">
        <f>_xll.FDS(G32,"FG_PRICE(12/31/2017)")</f>
        <v>25.4</v>
      </c>
      <c r="J32" s="13">
        <f>I32/H32-1</f>
        <v>0.33684210526315783</v>
      </c>
      <c r="K32" s="13">
        <f>J32-E32</f>
        <v>4.1086638451743429E-2</v>
      </c>
      <c r="L32" s="13">
        <f>_xll.FDS(G32,"FF_ROE(ANN_R,12/30/2015)")</f>
        <v>6.6333880402513126</v>
      </c>
      <c r="M32" s="8" t="s">
        <v>429</v>
      </c>
      <c r="N32" s="4" t="s">
        <v>429</v>
      </c>
      <c r="O32" s="4" t="s">
        <v>430</v>
      </c>
      <c r="P32" s="4" t="s">
        <v>96</v>
      </c>
      <c r="Q32" s="4" t="s">
        <v>81</v>
      </c>
      <c r="R32" s="4" t="s">
        <v>61</v>
      </c>
      <c r="S32" s="4" t="s">
        <v>62</v>
      </c>
      <c r="T32" s="6" t="e">
        <v>#N/A</v>
      </c>
      <c r="U32" s="5">
        <v>48</v>
      </c>
      <c r="V32" s="5">
        <v>34</v>
      </c>
      <c r="W32" s="5">
        <v>56</v>
      </c>
      <c r="X32" s="5">
        <v>53</v>
      </c>
      <c r="Y32" s="5">
        <v>23.52</v>
      </c>
      <c r="Z32" s="5">
        <v>16.86</v>
      </c>
      <c r="AA32" s="5">
        <v>11.4</v>
      </c>
      <c r="AB32" s="5">
        <v>60.1</v>
      </c>
      <c r="AC32" s="6">
        <v>0.3</v>
      </c>
      <c r="AD32" s="6">
        <v>0.35</v>
      </c>
      <c r="AE32" s="6">
        <v>0.35</v>
      </c>
      <c r="AF32" s="4" t="s">
        <v>6296</v>
      </c>
      <c r="AG32" s="4" t="s">
        <v>6296</v>
      </c>
      <c r="AH32" s="4" t="s">
        <v>6296</v>
      </c>
      <c r="AI32" s="4" t="s">
        <v>6296</v>
      </c>
      <c r="AJ32" s="4" t="s">
        <v>6296</v>
      </c>
      <c r="AK32" s="4" t="s">
        <v>42</v>
      </c>
      <c r="AL32" s="4" t="s">
        <v>42</v>
      </c>
      <c r="AM32" s="4" t="s">
        <v>6296</v>
      </c>
      <c r="AN32" s="4" t="s">
        <v>6296</v>
      </c>
      <c r="AO32" s="4" t="s">
        <v>6296</v>
      </c>
      <c r="AP32" s="4" t="s">
        <v>431</v>
      </c>
      <c r="AQ32" s="4" t="s">
        <v>47</v>
      </c>
    </row>
    <row r="33" spans="1:43" ht="12.6" customHeight="1" x14ac:dyDescent="0.25">
      <c r="A33" s="8" t="s">
        <v>1427</v>
      </c>
      <c r="B33" s="9">
        <v>20151231</v>
      </c>
      <c r="C33" s="12">
        <f>_xll.FDS("SPX","FG_PRICE(12/30/2015)")</f>
        <v>2063.36</v>
      </c>
      <c r="D33" s="12">
        <f>_xll.FDS("SPX","FG_PRICE(12/30/2017)")</f>
        <v>2673.61</v>
      </c>
      <c r="E33" s="15">
        <f>D33/C33-1</f>
        <v>0.2957554668114144</v>
      </c>
      <c r="F33" s="8" t="s">
        <v>1428</v>
      </c>
      <c r="G33" s="8" t="s">
        <v>1429</v>
      </c>
      <c r="H33" s="13">
        <f>_xll.FDS(G33,"FG_PRICE(12/30/2015)")</f>
        <v>17.05</v>
      </c>
      <c r="I33" s="13">
        <f>_xll.FDS(G33,"FG_PRICE(12/31/2017)")</f>
        <v>29.52</v>
      </c>
      <c r="J33" s="13">
        <f>I33/H33-1</f>
        <v>0.73137829912023444</v>
      </c>
      <c r="K33" s="13">
        <f>J33-E33</f>
        <v>0.43562283230882004</v>
      </c>
      <c r="L33" s="13">
        <f>_xll.FDS(G33,"FF_ROE(ANN_R,12/30/2015)")</f>
        <v>2.0300069725048089</v>
      </c>
      <c r="M33" s="8" t="s">
        <v>1430</v>
      </c>
      <c r="N33" s="4" t="s">
        <v>1430</v>
      </c>
      <c r="O33" s="4" t="s">
        <v>1431</v>
      </c>
      <c r="P33" s="4" t="s">
        <v>96</v>
      </c>
      <c r="Q33" s="4" t="s">
        <v>81</v>
      </c>
      <c r="R33" s="4" t="s">
        <v>61</v>
      </c>
      <c r="S33" s="4" t="s">
        <v>62</v>
      </c>
      <c r="T33" s="6" t="e">
        <v>#N/A</v>
      </c>
      <c r="U33" s="5">
        <v>69</v>
      </c>
      <c r="V33" s="5">
        <v>79</v>
      </c>
      <c r="W33" s="5">
        <v>68</v>
      </c>
      <c r="X33" s="5">
        <v>60</v>
      </c>
      <c r="Y33" s="5">
        <v>86.7</v>
      </c>
      <c r="Z33" s="5">
        <v>95.72</v>
      </c>
      <c r="AA33" s="5">
        <v>70.78</v>
      </c>
      <c r="AB33" s="5">
        <v>80.05</v>
      </c>
      <c r="AC33" s="6">
        <v>0.3</v>
      </c>
      <c r="AD33" s="6">
        <v>0.35</v>
      </c>
      <c r="AE33" s="6">
        <v>0.35</v>
      </c>
      <c r="AF33" s="4" t="s">
        <v>6296</v>
      </c>
      <c r="AG33" s="4" t="s">
        <v>6296</v>
      </c>
      <c r="AH33" s="4" t="s">
        <v>37</v>
      </c>
      <c r="AI33" s="4" t="s">
        <v>37</v>
      </c>
      <c r="AJ33" s="4" t="s">
        <v>6296</v>
      </c>
      <c r="AK33" s="4" t="s">
        <v>45</v>
      </c>
      <c r="AL33" s="4" t="s">
        <v>37</v>
      </c>
      <c r="AM33" s="4" t="s">
        <v>46</v>
      </c>
      <c r="AN33" s="4" t="s">
        <v>37</v>
      </c>
      <c r="AO33" s="4" t="s">
        <v>6296</v>
      </c>
      <c r="AP33" s="4" t="s">
        <v>1432</v>
      </c>
      <c r="AQ33" s="4" t="s">
        <v>47</v>
      </c>
    </row>
    <row r="34" spans="1:43" ht="12.6" customHeight="1" x14ac:dyDescent="0.25">
      <c r="A34" s="8" t="s">
        <v>3764</v>
      </c>
      <c r="B34" s="9">
        <v>20151231</v>
      </c>
      <c r="C34" s="12">
        <f>_xll.FDS("SPX","FG_PRICE(12/30/2015)")</f>
        <v>2063.36</v>
      </c>
      <c r="D34" s="12">
        <f>_xll.FDS("SPX","FG_PRICE(12/30/2017)")</f>
        <v>2673.61</v>
      </c>
      <c r="E34" s="15">
        <f>D34/C34-1</f>
        <v>0.2957554668114144</v>
      </c>
      <c r="F34" s="8" t="s">
        <v>3765</v>
      </c>
      <c r="G34" s="8" t="s">
        <v>3766</v>
      </c>
      <c r="H34" s="13">
        <f>_xll.FDS(G34,"FG_PRICE(12/30/2015)")</f>
        <v>38.17</v>
      </c>
      <c r="I34" s="13">
        <f>_xll.FDS(G34,"FG_PRICE(12/31/2017)")</f>
        <v>49.72</v>
      </c>
      <c r="J34" s="13">
        <f>I34/H34-1</f>
        <v>0.30259365994236309</v>
      </c>
      <c r="K34" s="13">
        <f>J34-E34</f>
        <v>6.8381931309486887E-3</v>
      </c>
      <c r="L34" s="13">
        <f>_xll.FDS(G34,"FF_ROE(ANN_R,12/30/2015)")</f>
        <v>9.134339766864132</v>
      </c>
      <c r="M34" s="8" t="s">
        <v>3767</v>
      </c>
      <c r="N34" s="4" t="s">
        <v>3767</v>
      </c>
      <c r="O34" s="4" t="s">
        <v>3768</v>
      </c>
      <c r="P34" s="4" t="s">
        <v>96</v>
      </c>
      <c r="Q34" s="4" t="s">
        <v>81</v>
      </c>
      <c r="R34" s="4" t="s">
        <v>61</v>
      </c>
      <c r="S34" s="4" t="s">
        <v>62</v>
      </c>
      <c r="T34" s="6" t="e">
        <v>#N/A</v>
      </c>
      <c r="U34" s="5">
        <v>47</v>
      </c>
      <c r="V34" s="5">
        <v>33</v>
      </c>
      <c r="W34" s="5">
        <v>59</v>
      </c>
      <c r="X34" s="5">
        <v>48</v>
      </c>
      <c r="Y34" s="5">
        <v>17.34</v>
      </c>
      <c r="Z34" s="5">
        <v>10.45</v>
      </c>
      <c r="AA34" s="5">
        <v>24.94</v>
      </c>
      <c r="AB34" s="5">
        <v>36.340000000000003</v>
      </c>
      <c r="AC34" s="6">
        <v>0.3</v>
      </c>
      <c r="AD34" s="6">
        <v>0.35</v>
      </c>
      <c r="AE34" s="6">
        <v>0.35</v>
      </c>
      <c r="AF34" s="4" t="s">
        <v>6296</v>
      </c>
      <c r="AG34" s="4" t="s">
        <v>6296</v>
      </c>
      <c r="AH34" s="4" t="s">
        <v>6296</v>
      </c>
      <c r="AI34" s="4" t="s">
        <v>6296</v>
      </c>
      <c r="AJ34" s="4" t="s">
        <v>6296</v>
      </c>
      <c r="AK34" s="4" t="s">
        <v>42</v>
      </c>
      <c r="AL34" s="4" t="s">
        <v>37</v>
      </c>
      <c r="AM34" s="4" t="s">
        <v>6296</v>
      </c>
      <c r="AN34" s="4" t="s">
        <v>42</v>
      </c>
      <c r="AO34" s="4" t="s">
        <v>6296</v>
      </c>
      <c r="AP34" s="4" t="s">
        <v>3769</v>
      </c>
      <c r="AQ34" s="4" t="s">
        <v>47</v>
      </c>
    </row>
    <row r="35" spans="1:43" ht="12.6" customHeight="1" x14ac:dyDescent="0.25">
      <c r="A35" s="8" t="s">
        <v>533</v>
      </c>
      <c r="B35" s="9">
        <v>20151231</v>
      </c>
      <c r="C35" s="12">
        <f>_xll.FDS("SPX","FG_PRICE(12/30/2015)")</f>
        <v>2063.36</v>
      </c>
      <c r="D35" s="12">
        <f>_xll.FDS("SPX","FG_PRICE(12/30/2017)")</f>
        <v>2673.61</v>
      </c>
      <c r="E35" s="15">
        <f>D35/C35-1</f>
        <v>0.2957554668114144</v>
      </c>
      <c r="F35" s="8" t="s">
        <v>534</v>
      </c>
      <c r="G35" s="8" t="s">
        <v>535</v>
      </c>
      <c r="H35" s="13">
        <f>_xll.FDS(G35,"FG_PRICE(12/30/2015)")</f>
        <v>63.68</v>
      </c>
      <c r="I35" s="13">
        <f>_xll.FDS(G35,"FG_PRICE(12/31/2017)")</f>
        <v>85.7</v>
      </c>
      <c r="J35" s="13">
        <f>I35/H35-1</f>
        <v>0.34579145728643224</v>
      </c>
      <c r="K35" s="13">
        <f>J35-E35</f>
        <v>5.0035990475017833E-2</v>
      </c>
      <c r="L35" s="13">
        <f>_xll.FDS(G35,"FF_ROE(ANN_R,12/30/2015)")</f>
        <v>15.775240413688611</v>
      </c>
      <c r="M35" s="8" t="s">
        <v>536</v>
      </c>
      <c r="N35" s="4" t="s">
        <v>536</v>
      </c>
      <c r="O35" s="4" t="s">
        <v>537</v>
      </c>
      <c r="P35" s="4" t="s">
        <v>96</v>
      </c>
      <c r="Q35" s="4" t="s">
        <v>81</v>
      </c>
      <c r="R35" s="4" t="s">
        <v>61</v>
      </c>
      <c r="S35" s="4" t="s">
        <v>62</v>
      </c>
      <c r="T35" s="6" t="e">
        <v>#N/A</v>
      </c>
      <c r="U35" s="5">
        <v>50</v>
      </c>
      <c r="V35" s="5">
        <v>32</v>
      </c>
      <c r="W35" s="5">
        <v>61</v>
      </c>
      <c r="X35" s="5">
        <v>54</v>
      </c>
      <c r="Y35" s="5">
        <v>36.1</v>
      </c>
      <c r="Z35" s="6">
        <v>2.14</v>
      </c>
      <c r="AA35" s="5">
        <v>37.53</v>
      </c>
      <c r="AB35" s="5">
        <v>62.71</v>
      </c>
      <c r="AC35" s="6">
        <v>0.3</v>
      </c>
      <c r="AD35" s="6">
        <v>0.35</v>
      </c>
      <c r="AE35" s="6">
        <v>0.35</v>
      </c>
      <c r="AF35" s="4" t="s">
        <v>6296</v>
      </c>
      <c r="AG35" s="4" t="s">
        <v>6296</v>
      </c>
      <c r="AH35" s="4" t="s">
        <v>6296</v>
      </c>
      <c r="AI35" s="4" t="s">
        <v>6296</v>
      </c>
      <c r="AJ35" s="4" t="s">
        <v>6296</v>
      </c>
      <c r="AK35" s="4" t="s">
        <v>6296</v>
      </c>
      <c r="AL35" s="4" t="s">
        <v>6296</v>
      </c>
      <c r="AM35" s="4" t="s">
        <v>6296</v>
      </c>
      <c r="AN35" s="4" t="s">
        <v>6296</v>
      </c>
      <c r="AO35" s="4" t="s">
        <v>6296</v>
      </c>
      <c r="AP35" s="4" t="s">
        <v>538</v>
      </c>
      <c r="AQ35" s="4" t="s">
        <v>47</v>
      </c>
    </row>
    <row r="36" spans="1:43" ht="12.6" customHeight="1" x14ac:dyDescent="0.25">
      <c r="A36" s="8" t="s">
        <v>682</v>
      </c>
      <c r="B36" s="9">
        <v>20151231</v>
      </c>
      <c r="C36" s="12">
        <f>_xll.FDS("SPX","FG_PRICE(12/30/2015)")</f>
        <v>2063.36</v>
      </c>
      <c r="D36" s="12">
        <f>_xll.FDS("SPX","FG_PRICE(12/30/2017)")</f>
        <v>2673.61</v>
      </c>
      <c r="E36" s="15">
        <f>D36/C36-1</f>
        <v>0.2957554668114144</v>
      </c>
      <c r="F36" s="8" t="s">
        <v>683</v>
      </c>
      <c r="G36" s="8" t="s">
        <v>684</v>
      </c>
      <c r="H36" s="13">
        <f>_xll.FDS(G36,"FG_PRICE(12/30/2015)")</f>
        <v>60.4</v>
      </c>
      <c r="I36" s="13">
        <f>_xll.FDS(G36,"FG_PRICE(12/31/2017)")</f>
        <v>92.32</v>
      </c>
      <c r="J36" s="13">
        <f>I36/H36-1</f>
        <v>0.52847682119205297</v>
      </c>
      <c r="K36" s="13">
        <f>J36-E36</f>
        <v>0.23272135438063857</v>
      </c>
      <c r="L36" s="13">
        <f>_xll.FDS(G36,"FF_ROE(ANN_R,12/30/2015)")</f>
        <v>9.1485469995704047</v>
      </c>
      <c r="M36" s="8" t="s">
        <v>685</v>
      </c>
      <c r="N36" s="4" t="s">
        <v>685</v>
      </c>
      <c r="O36" s="4" t="s">
        <v>686</v>
      </c>
      <c r="P36" s="4" t="s">
        <v>106</v>
      </c>
      <c r="Q36" s="4" t="s">
        <v>81</v>
      </c>
      <c r="R36" s="4" t="s">
        <v>61</v>
      </c>
      <c r="S36" s="4" t="s">
        <v>62</v>
      </c>
      <c r="T36" s="6" t="e">
        <v>#N/A</v>
      </c>
      <c r="U36" s="5">
        <v>51</v>
      </c>
      <c r="V36" s="5">
        <v>39</v>
      </c>
      <c r="W36" s="5">
        <v>62</v>
      </c>
      <c r="X36" s="5">
        <v>50</v>
      </c>
      <c r="Y36" s="5">
        <v>42.76</v>
      </c>
      <c r="Z36" s="5">
        <v>37.770000000000003</v>
      </c>
      <c r="AA36" s="5">
        <v>47.51</v>
      </c>
      <c r="AB36" s="5">
        <v>45.37</v>
      </c>
      <c r="AC36" s="6">
        <v>0.3</v>
      </c>
      <c r="AD36" s="6">
        <v>0.35</v>
      </c>
      <c r="AE36" s="6">
        <v>0.35</v>
      </c>
      <c r="AF36" s="4" t="s">
        <v>6296</v>
      </c>
      <c r="AG36" s="4" t="s">
        <v>6296</v>
      </c>
      <c r="AH36" s="4" t="s">
        <v>6296</v>
      </c>
      <c r="AI36" s="4" t="s">
        <v>42</v>
      </c>
      <c r="AJ36" s="4" t="s">
        <v>6296</v>
      </c>
      <c r="AK36" s="4" t="s">
        <v>6296</v>
      </c>
      <c r="AL36" s="4" t="s">
        <v>6296</v>
      </c>
      <c r="AM36" s="4" t="s">
        <v>6296</v>
      </c>
      <c r="AN36" s="4" t="s">
        <v>6296</v>
      </c>
      <c r="AO36" s="4" t="s">
        <v>6296</v>
      </c>
      <c r="AP36" s="4" t="s">
        <v>687</v>
      </c>
      <c r="AQ36" s="4" t="s">
        <v>47</v>
      </c>
    </row>
    <row r="37" spans="1:43" ht="12.6" customHeight="1" x14ac:dyDescent="0.25">
      <c r="A37" s="8" t="s">
        <v>5564</v>
      </c>
      <c r="B37" s="9">
        <v>20151231</v>
      </c>
      <c r="C37" s="12">
        <f>_xll.FDS("SPX","FG_PRICE(12/30/2015)")</f>
        <v>2063.36</v>
      </c>
      <c r="D37" s="12">
        <f>_xll.FDS("SPX","FG_PRICE(12/30/2017)")</f>
        <v>2673.61</v>
      </c>
      <c r="E37" s="15">
        <f>D37/C37-1</f>
        <v>0.2957554668114144</v>
      </c>
      <c r="F37" s="8" t="s">
        <v>5565</v>
      </c>
      <c r="G37" s="8" t="s">
        <v>5566</v>
      </c>
      <c r="H37" s="13">
        <f>_xll.FDS(G37,"FG_PRICE(12/30/2015)")</f>
        <v>28.53</v>
      </c>
      <c r="I37" s="13">
        <f>_xll.FDS(G37,"FG_PRICE(12/31/2017)")</f>
        <v>35.49</v>
      </c>
      <c r="J37" s="13">
        <f>I37/H37-1</f>
        <v>0.24395373291272349</v>
      </c>
      <c r="K37" s="13">
        <f>J37-E37</f>
        <v>-5.1801733898690916E-2</v>
      </c>
      <c r="L37" s="13">
        <f>_xll.FDS(G37,"FF_ROE(ANN_R,12/30/2015)")</f>
        <v>-4.2842371287358052</v>
      </c>
      <c r="M37" s="8" t="s">
        <v>5567</v>
      </c>
      <c r="N37" s="4" t="s">
        <v>5568</v>
      </c>
      <c r="O37" s="4" t="s">
        <v>5569</v>
      </c>
      <c r="P37" s="4" t="s">
        <v>106</v>
      </c>
      <c r="Q37" s="4" t="s">
        <v>81</v>
      </c>
      <c r="R37" s="4" t="s">
        <v>61</v>
      </c>
      <c r="S37" s="4" t="s">
        <v>62</v>
      </c>
      <c r="T37" s="6" t="e">
        <v>#N/A</v>
      </c>
      <c r="U37" s="5">
        <v>50</v>
      </c>
      <c r="V37" s="5">
        <v>32</v>
      </c>
      <c r="W37" s="5">
        <v>66</v>
      </c>
      <c r="X37" s="5">
        <v>51</v>
      </c>
      <c r="Y37" s="5">
        <v>36.1</v>
      </c>
      <c r="Z37" s="6">
        <v>2.14</v>
      </c>
      <c r="AA37" s="5">
        <v>64.849999999999994</v>
      </c>
      <c r="AB37" s="5">
        <v>50.36</v>
      </c>
      <c r="AC37" s="6">
        <v>0.3</v>
      </c>
      <c r="AD37" s="6">
        <v>0.35</v>
      </c>
      <c r="AE37" s="6">
        <v>0.35</v>
      </c>
      <c r="AF37" s="4" t="s">
        <v>6296</v>
      </c>
      <c r="AG37" s="4" t="s">
        <v>6296</v>
      </c>
      <c r="AH37" s="4" t="s">
        <v>6296</v>
      </c>
      <c r="AI37" s="4" t="s">
        <v>6296</v>
      </c>
      <c r="AJ37" s="4" t="s">
        <v>6296</v>
      </c>
      <c r="AK37" s="4" t="s">
        <v>6296</v>
      </c>
      <c r="AL37" s="4" t="s">
        <v>6296</v>
      </c>
      <c r="AM37" s="4" t="s">
        <v>6296</v>
      </c>
      <c r="AN37" s="4" t="s">
        <v>6296</v>
      </c>
      <c r="AO37" s="4" t="s">
        <v>6296</v>
      </c>
      <c r="AP37" s="4" t="s">
        <v>5570</v>
      </c>
      <c r="AQ37" s="4" t="s">
        <v>47</v>
      </c>
    </row>
    <row r="38" spans="1:43" ht="12.6" customHeight="1" x14ac:dyDescent="0.25">
      <c r="A38" s="8" t="s">
        <v>539</v>
      </c>
      <c r="B38" s="9">
        <v>20151231</v>
      </c>
      <c r="C38" s="12">
        <f>_xll.FDS("SPX","FG_PRICE(12/30/2015)")</f>
        <v>2063.36</v>
      </c>
      <c r="D38" s="12">
        <f>_xll.FDS("SPX","FG_PRICE(12/30/2017)")</f>
        <v>2673.61</v>
      </c>
      <c r="E38" s="15">
        <f>D38/C38-1</f>
        <v>0.2957554668114144</v>
      </c>
      <c r="F38" s="8" t="s">
        <v>540</v>
      </c>
      <c r="G38" s="8" t="s">
        <v>541</v>
      </c>
      <c r="H38" s="13">
        <f>_xll.FDS(G38,"FG_PRICE(12/30/2015)")</f>
        <v>24.41</v>
      </c>
      <c r="I38" s="13">
        <f>_xll.FDS(G38,"FG_PRICE(12/31/2017)")</f>
        <v>31.45</v>
      </c>
      <c r="J38" s="13">
        <f>I38/H38-1</f>
        <v>0.28840639082343289</v>
      </c>
      <c r="K38" s="13">
        <f>J38-E38</f>
        <v>-7.3490759879815126E-3</v>
      </c>
      <c r="L38" s="13">
        <f>_xll.FDS(G38,"FF_ROE(ANN_R,12/30/2015)")</f>
        <v>7.4859202183644529</v>
      </c>
      <c r="M38" s="8" t="s">
        <v>542</v>
      </c>
      <c r="N38" s="4" t="s">
        <v>543</v>
      </c>
      <c r="O38" s="4" t="s">
        <v>544</v>
      </c>
      <c r="P38" s="4" t="s">
        <v>96</v>
      </c>
      <c r="Q38" s="4" t="s">
        <v>81</v>
      </c>
      <c r="R38" s="4" t="s">
        <v>61</v>
      </c>
      <c r="S38" s="4" t="s">
        <v>62</v>
      </c>
      <c r="T38" s="6" t="e">
        <v>#N/A</v>
      </c>
      <c r="U38" s="5">
        <v>43</v>
      </c>
      <c r="V38" s="5">
        <v>32</v>
      </c>
      <c r="W38" s="5">
        <v>56</v>
      </c>
      <c r="X38" s="5">
        <v>40</v>
      </c>
      <c r="Y38" s="6">
        <v>1.9</v>
      </c>
      <c r="Z38" s="6">
        <v>2.14</v>
      </c>
      <c r="AA38" s="5">
        <v>11.4</v>
      </c>
      <c r="AB38" s="6">
        <v>4.99</v>
      </c>
      <c r="AC38" s="6">
        <v>0.3</v>
      </c>
      <c r="AD38" s="6">
        <v>0.35</v>
      </c>
      <c r="AE38" s="6">
        <v>0.35</v>
      </c>
      <c r="AF38" s="4" t="s">
        <v>6296</v>
      </c>
      <c r="AG38" s="4" t="s">
        <v>6296</v>
      </c>
      <c r="AH38" s="4" t="s">
        <v>6296</v>
      </c>
      <c r="AI38" s="4" t="s">
        <v>6296</v>
      </c>
      <c r="AJ38" s="4" t="s">
        <v>6296</v>
      </c>
      <c r="AK38" s="4" t="s">
        <v>6296</v>
      </c>
      <c r="AL38" s="4" t="s">
        <v>6296</v>
      </c>
      <c r="AM38" s="4" t="s">
        <v>6296</v>
      </c>
      <c r="AN38" s="4" t="s">
        <v>42</v>
      </c>
      <c r="AO38" s="4" t="s">
        <v>6296</v>
      </c>
      <c r="AP38" s="4" t="s">
        <v>545</v>
      </c>
      <c r="AQ38" s="4" t="s">
        <v>47</v>
      </c>
    </row>
    <row r="39" spans="1:43" ht="12.6" customHeight="1" x14ac:dyDescent="0.25">
      <c r="A39" s="8" t="s">
        <v>1113</v>
      </c>
      <c r="B39" s="9">
        <v>20151231</v>
      </c>
      <c r="C39" s="12">
        <f>_xll.FDS("SPX","FG_PRICE(12/30/2015)")</f>
        <v>2063.36</v>
      </c>
      <c r="D39" s="12">
        <f>_xll.FDS("SPX","FG_PRICE(12/30/2017)")</f>
        <v>2673.61</v>
      </c>
      <c r="E39" s="15">
        <f>D39/C39-1</f>
        <v>0.2957554668114144</v>
      </c>
      <c r="F39" s="8" t="s">
        <v>1114</v>
      </c>
      <c r="G39" s="8" t="s">
        <v>1115</v>
      </c>
      <c r="H39" s="13">
        <f>_xll.FDS(G39,"FG_PRICE(12/30/2015)")</f>
        <v>39.111109999999996</v>
      </c>
      <c r="I39" s="13">
        <f>_xll.FDS(G39,"FG_PRICE(12/31/2017)")</f>
        <v>55.84</v>
      </c>
      <c r="J39" s="13">
        <f>I39/H39-1</f>
        <v>0.42772731328770797</v>
      </c>
      <c r="K39" s="13">
        <f>J39-E39</f>
        <v>0.13197184647629356</v>
      </c>
      <c r="L39" s="13">
        <f>_xll.FDS(G39,"FF_ROE(ANN_R,12/30/2015)")</f>
        <v>11.382135664475809</v>
      </c>
      <c r="M39" s="8" t="s">
        <v>1116</v>
      </c>
      <c r="N39" s="4" t="s">
        <v>1117</v>
      </c>
      <c r="O39" s="4" t="s">
        <v>1118</v>
      </c>
      <c r="P39" s="4" t="s">
        <v>106</v>
      </c>
      <c r="Q39" s="4" t="s">
        <v>81</v>
      </c>
      <c r="R39" s="4" t="s">
        <v>61</v>
      </c>
      <c r="S39" s="4" t="s">
        <v>62</v>
      </c>
      <c r="T39" s="6" t="e">
        <v>#N/A</v>
      </c>
      <c r="U39" s="5">
        <v>51</v>
      </c>
      <c r="V39" s="5">
        <v>34</v>
      </c>
      <c r="W39" s="5">
        <v>65</v>
      </c>
      <c r="X39" s="5">
        <v>52</v>
      </c>
      <c r="Y39" s="5">
        <v>42.76</v>
      </c>
      <c r="Z39" s="5">
        <v>16.86</v>
      </c>
      <c r="AA39" s="5">
        <v>59.62</v>
      </c>
      <c r="AB39" s="5">
        <v>54.63</v>
      </c>
      <c r="AC39" s="6">
        <v>0.3</v>
      </c>
      <c r="AD39" s="6">
        <v>0.35</v>
      </c>
      <c r="AE39" s="6">
        <v>0.35</v>
      </c>
      <c r="AF39" s="4" t="s">
        <v>6296</v>
      </c>
      <c r="AG39" s="4" t="s">
        <v>6296</v>
      </c>
      <c r="AH39" s="4" t="s">
        <v>6296</v>
      </c>
      <c r="AI39" s="4" t="s">
        <v>6296</v>
      </c>
      <c r="AJ39" s="4" t="s">
        <v>6296</v>
      </c>
      <c r="AK39" s="4" t="s">
        <v>6296</v>
      </c>
      <c r="AL39" s="4" t="s">
        <v>6296</v>
      </c>
      <c r="AM39" s="4" t="s">
        <v>6296</v>
      </c>
      <c r="AN39" s="4" t="s">
        <v>6296</v>
      </c>
      <c r="AO39" s="4" t="s">
        <v>6296</v>
      </c>
      <c r="AP39" s="4" t="s">
        <v>1119</v>
      </c>
      <c r="AQ39" s="4" t="s">
        <v>47</v>
      </c>
    </row>
    <row r="40" spans="1:43" ht="12.6" customHeight="1" x14ac:dyDescent="0.25">
      <c r="A40" s="8" t="s">
        <v>5064</v>
      </c>
      <c r="B40" s="9">
        <v>20151231</v>
      </c>
      <c r="C40" s="12">
        <f>_xll.FDS("SPX","FG_PRICE(12/30/2015)")</f>
        <v>2063.36</v>
      </c>
      <c r="D40" s="12">
        <f>_xll.FDS("SPX","FG_PRICE(12/30/2017)")</f>
        <v>2673.61</v>
      </c>
      <c r="E40" s="15">
        <f>D40/C40-1</f>
        <v>0.2957554668114144</v>
      </c>
      <c r="F40" s="8" t="s">
        <v>5065</v>
      </c>
      <c r="G40" s="8" t="s">
        <v>5066</v>
      </c>
      <c r="H40" s="13">
        <f>_xll.FDS(G40,"FG_PRICE(12/30/2015)")</f>
        <v>12.8</v>
      </c>
      <c r="I40" s="13">
        <f>_xll.FDS(G40,"FG_PRICE(12/31/2017)")</f>
        <v>13.41</v>
      </c>
      <c r="J40" s="13">
        <f>I40/H40-1</f>
        <v>4.7656249999999956E-2</v>
      </c>
      <c r="K40" s="13">
        <f>J40-E40</f>
        <v>-0.24809921681141445</v>
      </c>
      <c r="L40" s="13">
        <f>_xll.FDS(G40,"FF_ROE(ANN_R,12/30/2015)")</f>
        <v>5.3608872547873787</v>
      </c>
      <c r="M40" s="8" t="s">
        <v>5067</v>
      </c>
      <c r="N40" s="4" t="s">
        <v>5068</v>
      </c>
      <c r="O40" s="4" t="s">
        <v>5069</v>
      </c>
      <c r="P40" s="4" t="s">
        <v>106</v>
      </c>
      <c r="Q40" s="4" t="s">
        <v>81</v>
      </c>
      <c r="R40" s="4" t="s">
        <v>61</v>
      </c>
      <c r="S40" s="4" t="s">
        <v>62</v>
      </c>
      <c r="T40" s="6" t="e">
        <v>#N/A</v>
      </c>
      <c r="U40" s="5">
        <v>50</v>
      </c>
      <c r="V40" s="5">
        <v>32</v>
      </c>
      <c r="W40" s="5">
        <v>61</v>
      </c>
      <c r="X40" s="5">
        <v>54</v>
      </c>
      <c r="Y40" s="5">
        <v>36.1</v>
      </c>
      <c r="Z40" s="6">
        <v>2.14</v>
      </c>
      <c r="AA40" s="5">
        <v>37.53</v>
      </c>
      <c r="AB40" s="5">
        <v>62.71</v>
      </c>
      <c r="AC40" s="6">
        <v>0.3</v>
      </c>
      <c r="AD40" s="6">
        <v>0.35</v>
      </c>
      <c r="AE40" s="6">
        <v>0.35</v>
      </c>
      <c r="AF40" s="4" t="s">
        <v>6296</v>
      </c>
      <c r="AG40" s="4" t="s">
        <v>6296</v>
      </c>
      <c r="AH40" s="4" t="s">
        <v>6296</v>
      </c>
      <c r="AI40" s="4" t="s">
        <v>6296</v>
      </c>
      <c r="AJ40" s="4" t="s">
        <v>6296</v>
      </c>
      <c r="AK40" s="4" t="s">
        <v>6296</v>
      </c>
      <c r="AL40" s="4" t="s">
        <v>6296</v>
      </c>
      <c r="AM40" s="4" t="s">
        <v>6296</v>
      </c>
      <c r="AN40" s="4" t="s">
        <v>6296</v>
      </c>
      <c r="AO40" s="4" t="s">
        <v>6296</v>
      </c>
      <c r="AP40" s="4" t="s">
        <v>5070</v>
      </c>
      <c r="AQ40" s="4" t="s">
        <v>47</v>
      </c>
    </row>
    <row r="41" spans="1:43" ht="12.6" customHeight="1" x14ac:dyDescent="0.25">
      <c r="A41" s="8" t="s">
        <v>5963</v>
      </c>
      <c r="B41" s="9">
        <v>20151231</v>
      </c>
      <c r="C41" s="12">
        <f>_xll.FDS("SPX","FG_PRICE(12/30/2015)")</f>
        <v>2063.36</v>
      </c>
      <c r="D41" s="12">
        <f>_xll.FDS("SPX","FG_PRICE(12/30/2017)")</f>
        <v>2673.61</v>
      </c>
      <c r="E41" s="15">
        <f>D41/C41-1</f>
        <v>0.2957554668114144</v>
      </c>
      <c r="F41" s="8" t="s">
        <v>5964</v>
      </c>
      <c r="G41" s="8" t="s">
        <v>5965</v>
      </c>
      <c r="H41" s="13">
        <f>_xll.FDS(G41,"FG_PRICE(12/30/2015)")</f>
        <v>26.3</v>
      </c>
      <c r="I41" s="13">
        <f>_xll.FDS(G41,"FG_PRICE(12/31/2017)")</f>
        <v>41.98</v>
      </c>
      <c r="J41" s="13">
        <f>I41/H41-1</f>
        <v>0.59619771863117865</v>
      </c>
      <c r="K41" s="13">
        <f>J41-E41</f>
        <v>0.30044225181976425</v>
      </c>
      <c r="L41" s="13">
        <f>_xll.FDS(G41,"FF_ROE(ANN_R,12/30/2015)")</f>
        <v>4.4977121464226304</v>
      </c>
      <c r="M41" s="8" t="s">
        <v>5966</v>
      </c>
      <c r="N41" s="4" t="s">
        <v>5967</v>
      </c>
      <c r="O41" s="4" t="s">
        <v>5968</v>
      </c>
      <c r="P41" s="4" t="s">
        <v>96</v>
      </c>
      <c r="Q41" s="4" t="s">
        <v>81</v>
      </c>
      <c r="R41" s="4" t="s">
        <v>61</v>
      </c>
      <c r="S41" s="4" t="s">
        <v>62</v>
      </c>
      <c r="T41" s="6" t="e">
        <v>#N/A</v>
      </c>
      <c r="U41" s="5">
        <v>48</v>
      </c>
      <c r="V41" s="5">
        <v>37</v>
      </c>
      <c r="W41" s="5">
        <v>57</v>
      </c>
      <c r="X41" s="5">
        <v>50</v>
      </c>
      <c r="Y41" s="5">
        <v>23.52</v>
      </c>
      <c r="Z41" s="5">
        <v>29.22</v>
      </c>
      <c r="AA41" s="5">
        <v>18.29</v>
      </c>
      <c r="AB41" s="5">
        <v>45.37</v>
      </c>
      <c r="AC41" s="6">
        <v>0.3</v>
      </c>
      <c r="AD41" s="6">
        <v>0.35</v>
      </c>
      <c r="AE41" s="6">
        <v>0.35</v>
      </c>
      <c r="AF41" s="4" t="s">
        <v>6296</v>
      </c>
      <c r="AG41" s="4" t="s">
        <v>6296</v>
      </c>
      <c r="AH41" s="4" t="s">
        <v>6296</v>
      </c>
      <c r="AI41" s="4" t="s">
        <v>6296</v>
      </c>
      <c r="AJ41" s="4" t="s">
        <v>6296</v>
      </c>
      <c r="AK41" s="4" t="s">
        <v>37</v>
      </c>
      <c r="AL41" s="4" t="s">
        <v>6296</v>
      </c>
      <c r="AM41" s="4" t="s">
        <v>6296</v>
      </c>
      <c r="AN41" s="4" t="s">
        <v>6296</v>
      </c>
      <c r="AO41" s="4" t="s">
        <v>6296</v>
      </c>
      <c r="AP41" s="4" t="s">
        <v>5969</v>
      </c>
      <c r="AQ41" s="4" t="s">
        <v>47</v>
      </c>
    </row>
    <row r="42" spans="1:43" ht="12.6" customHeight="1" x14ac:dyDescent="0.25">
      <c r="A42" s="8" t="s">
        <v>1226</v>
      </c>
      <c r="B42" s="9">
        <v>20151231</v>
      </c>
      <c r="C42" s="12">
        <f>_xll.FDS("SPX","FG_PRICE(12/30/2015)")</f>
        <v>2063.36</v>
      </c>
      <c r="D42" s="12">
        <f>_xll.FDS("SPX","FG_PRICE(12/30/2017)")</f>
        <v>2673.61</v>
      </c>
      <c r="E42" s="15">
        <f>D42/C42-1</f>
        <v>0.2957554668114144</v>
      </c>
      <c r="F42" s="8" t="s">
        <v>1227</v>
      </c>
      <c r="G42" s="8" t="s">
        <v>1228</v>
      </c>
      <c r="H42" s="13">
        <f>_xll.FDS(G42,"FG_PRICE(12/30/2015)")</f>
        <v>61.02</v>
      </c>
      <c r="I42" s="13">
        <f>_xll.FDS(G42,"FG_PRICE(12/31/2017)")</f>
        <v>94.65</v>
      </c>
      <c r="J42" s="13">
        <f>I42/H42-1</f>
        <v>0.55113077679449352</v>
      </c>
      <c r="K42" s="13">
        <f>J42-E42</f>
        <v>0.25537530998307911</v>
      </c>
      <c r="L42" s="13">
        <f>_xll.FDS(G42,"FF_ROE(ANN_R,12/30/2015)")</f>
        <v>10.32420822862238</v>
      </c>
      <c r="M42" s="8" t="s">
        <v>1229</v>
      </c>
      <c r="N42" s="4" t="s">
        <v>1230</v>
      </c>
      <c r="O42" s="4" t="s">
        <v>1231</v>
      </c>
      <c r="P42" s="4" t="s">
        <v>96</v>
      </c>
      <c r="Q42" s="4" t="s">
        <v>81</v>
      </c>
      <c r="R42" s="4" t="s">
        <v>61</v>
      </c>
      <c r="S42" s="4" t="s">
        <v>62</v>
      </c>
      <c r="T42" s="6" t="e">
        <v>#N/A</v>
      </c>
      <c r="U42" s="5">
        <v>48</v>
      </c>
      <c r="V42" s="5">
        <v>32</v>
      </c>
      <c r="W42" s="5">
        <v>61</v>
      </c>
      <c r="X42" s="5">
        <v>48</v>
      </c>
      <c r="Y42" s="5">
        <v>23.52</v>
      </c>
      <c r="Z42" s="6">
        <v>2.14</v>
      </c>
      <c r="AA42" s="5">
        <v>37.53</v>
      </c>
      <c r="AB42" s="5">
        <v>36.340000000000003</v>
      </c>
      <c r="AC42" s="6">
        <v>0.3</v>
      </c>
      <c r="AD42" s="6">
        <v>0.35</v>
      </c>
      <c r="AE42" s="6">
        <v>0.35</v>
      </c>
      <c r="AF42" s="4" t="s">
        <v>6296</v>
      </c>
      <c r="AG42" s="4" t="s">
        <v>6296</v>
      </c>
      <c r="AH42" s="4" t="s">
        <v>6296</v>
      </c>
      <c r="AI42" s="4" t="s">
        <v>6296</v>
      </c>
      <c r="AJ42" s="4" t="s">
        <v>6296</v>
      </c>
      <c r="AK42" s="4" t="s">
        <v>6296</v>
      </c>
      <c r="AL42" s="4" t="s">
        <v>6296</v>
      </c>
      <c r="AM42" s="4" t="s">
        <v>6296</v>
      </c>
      <c r="AN42" s="4" t="s">
        <v>6296</v>
      </c>
      <c r="AO42" s="4" t="s">
        <v>6296</v>
      </c>
      <c r="AP42" s="4" t="s">
        <v>1232</v>
      </c>
      <c r="AQ42" s="4" t="s">
        <v>47</v>
      </c>
    </row>
    <row r="43" spans="1:43" ht="12.6" customHeight="1" x14ac:dyDescent="0.25">
      <c r="A43" s="8" t="s">
        <v>5252</v>
      </c>
      <c r="B43" s="9">
        <v>20151231</v>
      </c>
      <c r="C43" s="12">
        <f>_xll.FDS("SPX","FG_PRICE(12/30/2015)")</f>
        <v>2063.36</v>
      </c>
      <c r="D43" s="12">
        <f>_xll.FDS("SPX","FG_PRICE(12/30/2017)")</f>
        <v>2673.61</v>
      </c>
      <c r="E43" s="15">
        <f>D43/C43-1</f>
        <v>0.2957554668114144</v>
      </c>
      <c r="F43" s="8" t="s">
        <v>5253</v>
      </c>
      <c r="G43" s="8" t="s">
        <v>5254</v>
      </c>
      <c r="H43" s="13">
        <f>_xll.FDS(G43,"FG_PRICE(12/30/2015)")</f>
        <v>39.979999999999997</v>
      </c>
      <c r="I43" s="13">
        <f>_xll.FDS(G43,"FG_PRICE(12/31/2017)")</f>
        <v>49.23</v>
      </c>
      <c r="J43" s="13">
        <f>I43/H43-1</f>
        <v>0.23136568284142078</v>
      </c>
      <c r="K43" s="13">
        <f>J43-E43</f>
        <v>-6.4389783969993619E-2</v>
      </c>
      <c r="L43" s="13">
        <f>_xll.FDS(G43,"FF_ROE(ANN_R,12/30/2015)")</f>
        <v>12.03392953869006</v>
      </c>
      <c r="M43" s="8" t="s">
        <v>5255</v>
      </c>
      <c r="N43" s="4" t="s">
        <v>5255</v>
      </c>
      <c r="O43" s="4" t="s">
        <v>5256</v>
      </c>
      <c r="P43" s="4" t="s">
        <v>96</v>
      </c>
      <c r="Q43" s="4" t="s">
        <v>81</v>
      </c>
      <c r="R43" s="4" t="s">
        <v>61</v>
      </c>
      <c r="S43" s="4" t="s">
        <v>62</v>
      </c>
      <c r="T43" s="6" t="e">
        <v>#N/A</v>
      </c>
      <c r="U43" s="5">
        <v>48</v>
      </c>
      <c r="V43" s="5">
        <v>33</v>
      </c>
      <c r="W43" s="5">
        <v>59</v>
      </c>
      <c r="X43" s="5">
        <v>50</v>
      </c>
      <c r="Y43" s="5">
        <v>23.52</v>
      </c>
      <c r="Z43" s="5">
        <v>10.45</v>
      </c>
      <c r="AA43" s="5">
        <v>24.94</v>
      </c>
      <c r="AB43" s="5">
        <v>45.37</v>
      </c>
      <c r="AC43" s="6">
        <v>0.3</v>
      </c>
      <c r="AD43" s="6">
        <v>0.35</v>
      </c>
      <c r="AE43" s="6">
        <v>0.35</v>
      </c>
      <c r="AF43" s="4" t="s">
        <v>6296</v>
      </c>
      <c r="AG43" s="4" t="s">
        <v>6296</v>
      </c>
      <c r="AH43" s="4" t="s">
        <v>6296</v>
      </c>
      <c r="AI43" s="4" t="s">
        <v>6296</v>
      </c>
      <c r="AJ43" s="4" t="s">
        <v>6296</v>
      </c>
      <c r="AK43" s="4" t="s">
        <v>6296</v>
      </c>
      <c r="AL43" s="4" t="s">
        <v>6296</v>
      </c>
      <c r="AM43" s="4" t="s">
        <v>6296</v>
      </c>
      <c r="AN43" s="4" t="s">
        <v>6296</v>
      </c>
      <c r="AO43" s="4" t="s">
        <v>6296</v>
      </c>
      <c r="AP43" s="4" t="s">
        <v>5257</v>
      </c>
      <c r="AQ43" s="4" t="s">
        <v>47</v>
      </c>
    </row>
    <row r="44" spans="1:43" ht="12.6" customHeight="1" x14ac:dyDescent="0.25">
      <c r="A44" s="8" t="s">
        <v>1100</v>
      </c>
      <c r="B44" s="9">
        <v>20151231</v>
      </c>
      <c r="C44" s="12">
        <f>_xll.FDS("SPX","FG_PRICE(12/30/2015)")</f>
        <v>2063.36</v>
      </c>
      <c r="D44" s="12">
        <f>_xll.FDS("SPX","FG_PRICE(12/30/2017)")</f>
        <v>2673.61</v>
      </c>
      <c r="E44" s="15">
        <f>D44/C44-1</f>
        <v>0.2957554668114144</v>
      </c>
      <c r="F44" s="8" t="s">
        <v>1101</v>
      </c>
      <c r="G44" s="8" t="s">
        <v>1102</v>
      </c>
      <c r="H44" s="13">
        <f>_xll.FDS(G44,"FG_PRICE(12/30/2015)")</f>
        <v>41.98</v>
      </c>
      <c r="I44" s="13">
        <f>_xll.FDS(G44,"FG_PRICE(12/31/2017)")</f>
        <v>86.81</v>
      </c>
      <c r="J44" s="13">
        <f>I44/H44-1</f>
        <v>1.067889471176751</v>
      </c>
      <c r="K44" s="13">
        <f>J44-E44</f>
        <v>0.77213400436533663</v>
      </c>
      <c r="L44" s="13">
        <f>_xll.FDS(G44,"FF_ROE(ANN_R,12/30/2015)")</f>
        <v>8.0522157334249407</v>
      </c>
      <c r="M44" s="8" t="s">
        <v>1103</v>
      </c>
      <c r="N44" s="4" t="s">
        <v>1103</v>
      </c>
      <c r="O44" s="4" t="s">
        <v>1104</v>
      </c>
      <c r="P44" s="4" t="s">
        <v>96</v>
      </c>
      <c r="Q44" s="4" t="s">
        <v>81</v>
      </c>
      <c r="R44" s="4" t="s">
        <v>61</v>
      </c>
      <c r="S44" s="4" t="s">
        <v>62</v>
      </c>
      <c r="T44" s="6" t="e">
        <v>#N/A</v>
      </c>
      <c r="U44" s="5">
        <v>62</v>
      </c>
      <c r="V44" s="5">
        <v>60</v>
      </c>
      <c r="W44" s="5">
        <v>70</v>
      </c>
      <c r="X44" s="5">
        <v>55</v>
      </c>
      <c r="Y44" s="5">
        <v>74.819999999999993</v>
      </c>
      <c r="Z44" s="5">
        <v>77.2</v>
      </c>
      <c r="AA44" s="5">
        <v>75.06</v>
      </c>
      <c r="AB44" s="5">
        <v>64.849999999999994</v>
      </c>
      <c r="AC44" s="6">
        <v>0.3</v>
      </c>
      <c r="AD44" s="6">
        <v>0.35</v>
      </c>
      <c r="AE44" s="6">
        <v>0.35</v>
      </c>
      <c r="AF44" s="4" t="s">
        <v>6296</v>
      </c>
      <c r="AG44" s="4" t="s">
        <v>6296</v>
      </c>
      <c r="AH44" s="4" t="s">
        <v>6296</v>
      </c>
      <c r="AI44" s="4" t="s">
        <v>6296</v>
      </c>
      <c r="AJ44" s="4" t="s">
        <v>6296</v>
      </c>
      <c r="AK44" s="4" t="s">
        <v>6296</v>
      </c>
      <c r="AL44" s="4" t="s">
        <v>37</v>
      </c>
      <c r="AM44" s="4" t="s">
        <v>6296</v>
      </c>
      <c r="AN44" s="4" t="s">
        <v>6296</v>
      </c>
      <c r="AO44" s="4" t="s">
        <v>6296</v>
      </c>
      <c r="AP44" s="4" t="s">
        <v>1105</v>
      </c>
      <c r="AQ44" s="4" t="s">
        <v>47</v>
      </c>
    </row>
    <row r="45" spans="1:43" ht="12.6" customHeight="1" x14ac:dyDescent="0.25">
      <c r="A45" s="8" t="s">
        <v>1433</v>
      </c>
      <c r="B45" s="9">
        <v>20151231</v>
      </c>
      <c r="C45" s="12">
        <f>_xll.FDS("SPX","FG_PRICE(12/30/2015)")</f>
        <v>2063.36</v>
      </c>
      <c r="D45" s="12">
        <f>_xll.FDS("SPX","FG_PRICE(12/30/2017)")</f>
        <v>2673.61</v>
      </c>
      <c r="E45" s="15">
        <f>D45/C45-1</f>
        <v>0.2957554668114144</v>
      </c>
      <c r="F45" s="8" t="s">
        <v>1434</v>
      </c>
      <c r="G45" s="8" t="s">
        <v>1435</v>
      </c>
      <c r="H45" s="13">
        <f>_xll.FDS(G45,"FG_PRICE(12/30/2015)")</f>
        <v>52.3</v>
      </c>
      <c r="I45" s="13">
        <f>_xll.FDS(G45,"FG_PRICE(12/31/2017)")</f>
        <v>74.41</v>
      </c>
      <c r="J45" s="13">
        <f>I45/H45-1</f>
        <v>0.4227533460803059</v>
      </c>
      <c r="K45" s="13">
        <f>J45-E45</f>
        <v>0.1269978792688915</v>
      </c>
      <c r="L45" s="13">
        <f>_xll.FDS(G45,"FF_ROE(ANN_R,12/30/2015)")</f>
        <v>3.4743464793353338</v>
      </c>
      <c r="M45" s="8" t="s">
        <v>1436</v>
      </c>
      <c r="N45" s="4" t="s">
        <v>1436</v>
      </c>
      <c r="O45" s="4" t="s">
        <v>1437</v>
      </c>
      <c r="P45" s="4" t="s">
        <v>96</v>
      </c>
      <c r="Q45" s="4" t="s">
        <v>81</v>
      </c>
      <c r="R45" s="4" t="s">
        <v>61</v>
      </c>
      <c r="S45" s="4" t="s">
        <v>62</v>
      </c>
      <c r="T45" s="6" t="e">
        <v>#N/A</v>
      </c>
      <c r="U45" s="5">
        <v>67</v>
      </c>
      <c r="V45" s="5">
        <v>70</v>
      </c>
      <c r="W45" s="5">
        <v>72</v>
      </c>
      <c r="X45" s="5">
        <v>59</v>
      </c>
      <c r="Y45" s="5">
        <v>84.56</v>
      </c>
      <c r="Z45" s="5">
        <v>87.41</v>
      </c>
      <c r="AA45" s="5">
        <v>79.81</v>
      </c>
      <c r="AB45" s="5">
        <v>78.62</v>
      </c>
      <c r="AC45" s="6">
        <v>0.3</v>
      </c>
      <c r="AD45" s="6">
        <v>0.35</v>
      </c>
      <c r="AE45" s="6">
        <v>0.35</v>
      </c>
      <c r="AF45" s="4" t="s">
        <v>6296</v>
      </c>
      <c r="AG45" s="4" t="s">
        <v>6296</v>
      </c>
      <c r="AH45" s="4" t="s">
        <v>46</v>
      </c>
      <c r="AI45" s="4" t="s">
        <v>42</v>
      </c>
      <c r="AJ45" s="4" t="s">
        <v>6296</v>
      </c>
      <c r="AK45" s="4" t="s">
        <v>46</v>
      </c>
      <c r="AL45" s="4" t="s">
        <v>37</v>
      </c>
      <c r="AM45" s="4" t="s">
        <v>45</v>
      </c>
      <c r="AN45" s="4" t="s">
        <v>46</v>
      </c>
      <c r="AO45" s="4" t="s">
        <v>6296</v>
      </c>
      <c r="AP45" s="4" t="s">
        <v>1438</v>
      </c>
      <c r="AQ45" s="4" t="s">
        <v>47</v>
      </c>
    </row>
    <row r="46" spans="1:43" ht="12.6" customHeight="1" x14ac:dyDescent="0.25">
      <c r="A46" s="8" t="s">
        <v>2276</v>
      </c>
      <c r="B46" s="9">
        <v>20151231</v>
      </c>
      <c r="C46" s="12">
        <f>_xll.FDS("SPX","FG_PRICE(12/30/2015)")</f>
        <v>2063.36</v>
      </c>
      <c r="D46" s="12">
        <f>_xll.FDS("SPX","FG_PRICE(12/30/2017)")</f>
        <v>2673.61</v>
      </c>
      <c r="E46" s="15">
        <f>D46/C46-1</f>
        <v>0.2957554668114144</v>
      </c>
      <c r="F46" s="8" t="s">
        <v>2277</v>
      </c>
      <c r="G46" s="8" t="s">
        <v>2278</v>
      </c>
      <c r="H46" s="13">
        <f>_xll.FDS(G46,"FG_PRICE(12/30/2015)")</f>
        <v>41.93</v>
      </c>
      <c r="I46" s="13">
        <f>_xll.FDS(G46,"FG_PRICE(12/31/2017)")</f>
        <v>60.83</v>
      </c>
      <c r="J46" s="13">
        <f>I46/H46-1</f>
        <v>0.45075125208681133</v>
      </c>
      <c r="K46" s="13">
        <f>J46-E46</f>
        <v>0.15499578527539692</v>
      </c>
      <c r="L46" s="13">
        <f>_xll.FDS(G46,"FF_ROE(ANN_R,12/30/2015)")</f>
        <v>13.231791976608401</v>
      </c>
      <c r="M46" s="8" t="s">
        <v>2279</v>
      </c>
      <c r="N46" s="4" t="s">
        <v>2280</v>
      </c>
      <c r="O46" s="4" t="s">
        <v>2281</v>
      </c>
      <c r="P46" s="4" t="s">
        <v>106</v>
      </c>
      <c r="Q46" s="4" t="s">
        <v>81</v>
      </c>
      <c r="R46" s="4" t="s">
        <v>61</v>
      </c>
      <c r="S46" s="4" t="s">
        <v>62</v>
      </c>
      <c r="T46" s="6" t="e">
        <v>#N/A</v>
      </c>
      <c r="U46" s="5">
        <v>50</v>
      </c>
      <c r="V46" s="5">
        <v>32</v>
      </c>
      <c r="W46" s="5">
        <v>64</v>
      </c>
      <c r="X46" s="5">
        <v>51</v>
      </c>
      <c r="Y46" s="5">
        <v>36.1</v>
      </c>
      <c r="Z46" s="6">
        <v>2.14</v>
      </c>
      <c r="AA46" s="5">
        <v>54.87</v>
      </c>
      <c r="AB46" s="5">
        <v>50.36</v>
      </c>
      <c r="AC46" s="6">
        <v>0.3</v>
      </c>
      <c r="AD46" s="6">
        <v>0.35</v>
      </c>
      <c r="AE46" s="6">
        <v>0.35</v>
      </c>
      <c r="AF46" s="4" t="s">
        <v>6296</v>
      </c>
      <c r="AG46" s="4" t="s">
        <v>6296</v>
      </c>
      <c r="AH46" s="4" t="s">
        <v>6296</v>
      </c>
      <c r="AI46" s="4" t="s">
        <v>6296</v>
      </c>
      <c r="AJ46" s="4" t="s">
        <v>6296</v>
      </c>
      <c r="AK46" s="4" t="s">
        <v>6296</v>
      </c>
      <c r="AL46" s="4" t="s">
        <v>6296</v>
      </c>
      <c r="AM46" s="4" t="s">
        <v>42</v>
      </c>
      <c r="AN46" s="4" t="s">
        <v>6296</v>
      </c>
      <c r="AO46" s="4" t="s">
        <v>6296</v>
      </c>
      <c r="AP46" s="4" t="s">
        <v>2282</v>
      </c>
      <c r="AQ46" s="4" t="s">
        <v>47</v>
      </c>
    </row>
    <row r="47" spans="1:43" ht="12.6" customHeight="1" x14ac:dyDescent="0.25">
      <c r="A47" s="8" t="s">
        <v>1692</v>
      </c>
      <c r="B47" s="9">
        <v>20151231</v>
      </c>
      <c r="C47" s="12">
        <f>_xll.FDS("SPX","FG_PRICE(12/30/2015)")</f>
        <v>2063.36</v>
      </c>
      <c r="D47" s="12">
        <f>_xll.FDS("SPX","FG_PRICE(12/30/2017)")</f>
        <v>2673.61</v>
      </c>
      <c r="E47" s="15">
        <f>D47/C47-1</f>
        <v>0.2957554668114144</v>
      </c>
      <c r="F47" s="8" t="s">
        <v>1693</v>
      </c>
      <c r="G47" s="8" t="s">
        <v>1694</v>
      </c>
      <c r="H47" s="13">
        <f>_xll.FDS(G47,"FG_PRICE(12/30/2015)")</f>
        <v>261.08</v>
      </c>
      <c r="I47" s="13">
        <f>_xll.FDS(G47,"FG_PRICE(12/31/2017)")</f>
        <v>403</v>
      </c>
      <c r="J47" s="13">
        <f>I47/H47-1</f>
        <v>0.54358817220775246</v>
      </c>
      <c r="K47" s="13">
        <f>J47-E47</f>
        <v>0.24783270539633806</v>
      </c>
      <c r="L47" s="13">
        <f>_xll.FDS(G47,"FF_ROE(ANN_R,12/30/2015)")</f>
        <v>5.8167160586440438</v>
      </c>
      <c r="M47" s="8" t="s">
        <v>1695</v>
      </c>
      <c r="N47" s="4" t="s">
        <v>1696</v>
      </c>
      <c r="O47" s="4" t="s">
        <v>1697</v>
      </c>
      <c r="P47" s="4" t="s">
        <v>106</v>
      </c>
      <c r="Q47" s="4" t="s">
        <v>81</v>
      </c>
      <c r="R47" s="4" t="s">
        <v>61</v>
      </c>
      <c r="S47" s="4" t="s">
        <v>62</v>
      </c>
      <c r="T47" s="6" t="e">
        <v>#N/A</v>
      </c>
      <c r="U47" s="5">
        <v>49</v>
      </c>
      <c r="V47" s="5">
        <v>32</v>
      </c>
      <c r="W47" s="5">
        <v>61</v>
      </c>
      <c r="X47" s="5">
        <v>52</v>
      </c>
      <c r="Y47" s="5">
        <v>31.35</v>
      </c>
      <c r="Z47" s="6">
        <v>2.14</v>
      </c>
      <c r="AA47" s="5">
        <v>37.53</v>
      </c>
      <c r="AB47" s="5">
        <v>54.63</v>
      </c>
      <c r="AC47" s="6">
        <v>0.3</v>
      </c>
      <c r="AD47" s="6">
        <v>0.35</v>
      </c>
      <c r="AE47" s="6">
        <v>0.35</v>
      </c>
      <c r="AF47" s="4" t="s">
        <v>6296</v>
      </c>
      <c r="AG47" s="4" t="s">
        <v>6296</v>
      </c>
      <c r="AH47" s="4" t="s">
        <v>6296</v>
      </c>
      <c r="AI47" s="4" t="s">
        <v>6296</v>
      </c>
      <c r="AJ47" s="4" t="s">
        <v>6296</v>
      </c>
      <c r="AK47" s="4" t="s">
        <v>6296</v>
      </c>
      <c r="AL47" s="4" t="s">
        <v>6296</v>
      </c>
      <c r="AM47" s="4" t="s">
        <v>6296</v>
      </c>
      <c r="AN47" s="4" t="s">
        <v>6296</v>
      </c>
      <c r="AO47" s="4" t="s">
        <v>6296</v>
      </c>
      <c r="AP47" s="4" t="s">
        <v>1698</v>
      </c>
      <c r="AQ47" s="4" t="s">
        <v>47</v>
      </c>
    </row>
    <row r="48" spans="1:43" ht="12.6" customHeight="1" x14ac:dyDescent="0.25">
      <c r="A48" s="8" t="s">
        <v>1637</v>
      </c>
      <c r="B48" s="9">
        <v>20151231</v>
      </c>
      <c r="C48" s="12">
        <f>_xll.FDS("SPX","FG_PRICE(12/30/2015)")</f>
        <v>2063.36</v>
      </c>
      <c r="D48" s="12">
        <f>_xll.FDS("SPX","FG_PRICE(12/30/2017)")</f>
        <v>2673.61</v>
      </c>
      <c r="E48" s="15">
        <f>D48/C48-1</f>
        <v>0.2957554668114144</v>
      </c>
      <c r="F48" s="8" t="s">
        <v>1638</v>
      </c>
      <c r="G48" s="8" t="s">
        <v>1639</v>
      </c>
      <c r="H48" s="13">
        <f>_xll.FDS(G48,"FG_PRICE(12/30/2015)")</f>
        <v>14.71</v>
      </c>
      <c r="I48" s="13">
        <f>_xll.FDS(G48,"FG_PRICE(12/31/2017)")</f>
        <v>19.989999999999998</v>
      </c>
      <c r="J48" s="13">
        <f>I48/H48-1</f>
        <v>0.35893949694085636</v>
      </c>
      <c r="K48" s="13">
        <f>J48-E48</f>
        <v>6.3184030129441959E-2</v>
      </c>
      <c r="L48" s="13">
        <f>_xll.FDS(G48,"FF_ROE(ANN_R,12/30/2015)")</f>
        <v>9.9084956202622809</v>
      </c>
      <c r="M48" s="8" t="s">
        <v>1640</v>
      </c>
      <c r="N48" s="4" t="s">
        <v>1640</v>
      </c>
      <c r="O48" s="4" t="s">
        <v>1641</v>
      </c>
      <c r="P48" s="4" t="s">
        <v>96</v>
      </c>
      <c r="Q48" s="4" t="s">
        <v>81</v>
      </c>
      <c r="R48" s="4" t="s">
        <v>61</v>
      </c>
      <c r="S48" s="4" t="s">
        <v>62</v>
      </c>
      <c r="T48" s="6" t="e">
        <v>#N/A</v>
      </c>
      <c r="U48" s="5">
        <v>48</v>
      </c>
      <c r="V48" s="5">
        <v>37</v>
      </c>
      <c r="W48" s="5">
        <v>57</v>
      </c>
      <c r="X48" s="5">
        <v>50</v>
      </c>
      <c r="Y48" s="5">
        <v>23.52</v>
      </c>
      <c r="Z48" s="5">
        <v>29.22</v>
      </c>
      <c r="AA48" s="5">
        <v>18.29</v>
      </c>
      <c r="AB48" s="5">
        <v>45.37</v>
      </c>
      <c r="AC48" s="6">
        <v>0.3</v>
      </c>
      <c r="AD48" s="6">
        <v>0.35</v>
      </c>
      <c r="AE48" s="6">
        <v>0.35</v>
      </c>
      <c r="AF48" s="4" t="s">
        <v>6296</v>
      </c>
      <c r="AG48" s="4" t="s">
        <v>6296</v>
      </c>
      <c r="AH48" s="4" t="s">
        <v>6296</v>
      </c>
      <c r="AI48" s="4" t="s">
        <v>6296</v>
      </c>
      <c r="AJ48" s="4" t="s">
        <v>6296</v>
      </c>
      <c r="AK48" s="4" t="s">
        <v>37</v>
      </c>
      <c r="AL48" s="4" t="s">
        <v>6296</v>
      </c>
      <c r="AM48" s="4" t="s">
        <v>42</v>
      </c>
      <c r="AN48" s="4" t="s">
        <v>42</v>
      </c>
      <c r="AO48" s="4" t="s">
        <v>6296</v>
      </c>
      <c r="AP48" s="4" t="s">
        <v>1642</v>
      </c>
      <c r="AQ48" s="4" t="s">
        <v>47</v>
      </c>
    </row>
    <row r="49" spans="1:43" ht="12.6" customHeight="1" x14ac:dyDescent="0.25">
      <c r="A49" s="8" t="s">
        <v>1625</v>
      </c>
      <c r="B49" s="9">
        <v>20151231</v>
      </c>
      <c r="C49" s="12">
        <f>_xll.FDS("SPX","FG_PRICE(12/30/2015)")</f>
        <v>2063.36</v>
      </c>
      <c r="D49" s="12">
        <f>_xll.FDS("SPX","FG_PRICE(12/30/2017)")</f>
        <v>2673.61</v>
      </c>
      <c r="E49" s="15">
        <f>D49/C49-1</f>
        <v>0.2957554668114144</v>
      </c>
      <c r="F49" s="8" t="s">
        <v>1626</v>
      </c>
      <c r="G49" s="8" t="s">
        <v>1627</v>
      </c>
      <c r="H49" s="13">
        <f>_xll.FDS(G49,"FG_PRICE(12/30/2015)")</f>
        <v>20.25</v>
      </c>
      <c r="I49" s="13">
        <f>_xll.FDS(G49,"FG_PRICE(12/31/2017)")</f>
        <v>30.34</v>
      </c>
      <c r="J49" s="13">
        <f>I49/H49-1</f>
        <v>0.49827160493827161</v>
      </c>
      <c r="K49" s="13">
        <f>J49-E49</f>
        <v>0.2025161381268572</v>
      </c>
      <c r="L49" s="13">
        <f>_xll.FDS(G49,"FF_ROE(ANN_R,12/30/2015)")</f>
        <v>9.7236471951017691</v>
      </c>
      <c r="M49" s="8" t="s">
        <v>1628</v>
      </c>
      <c r="N49" s="4" t="s">
        <v>1628</v>
      </c>
      <c r="O49" s="4" t="s">
        <v>1629</v>
      </c>
      <c r="P49" s="4" t="s">
        <v>106</v>
      </c>
      <c r="Q49" s="4" t="s">
        <v>81</v>
      </c>
      <c r="R49" s="4" t="s">
        <v>61</v>
      </c>
      <c r="S49" s="4" t="s">
        <v>62</v>
      </c>
      <c r="T49" s="6" t="e">
        <v>#N/A</v>
      </c>
      <c r="U49" s="5">
        <v>54</v>
      </c>
      <c r="V49" s="5">
        <v>46</v>
      </c>
      <c r="W49" s="5">
        <v>61</v>
      </c>
      <c r="X49" s="5">
        <v>53</v>
      </c>
      <c r="Y49" s="5">
        <v>56.77</v>
      </c>
      <c r="Z49" s="5">
        <v>55.11</v>
      </c>
      <c r="AA49" s="5">
        <v>37.53</v>
      </c>
      <c r="AB49" s="5">
        <v>60.1</v>
      </c>
      <c r="AC49" s="6">
        <v>0.3</v>
      </c>
      <c r="AD49" s="6">
        <v>0.35</v>
      </c>
      <c r="AE49" s="6">
        <v>0.35</v>
      </c>
      <c r="AF49" s="4" t="s">
        <v>6296</v>
      </c>
      <c r="AG49" s="4" t="s">
        <v>6296</v>
      </c>
      <c r="AH49" s="4" t="s">
        <v>6296</v>
      </c>
      <c r="AI49" s="4" t="s">
        <v>6296</v>
      </c>
      <c r="AJ49" s="4" t="s">
        <v>6296</v>
      </c>
      <c r="AK49" s="4" t="s">
        <v>37</v>
      </c>
      <c r="AL49" s="4" t="s">
        <v>37</v>
      </c>
      <c r="AM49" s="4" t="s">
        <v>37</v>
      </c>
      <c r="AN49" s="4" t="s">
        <v>42</v>
      </c>
      <c r="AO49" s="4" t="s">
        <v>6296</v>
      </c>
      <c r="AP49" s="4" t="s">
        <v>1630</v>
      </c>
      <c r="AQ49" s="4" t="s">
        <v>47</v>
      </c>
    </row>
    <row r="50" spans="1:43" ht="12.6" customHeight="1" x14ac:dyDescent="0.25">
      <c r="A50" s="8" t="s">
        <v>1618</v>
      </c>
      <c r="B50" s="9">
        <v>20151231</v>
      </c>
      <c r="C50" s="12">
        <f>_xll.FDS("SPX","FG_PRICE(12/30/2015)")</f>
        <v>2063.36</v>
      </c>
      <c r="D50" s="12">
        <f>_xll.FDS("SPX","FG_PRICE(12/30/2017)")</f>
        <v>2673.61</v>
      </c>
      <c r="E50" s="15">
        <f>D50/C50-1</f>
        <v>0.2957554668114144</v>
      </c>
      <c r="F50" s="8" t="s">
        <v>1619</v>
      </c>
      <c r="G50" s="8" t="s">
        <v>1620</v>
      </c>
      <c r="H50" s="13">
        <f>_xll.FDS(G50,"FG_PRICE(12/30/2015)")</f>
        <v>1.62</v>
      </c>
      <c r="I50" s="13">
        <f>_xll.FDS(G50,"FG_PRICE(12/31/2017)")</f>
        <v>2.52</v>
      </c>
      <c r="J50" s="13">
        <f>I50/H50-1</f>
        <v>0.55555555555555536</v>
      </c>
      <c r="K50" s="13">
        <f>J50-E50</f>
        <v>0.25980008874414096</v>
      </c>
      <c r="L50" s="13">
        <f>_xll.FDS(G50,"FF_ROE(ANN_R,12/30/2015)")</f>
        <v>99.315510783933874</v>
      </c>
      <c r="M50" s="8" t="s">
        <v>1621</v>
      </c>
      <c r="N50" s="4" t="s">
        <v>1622</v>
      </c>
      <c r="O50" s="4" t="s">
        <v>1623</v>
      </c>
      <c r="P50" s="4" t="s">
        <v>5741</v>
      </c>
      <c r="Q50" s="4" t="s">
        <v>81</v>
      </c>
      <c r="R50" s="4" t="s">
        <v>61</v>
      </c>
      <c r="S50" s="4" t="s">
        <v>62</v>
      </c>
      <c r="T50" s="6" t="e">
        <v>#N/A</v>
      </c>
      <c r="U50" s="5">
        <v>52</v>
      </c>
      <c r="V50" s="5">
        <v>38</v>
      </c>
      <c r="W50" s="5">
        <v>66</v>
      </c>
      <c r="X50" s="5">
        <v>50</v>
      </c>
      <c r="Y50" s="5">
        <v>48.93</v>
      </c>
      <c r="Z50" s="5">
        <v>34.92</v>
      </c>
      <c r="AA50" s="5">
        <v>64.849999999999994</v>
      </c>
      <c r="AB50" s="5">
        <v>45.37</v>
      </c>
      <c r="AC50" s="6">
        <v>0.3</v>
      </c>
      <c r="AD50" s="6">
        <v>0.35</v>
      </c>
      <c r="AE50" s="6">
        <v>0.35</v>
      </c>
      <c r="AF50" s="4" t="s">
        <v>6296</v>
      </c>
      <c r="AG50" s="4" t="s">
        <v>6296</v>
      </c>
      <c r="AH50" s="4" t="s">
        <v>6296</v>
      </c>
      <c r="AI50" s="4" t="s">
        <v>6296</v>
      </c>
      <c r="AJ50" s="4" t="s">
        <v>6296</v>
      </c>
      <c r="AK50" s="4" t="s">
        <v>37</v>
      </c>
      <c r="AL50" s="4" t="s">
        <v>6296</v>
      </c>
      <c r="AM50" s="4" t="s">
        <v>42</v>
      </c>
      <c r="AN50" s="4" t="s">
        <v>46</v>
      </c>
      <c r="AO50" s="4" t="s">
        <v>6296</v>
      </c>
      <c r="AP50" s="4" t="s">
        <v>1624</v>
      </c>
      <c r="AQ50" s="4" t="s">
        <v>47</v>
      </c>
    </row>
    <row r="51" spans="1:43" ht="12.6" customHeight="1" x14ac:dyDescent="0.25">
      <c r="A51" s="8" t="s">
        <v>1948</v>
      </c>
      <c r="B51" s="9">
        <v>20151231</v>
      </c>
      <c r="C51" s="12">
        <f>_xll.FDS("SPX","FG_PRICE(12/30/2015)")</f>
        <v>2063.36</v>
      </c>
      <c r="D51" s="12">
        <f>_xll.FDS("SPX","FG_PRICE(12/30/2017)")</f>
        <v>2673.61</v>
      </c>
      <c r="E51" s="15">
        <f>D51/C51-1</f>
        <v>0.2957554668114144</v>
      </c>
      <c r="F51" s="8" t="s">
        <v>1949</v>
      </c>
      <c r="G51" s="8" t="s">
        <v>1950</v>
      </c>
      <c r="H51" s="13">
        <f>_xll.FDS(G51,"FG_PRICE(12/30/2015)")</f>
        <v>10.92</v>
      </c>
      <c r="I51" s="13" t="e">
        <f>_xll.FDS(G51,"FG_PRICE(12/31/2017)")</f>
        <v>#N/A</v>
      </c>
      <c r="J51" s="13" t="e">
        <f>I51/H51-1</f>
        <v>#N/A</v>
      </c>
      <c r="K51" s="13" t="e">
        <f>J51-E51</f>
        <v>#N/A</v>
      </c>
      <c r="L51" s="13">
        <f>_xll.FDS(G51,"FF_ROE(ANN_R,12/30/2015)")</f>
        <v>-15.760510675764911</v>
      </c>
      <c r="M51" s="8" t="s">
        <v>1951</v>
      </c>
      <c r="N51" s="4" t="s">
        <v>1952</v>
      </c>
      <c r="O51" s="4" t="s">
        <v>47</v>
      </c>
      <c r="P51" s="4" t="s">
        <v>106</v>
      </c>
      <c r="Q51" s="4" t="s">
        <v>81</v>
      </c>
      <c r="R51" s="4" t="s">
        <v>61</v>
      </c>
      <c r="S51" s="4" t="s">
        <v>62</v>
      </c>
      <c r="T51" s="6" t="e">
        <v>#N/A</v>
      </c>
      <c r="U51" s="5">
        <v>56</v>
      </c>
      <c r="V51" s="5">
        <v>35</v>
      </c>
      <c r="W51" s="5">
        <v>67</v>
      </c>
      <c r="X51" s="5">
        <v>63</v>
      </c>
      <c r="Y51" s="5">
        <v>62</v>
      </c>
      <c r="Z51" s="5">
        <v>24.7</v>
      </c>
      <c r="AA51" s="5">
        <v>67.930000000000007</v>
      </c>
      <c r="AB51" s="5">
        <v>83.61</v>
      </c>
      <c r="AC51" s="6">
        <v>0.3</v>
      </c>
      <c r="AD51" s="6">
        <v>0.35</v>
      </c>
      <c r="AE51" s="6">
        <v>0.35</v>
      </c>
      <c r="AF51" s="4" t="s">
        <v>6296</v>
      </c>
      <c r="AG51" s="4" t="s">
        <v>6296</v>
      </c>
      <c r="AH51" s="4" t="s">
        <v>6296</v>
      </c>
      <c r="AI51" s="4" t="s">
        <v>6296</v>
      </c>
      <c r="AJ51" s="4" t="s">
        <v>6296</v>
      </c>
      <c r="AK51" s="4" t="s">
        <v>42</v>
      </c>
      <c r="AL51" s="4" t="s">
        <v>42</v>
      </c>
      <c r="AM51" s="4" t="s">
        <v>42</v>
      </c>
      <c r="AN51" s="4" t="s">
        <v>6296</v>
      </c>
      <c r="AO51" s="4" t="s">
        <v>6296</v>
      </c>
      <c r="AP51" s="4" t="s">
        <v>1953</v>
      </c>
      <c r="AQ51" s="4" t="s">
        <v>47</v>
      </c>
    </row>
    <row r="52" spans="1:43" ht="12.6" customHeight="1" x14ac:dyDescent="0.25">
      <c r="A52" s="8" t="s">
        <v>1606</v>
      </c>
      <c r="B52" s="9">
        <v>20151231</v>
      </c>
      <c r="C52" s="12">
        <f>_xll.FDS("SPX","FG_PRICE(12/30/2015)")</f>
        <v>2063.36</v>
      </c>
      <c r="D52" s="12">
        <f>_xll.FDS("SPX","FG_PRICE(12/30/2017)")</f>
        <v>2673.61</v>
      </c>
      <c r="E52" s="15">
        <f>D52/C52-1</f>
        <v>0.2957554668114144</v>
      </c>
      <c r="F52" s="8" t="s">
        <v>1607</v>
      </c>
      <c r="G52" s="8" t="s">
        <v>1608</v>
      </c>
      <c r="H52" s="13">
        <f>_xll.FDS(G52,"FG_PRICE(12/30/2015)")</f>
        <v>1.64</v>
      </c>
      <c r="I52" s="13">
        <f>_xll.FDS(G52,"FG_PRICE(12/31/2017)")</f>
        <v>2.65</v>
      </c>
      <c r="J52" s="13">
        <f>I52/H52-1</f>
        <v>0.61585365853658547</v>
      </c>
      <c r="K52" s="13">
        <f>J52-E52</f>
        <v>0.32009819172517107</v>
      </c>
      <c r="L52" s="13">
        <f>_xll.FDS(G52,"FF_ROE(ANN_R,12/30/2015)")</f>
        <v>214.93079192194239</v>
      </c>
      <c r="M52" s="8" t="s">
        <v>1609</v>
      </c>
      <c r="N52" s="4" t="s">
        <v>1609</v>
      </c>
      <c r="O52" s="4" t="s">
        <v>1610</v>
      </c>
      <c r="P52" s="4" t="s">
        <v>5741</v>
      </c>
      <c r="Q52" s="4" t="s">
        <v>81</v>
      </c>
      <c r="R52" s="4" t="s">
        <v>61</v>
      </c>
      <c r="S52" s="4" t="s">
        <v>62</v>
      </c>
      <c r="T52" s="6" t="e">
        <v>#N/A</v>
      </c>
      <c r="U52" s="5">
        <v>52</v>
      </c>
      <c r="V52" s="5">
        <v>45</v>
      </c>
      <c r="W52" s="5">
        <v>60</v>
      </c>
      <c r="X52" s="5">
        <v>49</v>
      </c>
      <c r="Y52" s="5">
        <v>48.93</v>
      </c>
      <c r="Z52" s="5">
        <v>52.26</v>
      </c>
      <c r="AA52" s="5">
        <v>33.729999999999997</v>
      </c>
      <c r="AB52" s="5">
        <v>40.14</v>
      </c>
      <c r="AC52" s="6">
        <v>0.3</v>
      </c>
      <c r="AD52" s="6">
        <v>0.35</v>
      </c>
      <c r="AE52" s="6">
        <v>0.35</v>
      </c>
      <c r="AF52" s="4" t="s">
        <v>6296</v>
      </c>
      <c r="AG52" s="4" t="s">
        <v>6296</v>
      </c>
      <c r="AH52" s="4" t="s">
        <v>6296</v>
      </c>
      <c r="AI52" s="4" t="s">
        <v>6296</v>
      </c>
      <c r="AJ52" s="4" t="s">
        <v>6296</v>
      </c>
      <c r="AK52" s="4" t="s">
        <v>37</v>
      </c>
      <c r="AL52" s="4" t="s">
        <v>6296</v>
      </c>
      <c r="AM52" s="4" t="s">
        <v>42</v>
      </c>
      <c r="AN52" s="4" t="s">
        <v>46</v>
      </c>
      <c r="AO52" s="4" t="s">
        <v>6296</v>
      </c>
      <c r="AP52" s="4" t="s">
        <v>1611</v>
      </c>
      <c r="AQ52" s="4" t="s">
        <v>47</v>
      </c>
    </row>
    <row r="53" spans="1:43" ht="12.6" customHeight="1" x14ac:dyDescent="0.25">
      <c r="A53" s="8" t="s">
        <v>5234</v>
      </c>
      <c r="B53" s="9">
        <v>20151231</v>
      </c>
      <c r="C53" s="12">
        <f>_xll.FDS("SPX","FG_PRICE(12/30/2015)")</f>
        <v>2063.36</v>
      </c>
      <c r="D53" s="12">
        <f>_xll.FDS("SPX","FG_PRICE(12/30/2017)")</f>
        <v>2673.61</v>
      </c>
      <c r="E53" s="15">
        <f>D53/C53-1</f>
        <v>0.2957554668114144</v>
      </c>
      <c r="F53" s="8" t="s">
        <v>5235</v>
      </c>
      <c r="G53" s="8" t="s">
        <v>5236</v>
      </c>
      <c r="H53" s="13">
        <f>_xll.FDS(G53,"FG_PRICE(12/30/2015)")</f>
        <v>66.260000000000005</v>
      </c>
      <c r="I53" s="13">
        <f>_xll.FDS(G53,"FG_PRICE(12/31/2017)")</f>
        <v>86.64</v>
      </c>
      <c r="J53" s="13">
        <f>I53/H53-1</f>
        <v>0.30757621491095666</v>
      </c>
      <c r="K53" s="13">
        <f>J53-E53</f>
        <v>1.1820748099542255E-2</v>
      </c>
      <c r="L53" s="13">
        <f>_xll.FDS(G53,"FF_ROE(ANN_R,12/30/2015)")</f>
        <v>10.896800072137269</v>
      </c>
      <c r="M53" s="8" t="s">
        <v>5237</v>
      </c>
      <c r="N53" s="4" t="s">
        <v>5237</v>
      </c>
      <c r="O53" s="4" t="s">
        <v>5238</v>
      </c>
      <c r="P53" s="4" t="s">
        <v>96</v>
      </c>
      <c r="Q53" s="4" t="s">
        <v>81</v>
      </c>
      <c r="R53" s="4" t="s">
        <v>61</v>
      </c>
      <c r="S53" s="4" t="s">
        <v>62</v>
      </c>
      <c r="T53" s="6" t="e">
        <v>#N/A</v>
      </c>
      <c r="U53" s="5">
        <v>48</v>
      </c>
      <c r="V53" s="5">
        <v>37</v>
      </c>
      <c r="W53" s="5">
        <v>54</v>
      </c>
      <c r="X53" s="5">
        <v>51</v>
      </c>
      <c r="Y53" s="5">
        <v>23.52</v>
      </c>
      <c r="Z53" s="5">
        <v>29.22</v>
      </c>
      <c r="AA53" s="6">
        <v>7.13</v>
      </c>
      <c r="AB53" s="5">
        <v>50.36</v>
      </c>
      <c r="AC53" s="6">
        <v>0.3</v>
      </c>
      <c r="AD53" s="6">
        <v>0.35</v>
      </c>
      <c r="AE53" s="6">
        <v>0.35</v>
      </c>
      <c r="AF53" s="4" t="s">
        <v>6296</v>
      </c>
      <c r="AG53" s="4" t="s">
        <v>6296</v>
      </c>
      <c r="AH53" s="4" t="s">
        <v>6296</v>
      </c>
      <c r="AI53" s="4" t="s">
        <v>6296</v>
      </c>
      <c r="AJ53" s="4" t="s">
        <v>6296</v>
      </c>
      <c r="AK53" s="4" t="s">
        <v>6296</v>
      </c>
      <c r="AL53" s="4" t="s">
        <v>6296</v>
      </c>
      <c r="AM53" s="4" t="s">
        <v>6296</v>
      </c>
      <c r="AN53" s="4" t="s">
        <v>6296</v>
      </c>
      <c r="AO53" s="4" t="s">
        <v>6296</v>
      </c>
      <c r="AP53" s="4" t="s">
        <v>5239</v>
      </c>
      <c r="AQ53" s="4" t="s">
        <v>47</v>
      </c>
    </row>
    <row r="54" spans="1:43" ht="12.6" customHeight="1" x14ac:dyDescent="0.25">
      <c r="A54" s="8" t="s">
        <v>1699</v>
      </c>
      <c r="B54" s="9">
        <v>20151231</v>
      </c>
      <c r="C54" s="12">
        <f>_xll.FDS("SPX","FG_PRICE(12/30/2015)")</f>
        <v>2063.36</v>
      </c>
      <c r="D54" s="12">
        <f>_xll.FDS("SPX","FG_PRICE(12/30/2017)")</f>
        <v>2673.61</v>
      </c>
      <c r="E54" s="15">
        <f>D54/C54-1</f>
        <v>0.2957554668114144</v>
      </c>
      <c r="F54" s="8" t="s">
        <v>1700</v>
      </c>
      <c r="G54" s="8" t="s">
        <v>1701</v>
      </c>
      <c r="H54" s="13">
        <f>_xll.FDS(G54,"FG_PRICE(12/30/2015)")</f>
        <v>13.23</v>
      </c>
      <c r="I54" s="13">
        <f>_xll.FDS(G54,"FG_PRICE(12/31/2017)")</f>
        <v>17.899999999999999</v>
      </c>
      <c r="J54" s="13">
        <f>I54/H54-1</f>
        <v>0.35298563869992416</v>
      </c>
      <c r="K54" s="13">
        <f>J54-E54</f>
        <v>5.7230171888509762E-2</v>
      </c>
      <c r="L54" s="13">
        <f>_xll.FDS(G54,"FF_ROE(ANN_R,12/30/2015)")</f>
        <v>7.7783131010687097</v>
      </c>
      <c r="M54" s="8" t="s">
        <v>1702</v>
      </c>
      <c r="N54" s="4" t="s">
        <v>1702</v>
      </c>
      <c r="O54" s="4" t="s">
        <v>1703</v>
      </c>
      <c r="P54" s="4" t="s">
        <v>106</v>
      </c>
      <c r="Q54" s="4" t="s">
        <v>81</v>
      </c>
      <c r="R54" s="4" t="s">
        <v>61</v>
      </c>
      <c r="S54" s="4" t="s">
        <v>62</v>
      </c>
      <c r="T54" s="6" t="e">
        <v>#N/A</v>
      </c>
      <c r="U54" s="5">
        <v>48</v>
      </c>
      <c r="V54" s="5">
        <v>32</v>
      </c>
      <c r="W54" s="5">
        <v>61</v>
      </c>
      <c r="X54" s="5">
        <v>50</v>
      </c>
      <c r="Y54" s="5">
        <v>23.52</v>
      </c>
      <c r="Z54" s="6">
        <v>2.14</v>
      </c>
      <c r="AA54" s="5">
        <v>37.53</v>
      </c>
      <c r="AB54" s="5">
        <v>45.37</v>
      </c>
      <c r="AC54" s="6">
        <v>0.3</v>
      </c>
      <c r="AD54" s="6">
        <v>0.35</v>
      </c>
      <c r="AE54" s="6">
        <v>0.35</v>
      </c>
      <c r="AF54" s="4" t="s">
        <v>6296</v>
      </c>
      <c r="AG54" s="4" t="s">
        <v>6296</v>
      </c>
      <c r="AH54" s="4" t="s">
        <v>6296</v>
      </c>
      <c r="AI54" s="4" t="s">
        <v>6296</v>
      </c>
      <c r="AJ54" s="4" t="s">
        <v>6296</v>
      </c>
      <c r="AK54" s="4" t="s">
        <v>6296</v>
      </c>
      <c r="AL54" s="4" t="s">
        <v>6296</v>
      </c>
      <c r="AM54" s="4" t="s">
        <v>37</v>
      </c>
      <c r="AN54" s="4" t="s">
        <v>6296</v>
      </c>
      <c r="AO54" s="4" t="s">
        <v>6296</v>
      </c>
      <c r="AP54" s="4" t="s">
        <v>1704</v>
      </c>
      <c r="AQ54" s="4" t="s">
        <v>47</v>
      </c>
    </row>
    <row r="55" spans="1:43" ht="12.6" customHeight="1" x14ac:dyDescent="0.25">
      <c r="A55" s="8" t="s">
        <v>2078</v>
      </c>
      <c r="B55" s="9">
        <v>20151231</v>
      </c>
      <c r="C55" s="12">
        <f>_xll.FDS("SPX","FG_PRICE(12/30/2015)")</f>
        <v>2063.36</v>
      </c>
      <c r="D55" s="12">
        <f>_xll.FDS("SPX","FG_PRICE(12/30/2017)")</f>
        <v>2673.61</v>
      </c>
      <c r="E55" s="15">
        <f>D55/C55-1</f>
        <v>0.2957554668114144</v>
      </c>
      <c r="F55" s="8" t="s">
        <v>2079</v>
      </c>
      <c r="G55" s="8" t="s">
        <v>2080</v>
      </c>
      <c r="H55" s="13">
        <f>_xll.FDS(G55,"FG_PRICE(12/30/2015)")</f>
        <v>11.17</v>
      </c>
      <c r="I55" s="13">
        <f>_xll.FDS(G55,"FG_PRICE(12/31/2017)")</f>
        <v>14.56</v>
      </c>
      <c r="J55" s="13">
        <f>I55/H55-1</f>
        <v>0.30349149507609674</v>
      </c>
      <c r="K55" s="13">
        <f>J55-E55</f>
        <v>7.7360282646823375E-3</v>
      </c>
      <c r="L55" s="13">
        <f>_xll.FDS(G55,"FF_ROE(ANN_R,12/30/2015)")</f>
        <v>10.17730607452364</v>
      </c>
      <c r="M55" s="8" t="s">
        <v>2081</v>
      </c>
      <c r="N55" s="4" t="s">
        <v>2081</v>
      </c>
      <c r="O55" s="4" t="s">
        <v>2082</v>
      </c>
      <c r="P55" s="4" t="s">
        <v>106</v>
      </c>
      <c r="Q55" s="4" t="s">
        <v>81</v>
      </c>
      <c r="R55" s="4" t="s">
        <v>61</v>
      </c>
      <c r="S55" s="4" t="s">
        <v>62</v>
      </c>
      <c r="T55" s="6" t="e">
        <v>#N/A</v>
      </c>
      <c r="U55" s="5">
        <v>52</v>
      </c>
      <c r="V55" s="5">
        <v>37</v>
      </c>
      <c r="W55" s="5">
        <v>64</v>
      </c>
      <c r="X55" s="5">
        <v>53</v>
      </c>
      <c r="Y55" s="5">
        <v>48.93</v>
      </c>
      <c r="Z55" s="5">
        <v>29.22</v>
      </c>
      <c r="AA55" s="5">
        <v>54.87</v>
      </c>
      <c r="AB55" s="5">
        <v>60.1</v>
      </c>
      <c r="AC55" s="6">
        <v>0.3</v>
      </c>
      <c r="AD55" s="6">
        <v>0.35</v>
      </c>
      <c r="AE55" s="6">
        <v>0.35</v>
      </c>
      <c r="AF55" s="4" t="s">
        <v>6296</v>
      </c>
      <c r="AG55" s="4" t="s">
        <v>6296</v>
      </c>
      <c r="AH55" s="4" t="s">
        <v>6296</v>
      </c>
      <c r="AI55" s="4" t="s">
        <v>6296</v>
      </c>
      <c r="AJ55" s="4" t="s">
        <v>6296</v>
      </c>
      <c r="AK55" s="4" t="s">
        <v>42</v>
      </c>
      <c r="AL55" s="4" t="s">
        <v>37</v>
      </c>
      <c r="AM55" s="4" t="s">
        <v>42</v>
      </c>
      <c r="AN55" s="4" t="s">
        <v>6296</v>
      </c>
      <c r="AO55" s="4" t="s">
        <v>6296</v>
      </c>
      <c r="AP55" s="4" t="s">
        <v>2083</v>
      </c>
      <c r="AQ55" s="4" t="s">
        <v>47</v>
      </c>
    </row>
    <row r="56" spans="1:43" ht="12.6" customHeight="1" x14ac:dyDescent="0.25">
      <c r="A56" s="8" t="s">
        <v>967</v>
      </c>
      <c r="B56" s="9">
        <v>20151231</v>
      </c>
      <c r="C56" s="12">
        <f>_xll.FDS("SPX","FG_PRICE(12/30/2015)")</f>
        <v>2063.36</v>
      </c>
      <c r="D56" s="12">
        <f>_xll.FDS("SPX","FG_PRICE(12/30/2017)")</f>
        <v>2673.61</v>
      </c>
      <c r="E56" s="15">
        <f>D56/C56-1</f>
        <v>0.2957554668114144</v>
      </c>
      <c r="F56" s="8" t="s">
        <v>968</v>
      </c>
      <c r="G56" s="8" t="s">
        <v>969</v>
      </c>
      <c r="H56" s="13">
        <f>_xll.FDS(G56,"FG_PRICE(12/30/2015)")</f>
        <v>66.59</v>
      </c>
      <c r="I56" s="13">
        <f>_xll.FDS(G56,"FG_PRICE(12/31/2017)")</f>
        <v>106.94</v>
      </c>
      <c r="J56" s="13">
        <f>I56/H56-1</f>
        <v>0.60594683886469425</v>
      </c>
      <c r="K56" s="13">
        <f>J56-E56</f>
        <v>0.31019137205327985</v>
      </c>
      <c r="L56" s="13">
        <f>_xll.FDS(G56,"FF_ROE(ANN_R,12/30/2015)")</f>
        <v>9.5740621577990765</v>
      </c>
      <c r="M56" s="8" t="s">
        <v>970</v>
      </c>
      <c r="N56" s="4" t="s">
        <v>970</v>
      </c>
      <c r="O56" s="4" t="s">
        <v>971</v>
      </c>
      <c r="P56" s="4" t="s">
        <v>96</v>
      </c>
      <c r="Q56" s="4" t="s">
        <v>81</v>
      </c>
      <c r="R56" s="4" t="s">
        <v>61</v>
      </c>
      <c r="S56" s="4" t="s">
        <v>62</v>
      </c>
      <c r="T56" s="6" t="e">
        <v>#N/A</v>
      </c>
      <c r="U56" s="5">
        <v>68</v>
      </c>
      <c r="V56" s="5">
        <v>75</v>
      </c>
      <c r="W56" s="5">
        <v>70</v>
      </c>
      <c r="X56" s="5">
        <v>61</v>
      </c>
      <c r="Y56" s="5">
        <v>86.22</v>
      </c>
      <c r="Z56" s="5">
        <v>91.92</v>
      </c>
      <c r="AA56" s="5">
        <v>75.06</v>
      </c>
      <c r="AB56" s="5">
        <v>80.760000000000005</v>
      </c>
      <c r="AC56" s="6">
        <v>0.3</v>
      </c>
      <c r="AD56" s="6">
        <v>0.35</v>
      </c>
      <c r="AE56" s="6">
        <v>0.35</v>
      </c>
      <c r="AF56" s="4" t="s">
        <v>6296</v>
      </c>
      <c r="AG56" s="4" t="s">
        <v>6296</v>
      </c>
      <c r="AH56" s="4" t="s">
        <v>46</v>
      </c>
      <c r="AI56" s="4" t="s">
        <v>42</v>
      </c>
      <c r="AJ56" s="4" t="s">
        <v>6296</v>
      </c>
      <c r="AK56" s="4" t="s">
        <v>46</v>
      </c>
      <c r="AL56" s="4" t="s">
        <v>37</v>
      </c>
      <c r="AM56" s="4" t="s">
        <v>45</v>
      </c>
      <c r="AN56" s="4" t="s">
        <v>46</v>
      </c>
      <c r="AO56" s="4" t="s">
        <v>42</v>
      </c>
      <c r="AP56" s="4" t="s">
        <v>972</v>
      </c>
      <c r="AQ56" s="4" t="s">
        <v>47</v>
      </c>
    </row>
    <row r="57" spans="1:43" ht="12.6" customHeight="1" x14ac:dyDescent="0.25">
      <c r="A57" s="8" t="s">
        <v>2296</v>
      </c>
      <c r="B57" s="9">
        <v>20151231</v>
      </c>
      <c r="C57" s="12">
        <f>_xll.FDS("SPX","FG_PRICE(12/30/2015)")</f>
        <v>2063.36</v>
      </c>
      <c r="D57" s="12">
        <f>_xll.FDS("SPX","FG_PRICE(12/30/2017)")</f>
        <v>2673.61</v>
      </c>
      <c r="E57" s="15">
        <f>D57/C57-1</f>
        <v>0.2957554668114144</v>
      </c>
      <c r="F57" s="8" t="s">
        <v>2297</v>
      </c>
      <c r="G57" s="8" t="s">
        <v>2298</v>
      </c>
      <c r="H57" s="13">
        <f>_xll.FDS(G57,"FG_PRICE(12/30/2015)")</f>
        <v>13.25</v>
      </c>
      <c r="I57" s="13">
        <f>_xll.FDS(G57,"FG_PRICE(12/31/2017)")</f>
        <v>20.170000000000002</v>
      </c>
      <c r="J57" s="13">
        <f>I57/H57-1</f>
        <v>0.52226415094339629</v>
      </c>
      <c r="K57" s="13">
        <f>J57-E57</f>
        <v>0.22650868413198189</v>
      </c>
      <c r="L57" s="13">
        <f>_xll.FDS(G57,"FF_ROE(ANN_R,12/30/2015)")</f>
        <v>9.0145442327077241</v>
      </c>
      <c r="M57" s="8" t="s">
        <v>2299</v>
      </c>
      <c r="N57" s="4" t="s">
        <v>2299</v>
      </c>
      <c r="O57" s="4" t="s">
        <v>2300</v>
      </c>
      <c r="P57" s="4" t="s">
        <v>96</v>
      </c>
      <c r="Q57" s="4" t="s">
        <v>81</v>
      </c>
      <c r="R57" s="4" t="s">
        <v>61</v>
      </c>
      <c r="S57" s="4" t="s">
        <v>62</v>
      </c>
      <c r="T57" s="6" t="e">
        <v>#N/A</v>
      </c>
      <c r="U57" s="5">
        <v>57</v>
      </c>
      <c r="V57" s="5">
        <v>49</v>
      </c>
      <c r="W57" s="5">
        <v>66</v>
      </c>
      <c r="X57" s="5">
        <v>55</v>
      </c>
      <c r="Y57" s="5">
        <v>63.42</v>
      </c>
      <c r="Z57" s="5">
        <v>61.28</v>
      </c>
      <c r="AA57" s="5">
        <v>64.849999999999994</v>
      </c>
      <c r="AB57" s="5">
        <v>64.849999999999994</v>
      </c>
      <c r="AC57" s="6">
        <v>0.3</v>
      </c>
      <c r="AD57" s="6">
        <v>0.35</v>
      </c>
      <c r="AE57" s="6">
        <v>0.35</v>
      </c>
      <c r="AF57" s="4" t="s">
        <v>6296</v>
      </c>
      <c r="AG57" s="4" t="s">
        <v>6296</v>
      </c>
      <c r="AH57" s="4" t="s">
        <v>6296</v>
      </c>
      <c r="AI57" s="4" t="s">
        <v>6296</v>
      </c>
      <c r="AJ57" s="4" t="s">
        <v>6296</v>
      </c>
      <c r="AK57" s="4" t="s">
        <v>6296</v>
      </c>
      <c r="AL57" s="4" t="s">
        <v>37</v>
      </c>
      <c r="AM57" s="4" t="s">
        <v>42</v>
      </c>
      <c r="AN57" s="4" t="s">
        <v>6296</v>
      </c>
      <c r="AO57" s="4" t="s">
        <v>6296</v>
      </c>
      <c r="AP57" s="4" t="s">
        <v>2301</v>
      </c>
      <c r="AQ57" s="4" t="s">
        <v>47</v>
      </c>
    </row>
    <row r="58" spans="1:43" ht="12.6" customHeight="1" x14ac:dyDescent="0.25">
      <c r="A58" s="8" t="s">
        <v>1631</v>
      </c>
      <c r="B58" s="9">
        <v>20151231</v>
      </c>
      <c r="C58" s="12">
        <f>_xll.FDS("SPX","FG_PRICE(12/30/2015)")</f>
        <v>2063.36</v>
      </c>
      <c r="D58" s="12">
        <f>_xll.FDS("SPX","FG_PRICE(12/30/2017)")</f>
        <v>2673.61</v>
      </c>
      <c r="E58" s="15">
        <f>D58/C58-1</f>
        <v>0.2957554668114144</v>
      </c>
      <c r="F58" s="8" t="s">
        <v>1632</v>
      </c>
      <c r="G58" s="8" t="s">
        <v>1633</v>
      </c>
      <c r="H58" s="13">
        <f>_xll.FDS(G58,"FG_PRICE(12/30/2015)")</f>
        <v>122.64</v>
      </c>
      <c r="I58" s="13">
        <f>_xll.FDS(G58,"FG_PRICE(12/31/2017)")</f>
        <v>170.99</v>
      </c>
      <c r="J58" s="13">
        <f>I58/H58-1</f>
        <v>0.39424331376386168</v>
      </c>
      <c r="K58" s="13">
        <f>J58-E58</f>
        <v>9.8487846952447278E-2</v>
      </c>
      <c r="L58" s="13">
        <f>_xll.FDS(G58,"FF_ROE(ANN_R,12/30/2015)")</f>
        <v>8.9200110923925582</v>
      </c>
      <c r="M58" s="8" t="s">
        <v>1634</v>
      </c>
      <c r="N58" s="4" t="s">
        <v>1634</v>
      </c>
      <c r="O58" s="4" t="s">
        <v>1635</v>
      </c>
      <c r="P58" s="4" t="s">
        <v>96</v>
      </c>
      <c r="Q58" s="4" t="s">
        <v>81</v>
      </c>
      <c r="R58" s="4" t="s">
        <v>61</v>
      </c>
      <c r="S58" s="4" t="s">
        <v>62</v>
      </c>
      <c r="T58" s="6" t="e">
        <v>#N/A</v>
      </c>
      <c r="U58" s="5">
        <v>48</v>
      </c>
      <c r="V58" s="5">
        <v>38</v>
      </c>
      <c r="W58" s="5">
        <v>57</v>
      </c>
      <c r="X58" s="5">
        <v>48</v>
      </c>
      <c r="Y58" s="5">
        <v>23.52</v>
      </c>
      <c r="Z58" s="5">
        <v>34.92</v>
      </c>
      <c r="AA58" s="5">
        <v>18.29</v>
      </c>
      <c r="AB58" s="5">
        <v>36.340000000000003</v>
      </c>
      <c r="AC58" s="6">
        <v>0.3</v>
      </c>
      <c r="AD58" s="6">
        <v>0.35</v>
      </c>
      <c r="AE58" s="6">
        <v>0.35</v>
      </c>
      <c r="AF58" s="4" t="s">
        <v>6296</v>
      </c>
      <c r="AG58" s="4" t="s">
        <v>6296</v>
      </c>
      <c r="AH58" s="4" t="s">
        <v>6296</v>
      </c>
      <c r="AI58" s="4" t="s">
        <v>42</v>
      </c>
      <c r="AJ58" s="4" t="s">
        <v>6296</v>
      </c>
      <c r="AK58" s="4" t="s">
        <v>37</v>
      </c>
      <c r="AL58" s="4" t="s">
        <v>37</v>
      </c>
      <c r="AM58" s="4" t="s">
        <v>42</v>
      </c>
      <c r="AN58" s="4" t="s">
        <v>42</v>
      </c>
      <c r="AO58" s="4" t="s">
        <v>6296</v>
      </c>
      <c r="AP58" s="4" t="s">
        <v>1636</v>
      </c>
      <c r="AQ58" s="4" t="s">
        <v>47</v>
      </c>
    </row>
    <row r="59" spans="1:43" ht="12.6" customHeight="1" x14ac:dyDescent="0.25">
      <c r="A59" s="8" t="s">
        <v>3278</v>
      </c>
      <c r="B59" s="9">
        <v>20151231</v>
      </c>
      <c r="C59" s="12">
        <f>_xll.FDS("SPX","FG_PRICE(12/30/2015)")</f>
        <v>2063.36</v>
      </c>
      <c r="D59" s="12">
        <f>_xll.FDS("SPX","FG_PRICE(12/30/2017)")</f>
        <v>2673.61</v>
      </c>
      <c r="E59" s="15">
        <f>D59/C59-1</f>
        <v>0.2957554668114144</v>
      </c>
      <c r="F59" s="8" t="s">
        <v>3279</v>
      </c>
      <c r="G59" s="8" t="s">
        <v>3280</v>
      </c>
      <c r="H59" s="13">
        <f>_xll.FDS(G59,"FG_PRICE(12/30/2015)")</f>
        <v>16.47</v>
      </c>
      <c r="I59" s="13">
        <f>_xll.FDS(G59,"FG_PRICE(12/31/2017)")</f>
        <v>13.02</v>
      </c>
      <c r="J59" s="13">
        <f>I59/H59-1</f>
        <v>-0.20947176684881597</v>
      </c>
      <c r="K59" s="13">
        <f>J59-E59</f>
        <v>-0.50522723366023037</v>
      </c>
      <c r="L59" s="13">
        <f>_xll.FDS(G59,"FF_ROE(ANN_R,12/30/2015)")</f>
        <v>8.3694024307580559</v>
      </c>
      <c r="M59" s="8" t="s">
        <v>3281</v>
      </c>
      <c r="N59" s="4" t="s">
        <v>3282</v>
      </c>
      <c r="O59" s="4" t="s">
        <v>3283</v>
      </c>
      <c r="P59" s="4" t="s">
        <v>96</v>
      </c>
      <c r="Q59" s="4" t="s">
        <v>81</v>
      </c>
      <c r="R59" s="4" t="s">
        <v>61</v>
      </c>
      <c r="S59" s="4" t="s">
        <v>62</v>
      </c>
      <c r="T59" s="6" t="e">
        <v>#N/A</v>
      </c>
      <c r="U59" s="5">
        <v>49</v>
      </c>
      <c r="V59" s="5">
        <v>33</v>
      </c>
      <c r="W59" s="5">
        <v>61</v>
      </c>
      <c r="X59" s="5">
        <v>51</v>
      </c>
      <c r="Y59" s="5">
        <v>31.35</v>
      </c>
      <c r="Z59" s="5">
        <v>10.45</v>
      </c>
      <c r="AA59" s="5">
        <v>37.53</v>
      </c>
      <c r="AB59" s="5">
        <v>50.36</v>
      </c>
      <c r="AC59" s="6">
        <v>0.3</v>
      </c>
      <c r="AD59" s="6">
        <v>0.35</v>
      </c>
      <c r="AE59" s="6">
        <v>0.35</v>
      </c>
      <c r="AF59" s="4" t="s">
        <v>6296</v>
      </c>
      <c r="AG59" s="4" t="s">
        <v>6296</v>
      </c>
      <c r="AH59" s="4" t="s">
        <v>6296</v>
      </c>
      <c r="AI59" s="4" t="s">
        <v>6296</v>
      </c>
      <c r="AJ59" s="4" t="s">
        <v>6296</v>
      </c>
      <c r="AK59" s="4" t="s">
        <v>6296</v>
      </c>
      <c r="AL59" s="4" t="s">
        <v>6296</v>
      </c>
      <c r="AM59" s="4" t="s">
        <v>6296</v>
      </c>
      <c r="AN59" s="4" t="s">
        <v>6296</v>
      </c>
      <c r="AO59" s="4" t="s">
        <v>6296</v>
      </c>
      <c r="AP59" s="4" t="s">
        <v>3284</v>
      </c>
      <c r="AQ59" s="4" t="s">
        <v>47</v>
      </c>
    </row>
    <row r="60" spans="1:43" ht="12.6" customHeight="1" x14ac:dyDescent="0.25">
      <c r="A60" s="8" t="s">
        <v>4771</v>
      </c>
      <c r="B60" s="9">
        <v>20151231</v>
      </c>
      <c r="C60" s="12">
        <f>_xll.FDS("SPX","FG_PRICE(12/30/2015)")</f>
        <v>2063.36</v>
      </c>
      <c r="D60" s="12">
        <f>_xll.FDS("SPX","FG_PRICE(12/30/2017)")</f>
        <v>2673.61</v>
      </c>
      <c r="E60" s="15">
        <f>D60/C60-1</f>
        <v>0.2957554668114144</v>
      </c>
      <c r="F60" s="8" t="s">
        <v>4772</v>
      </c>
      <c r="G60" s="8" t="s">
        <v>4773</v>
      </c>
      <c r="H60" s="13">
        <f>_xll.FDS(G60,"FG_PRICE(12/30/2015)")</f>
        <v>6.94</v>
      </c>
      <c r="I60" s="13">
        <f>_xll.FDS(G60,"FG_PRICE(12/31/2017)")</f>
        <v>3.13</v>
      </c>
      <c r="J60" s="13">
        <f>I60/H60-1</f>
        <v>-0.54899135446685876</v>
      </c>
      <c r="K60" s="13">
        <f>J60-E60</f>
        <v>-0.84474682127827316</v>
      </c>
      <c r="L60" s="13">
        <f>_xll.FDS(G60,"FF_ROE(ANN_R,12/30/2015)")</f>
        <v>-32.273731806525227</v>
      </c>
      <c r="M60" s="8" t="s">
        <v>4774</v>
      </c>
      <c r="N60" s="4" t="s">
        <v>4774</v>
      </c>
      <c r="O60" s="4" t="s">
        <v>4775</v>
      </c>
      <c r="P60" s="4" t="s">
        <v>96</v>
      </c>
      <c r="Q60" s="4" t="s">
        <v>81</v>
      </c>
      <c r="R60" s="4" t="s">
        <v>61</v>
      </c>
      <c r="S60" s="4" t="s">
        <v>62</v>
      </c>
      <c r="T60" s="6" t="e">
        <v>#N/A</v>
      </c>
      <c r="U60" s="5">
        <v>43</v>
      </c>
      <c r="V60" s="5">
        <v>38</v>
      </c>
      <c r="W60" s="5">
        <v>47</v>
      </c>
      <c r="X60" s="5">
        <v>43</v>
      </c>
      <c r="Y60" s="6">
        <v>1.9</v>
      </c>
      <c r="Z60" s="5">
        <v>34.92</v>
      </c>
      <c r="AA60" s="6">
        <v>0</v>
      </c>
      <c r="AB60" s="5">
        <v>13.54</v>
      </c>
      <c r="AC60" s="6">
        <v>0.3</v>
      </c>
      <c r="AD60" s="6">
        <v>0.35</v>
      </c>
      <c r="AE60" s="6">
        <v>0.35</v>
      </c>
      <c r="AF60" s="4" t="s">
        <v>6296</v>
      </c>
      <c r="AG60" s="4" t="s">
        <v>6296</v>
      </c>
      <c r="AH60" s="4" t="s">
        <v>6296</v>
      </c>
      <c r="AI60" s="4" t="s">
        <v>6296</v>
      </c>
      <c r="AJ60" s="4" t="s">
        <v>6296</v>
      </c>
      <c r="AK60" s="4" t="s">
        <v>46</v>
      </c>
      <c r="AL60" s="4" t="s">
        <v>6296</v>
      </c>
      <c r="AM60" s="4" t="s">
        <v>46</v>
      </c>
      <c r="AN60" s="4" t="s">
        <v>42</v>
      </c>
      <c r="AO60" s="4" t="s">
        <v>6296</v>
      </c>
      <c r="AP60" s="4" t="s">
        <v>4776</v>
      </c>
      <c r="AQ60" s="4" t="s">
        <v>47</v>
      </c>
    </row>
    <row r="61" spans="1:43" ht="12.6" customHeight="1" x14ac:dyDescent="0.25">
      <c r="A61" s="8" t="s">
        <v>4875</v>
      </c>
      <c r="B61" s="9">
        <v>20151231</v>
      </c>
      <c r="C61" s="12">
        <f>_xll.FDS("SPX","FG_PRICE(12/30/2015)")</f>
        <v>2063.36</v>
      </c>
      <c r="D61" s="12">
        <f>_xll.FDS("SPX","FG_PRICE(12/30/2017)")</f>
        <v>2673.61</v>
      </c>
      <c r="E61" s="15">
        <f>D61/C61-1</f>
        <v>0.2957554668114144</v>
      </c>
      <c r="F61" s="8" t="s">
        <v>4876</v>
      </c>
      <c r="G61" s="8" t="s">
        <v>4877</v>
      </c>
      <c r="H61" s="13">
        <f>_xll.FDS(G61,"FG_PRICE(12/30/2015)")</f>
        <v>16.350000000000001</v>
      </c>
      <c r="I61" s="13">
        <f>_xll.FDS(G61,"FG_PRICE(12/31/2017)")</f>
        <v>18.7</v>
      </c>
      <c r="J61" s="13">
        <f>I61/H61-1</f>
        <v>0.14373088685015278</v>
      </c>
      <c r="K61" s="13">
        <f>J61-E61</f>
        <v>-0.15202457996126162</v>
      </c>
      <c r="L61" s="13">
        <f>_xll.FDS(G61,"FF_ROE(ANN_R,12/30/2015)")</f>
        <v>5.4447644405803404</v>
      </c>
      <c r="M61" s="8" t="s">
        <v>4878</v>
      </c>
      <c r="N61" s="4" t="s">
        <v>4879</v>
      </c>
      <c r="O61" s="4" t="s">
        <v>4880</v>
      </c>
      <c r="P61" s="4" t="s">
        <v>106</v>
      </c>
      <c r="Q61" s="4" t="s">
        <v>81</v>
      </c>
      <c r="R61" s="4" t="s">
        <v>61</v>
      </c>
      <c r="S61" s="4" t="s">
        <v>62</v>
      </c>
      <c r="T61" s="6" t="e">
        <v>#N/A</v>
      </c>
      <c r="U61" s="5">
        <v>50</v>
      </c>
      <c r="V61" s="5">
        <v>33</v>
      </c>
      <c r="W61" s="5">
        <v>57</v>
      </c>
      <c r="X61" s="5">
        <v>56</v>
      </c>
      <c r="Y61" s="5">
        <v>36.1</v>
      </c>
      <c r="Z61" s="5">
        <v>10.45</v>
      </c>
      <c r="AA61" s="5">
        <v>18.29</v>
      </c>
      <c r="AB61" s="5">
        <v>69.83</v>
      </c>
      <c r="AC61" s="6">
        <v>0.3</v>
      </c>
      <c r="AD61" s="6">
        <v>0.35</v>
      </c>
      <c r="AE61" s="6">
        <v>0.35</v>
      </c>
      <c r="AF61" s="4" t="s">
        <v>6296</v>
      </c>
      <c r="AG61" s="4" t="s">
        <v>6296</v>
      </c>
      <c r="AH61" s="4" t="s">
        <v>6296</v>
      </c>
      <c r="AI61" s="4" t="s">
        <v>6296</v>
      </c>
      <c r="AJ61" s="4" t="s">
        <v>6296</v>
      </c>
      <c r="AK61" s="4" t="s">
        <v>6296</v>
      </c>
      <c r="AL61" s="4" t="s">
        <v>37</v>
      </c>
      <c r="AM61" s="4" t="s">
        <v>42</v>
      </c>
      <c r="AN61" s="4" t="s">
        <v>6296</v>
      </c>
      <c r="AO61" s="4" t="s">
        <v>6296</v>
      </c>
      <c r="AP61" s="4" t="s">
        <v>4881</v>
      </c>
      <c r="AQ61" s="4" t="s">
        <v>47</v>
      </c>
    </row>
    <row r="62" spans="1:43" ht="12.6" customHeight="1" x14ac:dyDescent="0.25">
      <c r="A62" s="8" t="s">
        <v>3167</v>
      </c>
      <c r="B62" s="9">
        <v>20151231</v>
      </c>
      <c r="C62" s="12">
        <f>_xll.FDS("SPX","FG_PRICE(12/30/2015)")</f>
        <v>2063.36</v>
      </c>
      <c r="D62" s="12">
        <f>_xll.FDS("SPX","FG_PRICE(12/30/2017)")</f>
        <v>2673.61</v>
      </c>
      <c r="E62" s="15">
        <f>D62/C62-1</f>
        <v>0.2957554668114144</v>
      </c>
      <c r="F62" s="8" t="s">
        <v>3168</v>
      </c>
      <c r="G62" s="8" t="s">
        <v>3169</v>
      </c>
      <c r="H62" s="13">
        <f>_xll.FDS(G62,"FG_PRICE(12/30/2015)")</f>
        <v>96.1</v>
      </c>
      <c r="I62" s="13">
        <f>_xll.FDS(G62,"FG_PRICE(12/31/2017)")</f>
        <v>144.29</v>
      </c>
      <c r="J62" s="13">
        <f>I62/H62-1</f>
        <v>0.50145681581685753</v>
      </c>
      <c r="K62" s="13">
        <f>J62-E62</f>
        <v>0.20570134900544312</v>
      </c>
      <c r="L62" s="13">
        <f>_xll.FDS(G62,"FF_ROE(ANN_R,12/30/2015)")</f>
        <v>9.5976264676456715</v>
      </c>
      <c r="M62" s="8" t="s">
        <v>3170</v>
      </c>
      <c r="N62" s="4" t="s">
        <v>3171</v>
      </c>
      <c r="O62" s="4" t="s">
        <v>3172</v>
      </c>
      <c r="P62" s="4" t="s">
        <v>96</v>
      </c>
      <c r="Q62" s="4" t="s">
        <v>81</v>
      </c>
      <c r="R62" s="4" t="s">
        <v>61</v>
      </c>
      <c r="S62" s="4" t="s">
        <v>62</v>
      </c>
      <c r="T62" s="6" t="e">
        <v>#N/A</v>
      </c>
      <c r="U62" s="5">
        <v>53</v>
      </c>
      <c r="V62" s="5">
        <v>51</v>
      </c>
      <c r="W62" s="5">
        <v>58</v>
      </c>
      <c r="X62" s="5">
        <v>49</v>
      </c>
      <c r="Y62" s="5">
        <v>52.26</v>
      </c>
      <c r="Z62" s="5">
        <v>64.37</v>
      </c>
      <c r="AA62" s="5">
        <v>20.67</v>
      </c>
      <c r="AB62" s="5">
        <v>40.14</v>
      </c>
      <c r="AC62" s="6">
        <v>0.3</v>
      </c>
      <c r="AD62" s="6">
        <v>0.35</v>
      </c>
      <c r="AE62" s="6">
        <v>0.35</v>
      </c>
      <c r="AF62" s="4" t="s">
        <v>6296</v>
      </c>
      <c r="AG62" s="4" t="s">
        <v>6296</v>
      </c>
      <c r="AH62" s="4" t="s">
        <v>37</v>
      </c>
      <c r="AI62" s="4" t="s">
        <v>42</v>
      </c>
      <c r="AJ62" s="4" t="s">
        <v>6296</v>
      </c>
      <c r="AK62" s="4" t="s">
        <v>46</v>
      </c>
      <c r="AL62" s="4" t="s">
        <v>37</v>
      </c>
      <c r="AM62" s="4" t="s">
        <v>37</v>
      </c>
      <c r="AN62" s="4" t="s">
        <v>6296</v>
      </c>
      <c r="AO62" s="4" t="s">
        <v>6296</v>
      </c>
      <c r="AP62" s="4" t="s">
        <v>3173</v>
      </c>
      <c r="AQ62" s="4" t="s">
        <v>47</v>
      </c>
    </row>
    <row r="63" spans="1:43" ht="12.6" customHeight="1" x14ac:dyDescent="0.25">
      <c r="A63" s="8" t="s">
        <v>4559</v>
      </c>
      <c r="B63" s="9">
        <v>20151231</v>
      </c>
      <c r="C63" s="12">
        <f>_xll.FDS("SPX","FG_PRICE(12/30/2015)")</f>
        <v>2063.36</v>
      </c>
      <c r="D63" s="12">
        <f>_xll.FDS("SPX","FG_PRICE(12/30/2017)")</f>
        <v>2673.61</v>
      </c>
      <c r="E63" s="15">
        <f>D63/C63-1</f>
        <v>0.2957554668114144</v>
      </c>
      <c r="F63" s="8" t="s">
        <v>4560</v>
      </c>
      <c r="G63" s="8" t="s">
        <v>4561</v>
      </c>
      <c r="H63" s="13">
        <f>_xll.FDS(G63,"FG_PRICE(12/30/2015)")</f>
        <v>9.65</v>
      </c>
      <c r="I63" s="13">
        <f>_xll.FDS(G63,"FG_PRICE(12/31/2017)")</f>
        <v>17.28</v>
      </c>
      <c r="J63" s="13">
        <f>I63/H63-1</f>
        <v>0.79067357512953373</v>
      </c>
      <c r="K63" s="13">
        <f>J63-E63</f>
        <v>0.49491810831811933</v>
      </c>
      <c r="L63" s="13">
        <f>_xll.FDS(G63,"FF_ROE(ANN_R,12/30/2015)")</f>
        <v>6.9725554843239612</v>
      </c>
      <c r="M63" s="8" t="s">
        <v>4562</v>
      </c>
      <c r="N63" s="4" t="s">
        <v>4562</v>
      </c>
      <c r="O63" s="4" t="s">
        <v>4527</v>
      </c>
      <c r="P63" s="4" t="s">
        <v>96</v>
      </c>
      <c r="Q63" s="4" t="s">
        <v>81</v>
      </c>
      <c r="R63" s="4" t="s">
        <v>61</v>
      </c>
      <c r="S63" s="4" t="s">
        <v>62</v>
      </c>
      <c r="T63" s="6" t="e">
        <v>#N/A</v>
      </c>
      <c r="U63" s="5">
        <v>50</v>
      </c>
      <c r="V63" s="5">
        <v>41</v>
      </c>
      <c r="W63" s="5">
        <v>58</v>
      </c>
      <c r="X63" s="5">
        <v>50</v>
      </c>
      <c r="Y63" s="5">
        <v>36.1</v>
      </c>
      <c r="Z63" s="5">
        <v>42.76</v>
      </c>
      <c r="AA63" s="5">
        <v>20.67</v>
      </c>
      <c r="AB63" s="5">
        <v>45.37</v>
      </c>
      <c r="AC63" s="6">
        <v>0.3</v>
      </c>
      <c r="AD63" s="6">
        <v>0.35</v>
      </c>
      <c r="AE63" s="6">
        <v>0.35</v>
      </c>
      <c r="AF63" s="4" t="s">
        <v>6296</v>
      </c>
      <c r="AG63" s="4" t="s">
        <v>6296</v>
      </c>
      <c r="AH63" s="4" t="s">
        <v>6296</v>
      </c>
      <c r="AI63" s="4" t="s">
        <v>42</v>
      </c>
      <c r="AJ63" s="4" t="s">
        <v>6296</v>
      </c>
      <c r="AK63" s="4" t="s">
        <v>37</v>
      </c>
      <c r="AL63" s="4" t="s">
        <v>37</v>
      </c>
      <c r="AM63" s="4" t="s">
        <v>6296</v>
      </c>
      <c r="AN63" s="4" t="s">
        <v>37</v>
      </c>
      <c r="AO63" s="4" t="s">
        <v>6296</v>
      </c>
      <c r="AP63" s="4" t="s">
        <v>4563</v>
      </c>
      <c r="AQ63" s="4" t="s">
        <v>47</v>
      </c>
    </row>
    <row r="64" spans="1:43" ht="12.6" customHeight="1" x14ac:dyDescent="0.25">
      <c r="A64" s="8" t="s">
        <v>5905</v>
      </c>
      <c r="B64" s="9">
        <v>20151231</v>
      </c>
      <c r="C64" s="12">
        <f>_xll.FDS("SPX","FG_PRICE(12/30/2015)")</f>
        <v>2063.36</v>
      </c>
      <c r="D64" s="12">
        <f>_xll.FDS("SPX","FG_PRICE(12/30/2017)")</f>
        <v>2673.61</v>
      </c>
      <c r="E64" s="15">
        <f>D64/C64-1</f>
        <v>0.2957554668114144</v>
      </c>
      <c r="F64" s="8" t="s">
        <v>5906</v>
      </c>
      <c r="G64" s="8" t="s">
        <v>5907</v>
      </c>
      <c r="H64" s="13">
        <f>_xll.FDS(G64,"FG_PRICE(12/30/2015)")</f>
        <v>32.71</v>
      </c>
      <c r="I64" s="13">
        <f>_xll.FDS(G64,"FG_PRICE(12/31/2017)")</f>
        <v>47.94</v>
      </c>
      <c r="J64" s="13">
        <f>I64/H64-1</f>
        <v>0.46560684805869745</v>
      </c>
      <c r="K64" s="13">
        <f>J64-E64</f>
        <v>0.16985138124728305</v>
      </c>
      <c r="L64" s="13">
        <f>_xll.FDS(G64,"FF_ROE(ANN_R,12/30/2015)")</f>
        <v>6.5188877602038646</v>
      </c>
      <c r="M64" s="8" t="s">
        <v>5908</v>
      </c>
      <c r="N64" s="4" t="s">
        <v>5908</v>
      </c>
      <c r="O64" s="4" t="s">
        <v>5909</v>
      </c>
      <c r="P64" s="4" t="s">
        <v>96</v>
      </c>
      <c r="Q64" s="4" t="s">
        <v>81</v>
      </c>
      <c r="R64" s="4" t="s">
        <v>61</v>
      </c>
      <c r="S64" s="4" t="s">
        <v>62</v>
      </c>
      <c r="T64" s="6" t="e">
        <v>#N/A</v>
      </c>
      <c r="U64" s="5">
        <v>45</v>
      </c>
      <c r="V64" s="5">
        <v>32</v>
      </c>
      <c r="W64" s="5">
        <v>53</v>
      </c>
      <c r="X64" s="5">
        <v>47</v>
      </c>
      <c r="Y64" s="6">
        <v>7.36</v>
      </c>
      <c r="Z64" s="6">
        <v>2.14</v>
      </c>
      <c r="AA64" s="6">
        <v>5.23</v>
      </c>
      <c r="AB64" s="5">
        <v>31.35</v>
      </c>
      <c r="AC64" s="6">
        <v>0.3</v>
      </c>
      <c r="AD64" s="6">
        <v>0.35</v>
      </c>
      <c r="AE64" s="6">
        <v>0.35</v>
      </c>
      <c r="AF64" s="4" t="s">
        <v>6296</v>
      </c>
      <c r="AG64" s="4" t="s">
        <v>6296</v>
      </c>
      <c r="AH64" s="4" t="s">
        <v>6296</v>
      </c>
      <c r="AI64" s="4" t="s">
        <v>6296</v>
      </c>
      <c r="AJ64" s="4" t="s">
        <v>6296</v>
      </c>
      <c r="AK64" s="4" t="s">
        <v>42</v>
      </c>
      <c r="AL64" s="4" t="s">
        <v>37</v>
      </c>
      <c r="AM64" s="4" t="s">
        <v>6296</v>
      </c>
      <c r="AN64" s="4" t="s">
        <v>42</v>
      </c>
      <c r="AO64" s="4" t="s">
        <v>6296</v>
      </c>
      <c r="AP64" s="4" t="s">
        <v>5910</v>
      </c>
      <c r="AQ64" s="4" t="s">
        <v>47</v>
      </c>
    </row>
    <row r="65" spans="1:43" ht="12.6" customHeight="1" x14ac:dyDescent="0.25">
      <c r="A65" s="8" t="s">
        <v>3859</v>
      </c>
      <c r="B65" s="9">
        <v>20151231</v>
      </c>
      <c r="C65" s="12">
        <f>_xll.FDS("SPX","FG_PRICE(12/30/2015)")</f>
        <v>2063.36</v>
      </c>
      <c r="D65" s="12">
        <f>_xll.FDS("SPX","FG_PRICE(12/30/2017)")</f>
        <v>2673.61</v>
      </c>
      <c r="E65" s="15">
        <f>D65/C65-1</f>
        <v>0.2957554668114144</v>
      </c>
      <c r="F65" s="8" t="s">
        <v>3860</v>
      </c>
      <c r="G65" s="8" t="s">
        <v>3861</v>
      </c>
      <c r="H65" s="13">
        <f>_xll.FDS(G65,"FG_PRICE(12/30/2015)")</f>
        <v>43.31</v>
      </c>
      <c r="I65" s="13">
        <f>_xll.FDS(G65,"FG_PRICE(12/31/2017)")</f>
        <v>64.59</v>
      </c>
      <c r="J65" s="13">
        <f>I65/H65-1</f>
        <v>0.49134149157238505</v>
      </c>
      <c r="K65" s="13">
        <f>J65-E65</f>
        <v>0.19558602476097064</v>
      </c>
      <c r="L65" s="13">
        <f>_xll.FDS(G65,"FF_ROE(ANN_R,12/30/2015)")</f>
        <v>7.941116888378688</v>
      </c>
      <c r="M65" s="8" t="s">
        <v>3862</v>
      </c>
      <c r="N65" s="4" t="s">
        <v>3863</v>
      </c>
      <c r="O65" s="4" t="s">
        <v>3864</v>
      </c>
      <c r="P65" s="4" t="s">
        <v>96</v>
      </c>
      <c r="Q65" s="4" t="s">
        <v>81</v>
      </c>
      <c r="R65" s="4" t="s">
        <v>61</v>
      </c>
      <c r="S65" s="4" t="s">
        <v>62</v>
      </c>
      <c r="T65" s="6" t="e">
        <v>#N/A</v>
      </c>
      <c r="U65" s="5">
        <v>46</v>
      </c>
      <c r="V65" s="5">
        <v>33</v>
      </c>
      <c r="W65" s="5">
        <v>52</v>
      </c>
      <c r="X65" s="5">
        <v>51</v>
      </c>
      <c r="Y65" s="5">
        <v>12.83</v>
      </c>
      <c r="Z65" s="5">
        <v>10.45</v>
      </c>
      <c r="AA65" s="6">
        <v>3.09</v>
      </c>
      <c r="AB65" s="5">
        <v>50.36</v>
      </c>
      <c r="AC65" s="6">
        <v>0.3</v>
      </c>
      <c r="AD65" s="6">
        <v>0.35</v>
      </c>
      <c r="AE65" s="6">
        <v>0.35</v>
      </c>
      <c r="AF65" s="4" t="s">
        <v>6296</v>
      </c>
      <c r="AG65" s="4" t="s">
        <v>6296</v>
      </c>
      <c r="AH65" s="4" t="s">
        <v>6296</v>
      </c>
      <c r="AI65" s="4" t="s">
        <v>42</v>
      </c>
      <c r="AJ65" s="4" t="s">
        <v>6296</v>
      </c>
      <c r="AK65" s="4" t="s">
        <v>46</v>
      </c>
      <c r="AL65" s="4" t="s">
        <v>37</v>
      </c>
      <c r="AM65" s="4" t="s">
        <v>6296</v>
      </c>
      <c r="AN65" s="4" t="s">
        <v>6296</v>
      </c>
      <c r="AO65" s="4" t="s">
        <v>6296</v>
      </c>
      <c r="AP65" s="4" t="s">
        <v>3865</v>
      </c>
      <c r="AQ65" s="4" t="s">
        <v>47</v>
      </c>
    </row>
    <row r="66" spans="1:43" ht="12.6" customHeight="1" x14ac:dyDescent="0.25">
      <c r="A66" s="8" t="s">
        <v>3906</v>
      </c>
      <c r="B66" s="9">
        <v>20151231</v>
      </c>
      <c r="C66" s="12">
        <f>_xll.FDS("SPX","FG_PRICE(12/30/2015)")</f>
        <v>2063.36</v>
      </c>
      <c r="D66" s="12">
        <f>_xll.FDS("SPX","FG_PRICE(12/30/2017)")</f>
        <v>2673.61</v>
      </c>
      <c r="E66" s="15">
        <f>D66/C66-1</f>
        <v>0.2957554668114144</v>
      </c>
      <c r="F66" s="8" t="s">
        <v>3907</v>
      </c>
      <c r="G66" s="8" t="s">
        <v>3908</v>
      </c>
      <c r="H66" s="13">
        <f>_xll.FDS(G66,"FG_PRICE(12/30/2015)")</f>
        <v>14.28</v>
      </c>
      <c r="I66" s="13">
        <f>_xll.FDS(G66,"FG_PRICE(12/31/2017)")</f>
        <v>20.5</v>
      </c>
      <c r="J66" s="13">
        <f>I66/H66-1</f>
        <v>0.43557422969187676</v>
      </c>
      <c r="K66" s="13">
        <f>J66-E66</f>
        <v>0.13981876288046236</v>
      </c>
      <c r="L66" s="13">
        <f>_xll.FDS(G66,"FF_ROE(ANN_R,12/30/2015)")</f>
        <v>8.5478954218273753</v>
      </c>
      <c r="M66" s="8" t="s">
        <v>3909</v>
      </c>
      <c r="N66" s="4" t="s">
        <v>3909</v>
      </c>
      <c r="O66" s="4" t="s">
        <v>3910</v>
      </c>
      <c r="P66" s="4" t="s">
        <v>96</v>
      </c>
      <c r="Q66" s="4" t="s">
        <v>81</v>
      </c>
      <c r="R66" s="4" t="s">
        <v>61</v>
      </c>
      <c r="S66" s="4" t="s">
        <v>62</v>
      </c>
      <c r="T66" s="6" t="e">
        <v>#N/A</v>
      </c>
      <c r="U66" s="5">
        <v>49</v>
      </c>
      <c r="V66" s="5">
        <v>32</v>
      </c>
      <c r="W66" s="5">
        <v>61</v>
      </c>
      <c r="X66" s="5">
        <v>52</v>
      </c>
      <c r="Y66" s="5">
        <v>31.35</v>
      </c>
      <c r="Z66" s="6">
        <v>2.14</v>
      </c>
      <c r="AA66" s="5">
        <v>37.53</v>
      </c>
      <c r="AB66" s="5">
        <v>54.63</v>
      </c>
      <c r="AC66" s="6">
        <v>0.3</v>
      </c>
      <c r="AD66" s="6">
        <v>0.35</v>
      </c>
      <c r="AE66" s="6">
        <v>0.35</v>
      </c>
      <c r="AF66" s="4" t="s">
        <v>6296</v>
      </c>
      <c r="AG66" s="4" t="s">
        <v>6296</v>
      </c>
      <c r="AH66" s="4" t="s">
        <v>6296</v>
      </c>
      <c r="AI66" s="4" t="s">
        <v>42</v>
      </c>
      <c r="AJ66" s="4" t="s">
        <v>6296</v>
      </c>
      <c r="AK66" s="4" t="s">
        <v>6296</v>
      </c>
      <c r="AL66" s="4" t="s">
        <v>6296</v>
      </c>
      <c r="AM66" s="4" t="s">
        <v>42</v>
      </c>
      <c r="AN66" s="4" t="s">
        <v>6296</v>
      </c>
      <c r="AO66" s="4" t="s">
        <v>6296</v>
      </c>
      <c r="AP66" s="4" t="s">
        <v>3911</v>
      </c>
      <c r="AQ66" s="4" t="s">
        <v>47</v>
      </c>
    </row>
    <row r="67" spans="1:43" ht="12.6" customHeight="1" x14ac:dyDescent="0.25">
      <c r="A67" s="8" t="s">
        <v>4882</v>
      </c>
      <c r="B67" s="9">
        <v>20151231</v>
      </c>
      <c r="C67" s="12">
        <f>_xll.FDS("SPX","FG_PRICE(12/30/2015)")</f>
        <v>2063.36</v>
      </c>
      <c r="D67" s="12">
        <f>_xll.FDS("SPX","FG_PRICE(12/30/2017)")</f>
        <v>2673.61</v>
      </c>
      <c r="E67" s="15">
        <f>D67/C67-1</f>
        <v>0.2957554668114144</v>
      </c>
      <c r="F67" s="8" t="s">
        <v>4883</v>
      </c>
      <c r="G67" s="8" t="s">
        <v>4884</v>
      </c>
      <c r="H67" s="13">
        <f>_xll.FDS(G67,"FG_PRICE(12/30/2015)")</f>
        <v>19.02</v>
      </c>
      <c r="I67" s="13">
        <f>_xll.FDS(G67,"FG_PRICE(12/31/2017)")</f>
        <v>14.94</v>
      </c>
      <c r="J67" s="13">
        <f>I67/H67-1</f>
        <v>-0.21451104100946372</v>
      </c>
      <c r="K67" s="13">
        <f>J67-E67</f>
        <v>-0.51026650782087812</v>
      </c>
      <c r="L67" s="13">
        <f>_xll.FDS(G67,"FF_ROE(ANN_R,12/30/2015)")</f>
        <v>4.032977782335764</v>
      </c>
      <c r="M67" s="8" t="s">
        <v>4885</v>
      </c>
      <c r="N67" s="4" t="s">
        <v>4886</v>
      </c>
      <c r="O67" s="4" t="s">
        <v>4887</v>
      </c>
      <c r="P67" s="4" t="s">
        <v>106</v>
      </c>
      <c r="Q67" s="4" t="s">
        <v>81</v>
      </c>
      <c r="R67" s="4" t="s">
        <v>61</v>
      </c>
      <c r="S67" s="4" t="s">
        <v>62</v>
      </c>
      <c r="T67" s="6" t="e">
        <v>#N/A</v>
      </c>
      <c r="U67" s="5">
        <v>47</v>
      </c>
      <c r="V67" s="5">
        <v>33</v>
      </c>
      <c r="W67" s="5">
        <v>57</v>
      </c>
      <c r="X67" s="5">
        <v>50</v>
      </c>
      <c r="Y67" s="5">
        <v>17.34</v>
      </c>
      <c r="Z67" s="5">
        <v>10.45</v>
      </c>
      <c r="AA67" s="5">
        <v>18.29</v>
      </c>
      <c r="AB67" s="5">
        <v>45.37</v>
      </c>
      <c r="AC67" s="6">
        <v>0.3</v>
      </c>
      <c r="AD67" s="6">
        <v>0.35</v>
      </c>
      <c r="AE67" s="6">
        <v>0.35</v>
      </c>
      <c r="AF67" s="4" t="s">
        <v>6296</v>
      </c>
      <c r="AG67" s="4" t="s">
        <v>6296</v>
      </c>
      <c r="AH67" s="4" t="s">
        <v>6296</v>
      </c>
      <c r="AI67" s="4" t="s">
        <v>6296</v>
      </c>
      <c r="AJ67" s="4" t="s">
        <v>6296</v>
      </c>
      <c r="AK67" s="4" t="s">
        <v>6296</v>
      </c>
      <c r="AL67" s="4" t="s">
        <v>6296</v>
      </c>
      <c r="AM67" s="4" t="s">
        <v>6296</v>
      </c>
      <c r="AN67" s="4" t="s">
        <v>6296</v>
      </c>
      <c r="AO67" s="4" t="s">
        <v>6296</v>
      </c>
      <c r="AP67" s="4" t="s">
        <v>4888</v>
      </c>
      <c r="AQ67" s="4" t="s">
        <v>47</v>
      </c>
    </row>
    <row r="68" spans="1:43" ht="12.6" customHeight="1" x14ac:dyDescent="0.25">
      <c r="A68" s="8" t="s">
        <v>3396</v>
      </c>
      <c r="B68" s="9">
        <v>20151231</v>
      </c>
      <c r="C68" s="12">
        <f>_xll.FDS("SPX","FG_PRICE(12/30/2015)")</f>
        <v>2063.36</v>
      </c>
      <c r="D68" s="12">
        <f>_xll.FDS("SPX","FG_PRICE(12/30/2017)")</f>
        <v>2673.61</v>
      </c>
      <c r="E68" s="15">
        <f>D68/C68-1</f>
        <v>0.2957554668114144</v>
      </c>
      <c r="F68" s="8" t="s">
        <v>3397</v>
      </c>
      <c r="G68" s="8" t="s">
        <v>3398</v>
      </c>
      <c r="H68" s="13">
        <f>_xll.FDS(G68,"FG_PRICE(12/30/2015)")</f>
        <v>43.01</v>
      </c>
      <c r="I68" s="13">
        <f>_xll.FDS(G68,"FG_PRICE(12/31/2017)")</f>
        <v>53.58</v>
      </c>
      <c r="J68" s="13">
        <f>I68/H68-1</f>
        <v>0.24575680074401296</v>
      </c>
      <c r="K68" s="13">
        <f>J68-E68</f>
        <v>-4.9998666067401443E-2</v>
      </c>
      <c r="L68" s="13">
        <f>_xll.FDS(G68,"FF_ROE(ANN_R,12/30/2015)")</f>
        <v>13.774352184603741</v>
      </c>
      <c r="M68" s="8" t="s">
        <v>3399</v>
      </c>
      <c r="N68" s="4" t="s">
        <v>3399</v>
      </c>
      <c r="O68" s="4" t="s">
        <v>3400</v>
      </c>
      <c r="P68" s="4" t="s">
        <v>96</v>
      </c>
      <c r="Q68" s="4" t="s">
        <v>81</v>
      </c>
      <c r="R68" s="4" t="s">
        <v>61</v>
      </c>
      <c r="S68" s="4" t="s">
        <v>62</v>
      </c>
      <c r="T68" s="6" t="e">
        <v>#N/A</v>
      </c>
      <c r="U68" s="5">
        <v>59</v>
      </c>
      <c r="V68" s="5">
        <v>61</v>
      </c>
      <c r="W68" s="5">
        <v>61</v>
      </c>
      <c r="X68" s="5">
        <v>56</v>
      </c>
      <c r="Y68" s="5">
        <v>69.36</v>
      </c>
      <c r="Z68" s="5">
        <v>79.099999999999994</v>
      </c>
      <c r="AA68" s="5">
        <v>37.53</v>
      </c>
      <c r="AB68" s="5">
        <v>69.83</v>
      </c>
      <c r="AC68" s="6">
        <v>0.3</v>
      </c>
      <c r="AD68" s="6">
        <v>0.35</v>
      </c>
      <c r="AE68" s="6">
        <v>0.35</v>
      </c>
      <c r="AF68" s="4" t="s">
        <v>6296</v>
      </c>
      <c r="AG68" s="4" t="s">
        <v>6296</v>
      </c>
      <c r="AH68" s="4" t="s">
        <v>37</v>
      </c>
      <c r="AI68" s="4" t="s">
        <v>42</v>
      </c>
      <c r="AJ68" s="4" t="s">
        <v>6296</v>
      </c>
      <c r="AK68" s="4" t="s">
        <v>46</v>
      </c>
      <c r="AL68" s="4" t="s">
        <v>37</v>
      </c>
      <c r="AM68" s="4" t="s">
        <v>42</v>
      </c>
      <c r="AN68" s="4" t="s">
        <v>6296</v>
      </c>
      <c r="AO68" s="4" t="s">
        <v>6296</v>
      </c>
      <c r="AP68" s="4" t="s">
        <v>3401</v>
      </c>
      <c r="AQ68" s="4" t="s">
        <v>47</v>
      </c>
    </row>
    <row r="69" spans="1:43" ht="12.6" customHeight="1" x14ac:dyDescent="0.25">
      <c r="A69" s="8" t="s">
        <v>4256</v>
      </c>
      <c r="B69" s="9">
        <v>20151231</v>
      </c>
      <c r="C69" s="12">
        <f>_xll.FDS("SPX","FG_PRICE(12/30/2015)")</f>
        <v>2063.36</v>
      </c>
      <c r="D69" s="12">
        <f>_xll.FDS("SPX","FG_PRICE(12/30/2017)")</f>
        <v>2673.61</v>
      </c>
      <c r="E69" s="15">
        <f>D69/C69-1</f>
        <v>0.2957554668114144</v>
      </c>
      <c r="F69" s="8" t="s">
        <v>4257</v>
      </c>
      <c r="G69" s="8" t="s">
        <v>4258</v>
      </c>
      <c r="H69" s="13">
        <f>_xll.FDS(G69,"FG_PRICE(12/30/2015)")</f>
        <v>9.99</v>
      </c>
      <c r="I69" s="13">
        <f>_xll.FDS(G69,"FG_PRICE(12/31/2017)")</f>
        <v>11.22</v>
      </c>
      <c r="J69" s="13">
        <f>I69/H69-1</f>
        <v>0.12312312312312312</v>
      </c>
      <c r="K69" s="13">
        <f>J69-E69</f>
        <v>-0.17263234368829128</v>
      </c>
      <c r="L69" s="13">
        <f>_xll.FDS(G69,"FF_ROE(ANN_R,12/30/2015)")</f>
        <v>6.8255026281874844</v>
      </c>
      <c r="M69" s="8" t="s">
        <v>4259</v>
      </c>
      <c r="N69" s="4" t="s">
        <v>4259</v>
      </c>
      <c r="O69" s="4" t="s">
        <v>4260</v>
      </c>
      <c r="P69" s="4" t="s">
        <v>96</v>
      </c>
      <c r="Q69" s="4" t="s">
        <v>81</v>
      </c>
      <c r="R69" s="4" t="s">
        <v>61</v>
      </c>
      <c r="S69" s="4" t="s">
        <v>62</v>
      </c>
      <c r="T69" s="6" t="e">
        <v>#N/A</v>
      </c>
      <c r="U69" s="5">
        <v>49</v>
      </c>
      <c r="V69" s="5">
        <v>33</v>
      </c>
      <c r="W69" s="5">
        <v>64</v>
      </c>
      <c r="X69" s="5">
        <v>47</v>
      </c>
      <c r="Y69" s="5">
        <v>31.35</v>
      </c>
      <c r="Z69" s="5">
        <v>10.45</v>
      </c>
      <c r="AA69" s="5">
        <v>54.87</v>
      </c>
      <c r="AB69" s="5">
        <v>31.35</v>
      </c>
      <c r="AC69" s="6">
        <v>0.3</v>
      </c>
      <c r="AD69" s="6">
        <v>0.35</v>
      </c>
      <c r="AE69" s="6">
        <v>0.35</v>
      </c>
      <c r="AF69" s="4" t="s">
        <v>6296</v>
      </c>
      <c r="AG69" s="4" t="s">
        <v>6296</v>
      </c>
      <c r="AH69" s="4" t="s">
        <v>6296</v>
      </c>
      <c r="AI69" s="4" t="s">
        <v>6296</v>
      </c>
      <c r="AJ69" s="4" t="s">
        <v>6296</v>
      </c>
      <c r="AK69" s="4" t="s">
        <v>42</v>
      </c>
      <c r="AL69" s="4" t="s">
        <v>6296</v>
      </c>
      <c r="AM69" s="4" t="s">
        <v>6296</v>
      </c>
      <c r="AN69" s="4" t="s">
        <v>6296</v>
      </c>
      <c r="AO69" s="4" t="s">
        <v>6296</v>
      </c>
      <c r="AP69" s="4" t="s">
        <v>4261</v>
      </c>
      <c r="AQ69" s="4" t="s">
        <v>47</v>
      </c>
    </row>
    <row r="70" spans="1:43" ht="12.6" customHeight="1" x14ac:dyDescent="0.25">
      <c r="A70" s="8" t="s">
        <v>4287</v>
      </c>
      <c r="B70" s="9">
        <v>20151231</v>
      </c>
      <c r="C70" s="12">
        <f>_xll.FDS("SPX","FG_PRICE(12/30/2015)")</f>
        <v>2063.36</v>
      </c>
      <c r="D70" s="12">
        <f>_xll.FDS("SPX","FG_PRICE(12/30/2017)")</f>
        <v>2673.61</v>
      </c>
      <c r="E70" s="15">
        <f>D70/C70-1</f>
        <v>0.2957554668114144</v>
      </c>
      <c r="F70" s="8" t="s">
        <v>4288</v>
      </c>
      <c r="G70" s="8" t="s">
        <v>4289</v>
      </c>
      <c r="H70" s="13">
        <f>_xll.FDS(G70,"FG_PRICE(12/30/2015)")</f>
        <v>24.23</v>
      </c>
      <c r="I70" s="13">
        <f>_xll.FDS(G70,"FG_PRICE(12/31/2017)")</f>
        <v>34.25</v>
      </c>
      <c r="J70" s="13">
        <f>I70/H70-1</f>
        <v>0.41353693768056132</v>
      </c>
      <c r="K70" s="13">
        <f>J70-E70</f>
        <v>0.11778147086914692</v>
      </c>
      <c r="L70" s="13">
        <f>_xll.FDS(G70,"FF_ROE(ANN_R,12/30/2015)")</f>
        <v>8.160730493193876</v>
      </c>
      <c r="M70" s="8" t="s">
        <v>4290</v>
      </c>
      <c r="N70" s="4" t="s">
        <v>4291</v>
      </c>
      <c r="O70" s="4" t="s">
        <v>4292</v>
      </c>
      <c r="P70" s="4" t="s">
        <v>106</v>
      </c>
      <c r="Q70" s="4" t="s">
        <v>81</v>
      </c>
      <c r="R70" s="4" t="s">
        <v>61</v>
      </c>
      <c r="S70" s="4" t="s">
        <v>62</v>
      </c>
      <c r="T70" s="6" t="e">
        <v>#N/A</v>
      </c>
      <c r="U70" s="5">
        <v>47</v>
      </c>
      <c r="V70" s="5">
        <v>32</v>
      </c>
      <c r="W70" s="5">
        <v>59</v>
      </c>
      <c r="X70" s="5">
        <v>47</v>
      </c>
      <c r="Y70" s="5">
        <v>17.34</v>
      </c>
      <c r="Z70" s="6">
        <v>2.14</v>
      </c>
      <c r="AA70" s="5">
        <v>24.94</v>
      </c>
      <c r="AB70" s="5">
        <v>31.35</v>
      </c>
      <c r="AC70" s="6">
        <v>0.3</v>
      </c>
      <c r="AD70" s="6">
        <v>0.35</v>
      </c>
      <c r="AE70" s="6">
        <v>0.35</v>
      </c>
      <c r="AF70" s="4" t="s">
        <v>6296</v>
      </c>
      <c r="AG70" s="4" t="s">
        <v>6296</v>
      </c>
      <c r="AH70" s="4" t="s">
        <v>6296</v>
      </c>
      <c r="AI70" s="4" t="s">
        <v>6296</v>
      </c>
      <c r="AJ70" s="4" t="s">
        <v>6296</v>
      </c>
      <c r="AK70" s="4" t="s">
        <v>6296</v>
      </c>
      <c r="AL70" s="4" t="s">
        <v>6296</v>
      </c>
      <c r="AM70" s="4" t="s">
        <v>6296</v>
      </c>
      <c r="AN70" s="4" t="s">
        <v>6296</v>
      </c>
      <c r="AO70" s="4" t="s">
        <v>6296</v>
      </c>
      <c r="AP70" s="4" t="s">
        <v>4293</v>
      </c>
      <c r="AQ70" s="4" t="s">
        <v>47</v>
      </c>
    </row>
    <row r="71" spans="1:43" ht="12.6" customHeight="1" x14ac:dyDescent="0.25">
      <c r="A71" s="8" t="s">
        <v>2958</v>
      </c>
      <c r="B71" s="9">
        <v>20151231</v>
      </c>
      <c r="C71" s="12">
        <f>_xll.FDS("SPX","FG_PRICE(12/30/2015)")</f>
        <v>2063.36</v>
      </c>
      <c r="D71" s="12">
        <f>_xll.FDS("SPX","FG_PRICE(12/30/2017)")</f>
        <v>2673.61</v>
      </c>
      <c r="E71" s="15">
        <f>D71/C71-1</f>
        <v>0.2957554668114144</v>
      </c>
      <c r="F71" s="8" t="s">
        <v>2959</v>
      </c>
      <c r="G71" s="8" t="s">
        <v>2960</v>
      </c>
      <c r="H71" s="13">
        <f>_xll.FDS(G71,"FG_PRICE(12/30/2015)")</f>
        <v>54.89</v>
      </c>
      <c r="I71" s="13">
        <f>_xll.FDS(G71,"FG_PRICE(12/31/2017)")</f>
        <v>60.67</v>
      </c>
      <c r="J71" s="13">
        <f>I71/H71-1</f>
        <v>0.1053015121151395</v>
      </c>
      <c r="K71" s="13">
        <f>J71-E71</f>
        <v>-0.19045395469627491</v>
      </c>
      <c r="L71" s="13">
        <f>_xll.FDS(G71,"FF_ROE(ANN_R,12/30/2015)")</f>
        <v>13.006859670104021</v>
      </c>
      <c r="M71" s="8" t="s">
        <v>2961</v>
      </c>
      <c r="N71" s="4" t="s">
        <v>2961</v>
      </c>
      <c r="O71" s="4" t="s">
        <v>2962</v>
      </c>
      <c r="P71" s="4" t="s">
        <v>96</v>
      </c>
      <c r="Q71" s="4" t="s">
        <v>81</v>
      </c>
      <c r="R71" s="4" t="s">
        <v>61</v>
      </c>
      <c r="S71" s="4" t="s">
        <v>62</v>
      </c>
      <c r="T71" s="6" t="e">
        <v>#N/A</v>
      </c>
      <c r="U71" s="5">
        <v>64</v>
      </c>
      <c r="V71" s="5">
        <v>73</v>
      </c>
      <c r="W71" s="5">
        <v>65</v>
      </c>
      <c r="X71" s="5">
        <v>56</v>
      </c>
      <c r="Y71" s="5">
        <v>79.33</v>
      </c>
      <c r="Z71" s="5">
        <v>89.55</v>
      </c>
      <c r="AA71" s="5">
        <v>59.62</v>
      </c>
      <c r="AB71" s="5">
        <v>69.83</v>
      </c>
      <c r="AC71" s="6">
        <v>0.3</v>
      </c>
      <c r="AD71" s="6">
        <v>0.35</v>
      </c>
      <c r="AE71" s="6">
        <v>0.35</v>
      </c>
      <c r="AF71" s="4" t="s">
        <v>6296</v>
      </c>
      <c r="AG71" s="4" t="s">
        <v>6296</v>
      </c>
      <c r="AH71" s="4" t="s">
        <v>46</v>
      </c>
      <c r="AI71" s="4" t="s">
        <v>37</v>
      </c>
      <c r="AJ71" s="4" t="s">
        <v>6296</v>
      </c>
      <c r="AK71" s="4" t="s">
        <v>46</v>
      </c>
      <c r="AL71" s="4" t="s">
        <v>37</v>
      </c>
      <c r="AM71" s="4" t="s">
        <v>37</v>
      </c>
      <c r="AN71" s="4" t="s">
        <v>6296</v>
      </c>
      <c r="AO71" s="4" t="s">
        <v>6296</v>
      </c>
      <c r="AP71" s="4" t="s">
        <v>2963</v>
      </c>
      <c r="AQ71" s="4" t="s">
        <v>47</v>
      </c>
    </row>
    <row r="72" spans="1:43" ht="12.6" customHeight="1" x14ac:dyDescent="0.25">
      <c r="A72" s="8" t="s">
        <v>4482</v>
      </c>
      <c r="B72" s="9">
        <v>20151231</v>
      </c>
      <c r="C72" s="12">
        <f>_xll.FDS("SPX","FG_PRICE(12/30/2015)")</f>
        <v>2063.36</v>
      </c>
      <c r="D72" s="12">
        <f>_xll.FDS("SPX","FG_PRICE(12/30/2017)")</f>
        <v>2673.61</v>
      </c>
      <c r="E72" s="15">
        <f>D72/C72-1</f>
        <v>0.2957554668114144</v>
      </c>
      <c r="F72" s="8" t="s">
        <v>4483</v>
      </c>
      <c r="G72" s="8" t="s">
        <v>4484</v>
      </c>
      <c r="H72" s="13">
        <f>_xll.FDS(G72,"FG_PRICE(12/30/2015)")</f>
        <v>27.47</v>
      </c>
      <c r="I72" s="13">
        <f>_xll.FDS(G72,"FG_PRICE(12/31/2017)")</f>
        <v>50.83</v>
      </c>
      <c r="J72" s="13">
        <f>I72/H72-1</f>
        <v>0.85038223516563516</v>
      </c>
      <c r="K72" s="13">
        <f>J72-E72</f>
        <v>0.55462676835422076</v>
      </c>
      <c r="L72" s="13">
        <f>_xll.FDS(G72,"FF_ROE(ANN_R,12/30/2015)")</f>
        <v>5.714794602002458</v>
      </c>
      <c r="M72" s="8" t="s">
        <v>4485</v>
      </c>
      <c r="N72" s="4" t="s">
        <v>4485</v>
      </c>
      <c r="O72" s="4" t="s">
        <v>4486</v>
      </c>
      <c r="P72" s="4" t="s">
        <v>106</v>
      </c>
      <c r="Q72" s="4" t="s">
        <v>81</v>
      </c>
      <c r="R72" s="4" t="s">
        <v>61</v>
      </c>
      <c r="S72" s="4" t="s">
        <v>62</v>
      </c>
      <c r="T72" s="6" t="e">
        <v>#N/A</v>
      </c>
      <c r="U72" s="5">
        <v>47</v>
      </c>
      <c r="V72" s="5">
        <v>33</v>
      </c>
      <c r="W72" s="5">
        <v>56</v>
      </c>
      <c r="X72" s="5">
        <v>51</v>
      </c>
      <c r="Y72" s="5">
        <v>17.34</v>
      </c>
      <c r="Z72" s="5">
        <v>10.45</v>
      </c>
      <c r="AA72" s="5">
        <v>11.4</v>
      </c>
      <c r="AB72" s="5">
        <v>50.36</v>
      </c>
      <c r="AC72" s="6">
        <v>0.3</v>
      </c>
      <c r="AD72" s="6">
        <v>0.35</v>
      </c>
      <c r="AE72" s="6">
        <v>0.35</v>
      </c>
      <c r="AF72" s="4" t="s">
        <v>6296</v>
      </c>
      <c r="AG72" s="4" t="s">
        <v>6296</v>
      </c>
      <c r="AH72" s="4" t="s">
        <v>6296</v>
      </c>
      <c r="AI72" s="4" t="s">
        <v>6296</v>
      </c>
      <c r="AJ72" s="4" t="s">
        <v>6296</v>
      </c>
      <c r="AK72" s="4" t="s">
        <v>42</v>
      </c>
      <c r="AL72" s="4" t="s">
        <v>6296</v>
      </c>
      <c r="AM72" s="4" t="s">
        <v>6296</v>
      </c>
      <c r="AN72" s="4" t="s">
        <v>37</v>
      </c>
      <c r="AO72" s="4" t="s">
        <v>6296</v>
      </c>
      <c r="AP72" s="4" t="s">
        <v>4487</v>
      </c>
      <c r="AQ72" s="4" t="s">
        <v>47</v>
      </c>
    </row>
    <row r="73" spans="1:43" ht="12.6" customHeight="1" x14ac:dyDescent="0.25">
      <c r="A73" s="8" t="s">
        <v>354</v>
      </c>
      <c r="B73" s="9">
        <v>20151231</v>
      </c>
      <c r="C73" s="12">
        <f>_xll.FDS("SPX","FG_PRICE(12/30/2015)")</f>
        <v>2063.36</v>
      </c>
      <c r="D73" s="12">
        <f>_xll.FDS("SPX","FG_PRICE(12/30/2017)")</f>
        <v>2673.61</v>
      </c>
      <c r="E73" s="15">
        <f>D73/C73-1</f>
        <v>0.2957554668114144</v>
      </c>
      <c r="F73" s="8" t="s">
        <v>355</v>
      </c>
      <c r="G73" s="8" t="s">
        <v>356</v>
      </c>
      <c r="H73" s="13">
        <f>_xll.FDS(G73,"FG_PRICE(12/30/2015)")</f>
        <v>44</v>
      </c>
      <c r="I73" s="13">
        <f>_xll.FDS(G73,"FG_PRICE(12/31/2017)")</f>
        <v>45.73</v>
      </c>
      <c r="J73" s="13">
        <f>I73/H73-1</f>
        <v>3.9318181818181808E-2</v>
      </c>
      <c r="K73" s="13">
        <f>J73-E73</f>
        <v>-0.25643728499323259</v>
      </c>
      <c r="L73" s="13">
        <f>_xll.FDS(G73,"FF_ROE(ANN_R,12/30/2015)")</f>
        <v>13.74386823124828</v>
      </c>
      <c r="M73" s="8" t="s">
        <v>357</v>
      </c>
      <c r="N73" s="4" t="s">
        <v>358</v>
      </c>
      <c r="O73" s="4" t="s">
        <v>359</v>
      </c>
      <c r="P73" s="4" t="s">
        <v>106</v>
      </c>
      <c r="Q73" s="4" t="s">
        <v>40</v>
      </c>
      <c r="R73" s="4" t="s">
        <v>61</v>
      </c>
      <c r="S73" s="4" t="s">
        <v>62</v>
      </c>
      <c r="T73" s="6" t="e">
        <v>#N/A</v>
      </c>
      <c r="U73" s="5">
        <v>55</v>
      </c>
      <c r="V73" s="5">
        <v>47</v>
      </c>
      <c r="W73" s="5">
        <v>50</v>
      </c>
      <c r="X73" s="5">
        <v>78</v>
      </c>
      <c r="Y73" s="5">
        <v>43.33</v>
      </c>
      <c r="Z73" s="5">
        <v>40</v>
      </c>
      <c r="AA73" s="5">
        <v>26.67</v>
      </c>
      <c r="AB73" s="5">
        <v>93.33</v>
      </c>
      <c r="AC73" s="6">
        <v>0.4</v>
      </c>
      <c r="AD73" s="6">
        <v>0.35</v>
      </c>
      <c r="AE73" s="6">
        <v>0.25</v>
      </c>
      <c r="AF73" s="4" t="s">
        <v>6296</v>
      </c>
      <c r="AG73" s="4" t="s">
        <v>6296</v>
      </c>
      <c r="AH73" s="4" t="s">
        <v>6296</v>
      </c>
      <c r="AI73" s="4" t="s">
        <v>6296</v>
      </c>
      <c r="AJ73" s="4" t="s">
        <v>6296</v>
      </c>
      <c r="AK73" s="4" t="s">
        <v>6296</v>
      </c>
      <c r="AL73" s="4" t="s">
        <v>6296</v>
      </c>
      <c r="AM73" s="4" t="s">
        <v>6296</v>
      </c>
      <c r="AN73" s="4" t="s">
        <v>6296</v>
      </c>
      <c r="AO73" s="4" t="s">
        <v>6296</v>
      </c>
      <c r="AP73" s="4" t="s">
        <v>360</v>
      </c>
      <c r="AQ73" s="4" t="s">
        <v>47</v>
      </c>
    </row>
    <row r="74" spans="1:43" ht="12.6" customHeight="1" x14ac:dyDescent="0.25">
      <c r="A74" s="8" t="s">
        <v>4808</v>
      </c>
      <c r="B74" s="9">
        <v>20151231</v>
      </c>
      <c r="C74" s="12">
        <f>_xll.FDS("SPX","FG_PRICE(12/30/2015)")</f>
        <v>2063.36</v>
      </c>
      <c r="D74" s="12">
        <f>_xll.FDS("SPX","FG_PRICE(12/30/2017)")</f>
        <v>2673.61</v>
      </c>
      <c r="E74" s="15">
        <f>D74/C74-1</f>
        <v>0.2957554668114144</v>
      </c>
      <c r="F74" s="8" t="s">
        <v>4809</v>
      </c>
      <c r="G74" s="8" t="s">
        <v>4810</v>
      </c>
      <c r="H74" s="13">
        <f>_xll.FDS(G74,"FG_PRICE(12/30/2015)")</f>
        <v>39.9604</v>
      </c>
      <c r="I74" s="13">
        <f>_xll.FDS(G74,"FG_PRICE(12/31/2017)")</f>
        <v>60.55</v>
      </c>
      <c r="J74" s="13">
        <f>I74/H74-1</f>
        <v>0.51525009759662055</v>
      </c>
      <c r="K74" s="13">
        <f>J74-E74</f>
        <v>0.21949463078520615</v>
      </c>
      <c r="L74" s="13">
        <f>_xll.FDS(G74,"FF_ROE(ANN_R,12/30/2015)")</f>
        <v>15.352038115404969</v>
      </c>
      <c r="M74" s="8" t="s">
        <v>4811</v>
      </c>
      <c r="N74" s="4" t="s">
        <v>4812</v>
      </c>
      <c r="O74" s="4" t="s">
        <v>4813</v>
      </c>
      <c r="P74" s="4" t="s">
        <v>96</v>
      </c>
      <c r="Q74" s="4" t="s">
        <v>40</v>
      </c>
      <c r="R74" s="4" t="s">
        <v>61</v>
      </c>
      <c r="S74" s="4" t="s">
        <v>62</v>
      </c>
      <c r="T74" s="6" t="e">
        <v>#N/A</v>
      </c>
      <c r="U74" s="5">
        <v>61</v>
      </c>
      <c r="V74" s="5">
        <v>58</v>
      </c>
      <c r="W74" s="5">
        <v>48</v>
      </c>
      <c r="X74" s="5">
        <v>85</v>
      </c>
      <c r="Y74" s="5">
        <v>60</v>
      </c>
      <c r="Z74" s="5">
        <v>66.67</v>
      </c>
      <c r="AA74" s="5">
        <v>16.670000000000002</v>
      </c>
      <c r="AB74" s="7">
        <v>100</v>
      </c>
      <c r="AC74" s="6">
        <v>0.4</v>
      </c>
      <c r="AD74" s="6">
        <v>0.35</v>
      </c>
      <c r="AE74" s="6">
        <v>0.25</v>
      </c>
      <c r="AF74" s="4" t="s">
        <v>6296</v>
      </c>
      <c r="AG74" s="4" t="s">
        <v>6296</v>
      </c>
      <c r="AH74" s="4" t="s">
        <v>6296</v>
      </c>
      <c r="AI74" s="4" t="s">
        <v>37</v>
      </c>
      <c r="AJ74" s="4" t="s">
        <v>6296</v>
      </c>
      <c r="AK74" s="4" t="s">
        <v>6296</v>
      </c>
      <c r="AL74" s="4" t="s">
        <v>6296</v>
      </c>
      <c r="AM74" s="4" t="s">
        <v>6296</v>
      </c>
      <c r="AN74" s="4" t="s">
        <v>6296</v>
      </c>
      <c r="AO74" s="4" t="s">
        <v>6296</v>
      </c>
      <c r="AP74" s="4" t="s">
        <v>4814</v>
      </c>
      <c r="AQ74" s="4" t="s">
        <v>47</v>
      </c>
    </row>
    <row r="75" spans="1:43" ht="12.6" customHeight="1" x14ac:dyDescent="0.25">
      <c r="A75" s="8" t="s">
        <v>5085</v>
      </c>
      <c r="B75" s="9">
        <v>20151231</v>
      </c>
      <c r="C75" s="12">
        <f>_xll.FDS("SPX","FG_PRICE(12/30/2015)")</f>
        <v>2063.36</v>
      </c>
      <c r="D75" s="12">
        <f>_xll.FDS("SPX","FG_PRICE(12/30/2017)")</f>
        <v>2673.61</v>
      </c>
      <c r="E75" s="15">
        <f>D75/C75-1</f>
        <v>0.2957554668114144</v>
      </c>
      <c r="F75" s="8" t="s">
        <v>5086</v>
      </c>
      <c r="G75" s="8" t="s">
        <v>5087</v>
      </c>
      <c r="H75" s="13">
        <f>_xll.FDS(G75,"FG_PRICE(12/30/2015)")</f>
        <v>56.25</v>
      </c>
      <c r="I75" s="13">
        <f>_xll.FDS(G75,"FG_PRICE(12/31/2017)")</f>
        <v>68.44</v>
      </c>
      <c r="J75" s="13">
        <f>I75/H75-1</f>
        <v>0.21671111111111108</v>
      </c>
      <c r="K75" s="13">
        <f>J75-E75</f>
        <v>-7.9044355700303326E-2</v>
      </c>
      <c r="L75" s="13">
        <f>_xll.FDS(G75,"FF_ROE(ANN_R,12/30/2015)")</f>
        <v>11.09820937480902</v>
      </c>
      <c r="M75" s="8" t="s">
        <v>5088</v>
      </c>
      <c r="N75" s="4" t="s">
        <v>5089</v>
      </c>
      <c r="O75" s="4" t="s">
        <v>5090</v>
      </c>
      <c r="P75" s="4" t="s">
        <v>96</v>
      </c>
      <c r="Q75" s="4" t="s">
        <v>40</v>
      </c>
      <c r="R75" s="4" t="s">
        <v>61</v>
      </c>
      <c r="S75" s="4" t="s">
        <v>62</v>
      </c>
      <c r="T75" s="6" t="e">
        <v>#N/A</v>
      </c>
      <c r="U75" s="5">
        <v>51</v>
      </c>
      <c r="V75" s="5">
        <v>45</v>
      </c>
      <c r="W75" s="5">
        <v>46</v>
      </c>
      <c r="X75" s="5">
        <v>66</v>
      </c>
      <c r="Y75" s="5">
        <v>16.670000000000002</v>
      </c>
      <c r="Z75" s="5">
        <v>30</v>
      </c>
      <c r="AA75" s="5">
        <v>13.33</v>
      </c>
      <c r="AB75" s="5">
        <v>36.67</v>
      </c>
      <c r="AC75" s="6">
        <v>0.4</v>
      </c>
      <c r="AD75" s="6">
        <v>0.35</v>
      </c>
      <c r="AE75" s="6">
        <v>0.25</v>
      </c>
      <c r="AF75" s="4" t="s">
        <v>6296</v>
      </c>
      <c r="AG75" s="4" t="s">
        <v>6296</v>
      </c>
      <c r="AH75" s="4" t="s">
        <v>6296</v>
      </c>
      <c r="AI75" s="4" t="s">
        <v>6296</v>
      </c>
      <c r="AJ75" s="4" t="s">
        <v>6296</v>
      </c>
      <c r="AK75" s="4" t="s">
        <v>6296</v>
      </c>
      <c r="AL75" s="4" t="s">
        <v>6296</v>
      </c>
      <c r="AM75" s="4" t="s">
        <v>6296</v>
      </c>
      <c r="AN75" s="4" t="s">
        <v>6296</v>
      </c>
      <c r="AO75" s="4" t="s">
        <v>6296</v>
      </c>
      <c r="AP75" s="4" t="s">
        <v>5091</v>
      </c>
      <c r="AQ75" s="4" t="s">
        <v>47</v>
      </c>
    </row>
    <row r="76" spans="1:43" ht="12.6" customHeight="1" x14ac:dyDescent="0.25">
      <c r="A76" s="8" t="s">
        <v>2059</v>
      </c>
      <c r="B76" s="9">
        <v>20151231</v>
      </c>
      <c r="C76" s="12">
        <f>_xll.FDS("SPX","FG_PRICE(12/30/2015)")</f>
        <v>2063.36</v>
      </c>
      <c r="D76" s="12">
        <f>_xll.FDS("SPX","FG_PRICE(12/30/2017)")</f>
        <v>2673.61</v>
      </c>
      <c r="E76" s="15">
        <f>D76/C76-1</f>
        <v>0.2957554668114144</v>
      </c>
      <c r="F76" s="8" t="s">
        <v>2060</v>
      </c>
      <c r="G76" s="8" t="s">
        <v>2061</v>
      </c>
      <c r="H76" s="13">
        <f>_xll.FDS(G76,"FG_PRICE(12/30/2015)")</f>
        <v>126.56</v>
      </c>
      <c r="I76" s="13">
        <f>_xll.FDS(G76,"FG_PRICE(12/31/2017)")</f>
        <v>208.26</v>
      </c>
      <c r="J76" s="13">
        <f>I76/H76-1</f>
        <v>0.64554361567635898</v>
      </c>
      <c r="K76" s="13">
        <f>J76-E76</f>
        <v>0.34978814886494458</v>
      </c>
      <c r="L76" s="13">
        <f>_xll.FDS(G76,"FF_ROE(ANN_R,12/30/2015)")</f>
        <v>84.370565578755347</v>
      </c>
      <c r="M76" s="8" t="s">
        <v>2062</v>
      </c>
      <c r="N76" s="4" t="s">
        <v>2062</v>
      </c>
      <c r="O76" s="4" t="s">
        <v>2063</v>
      </c>
      <c r="P76" s="4" t="s">
        <v>96</v>
      </c>
      <c r="Q76" s="4" t="s">
        <v>40</v>
      </c>
      <c r="R76" s="4" t="s">
        <v>61</v>
      </c>
      <c r="S76" s="4" t="s">
        <v>62</v>
      </c>
      <c r="T76" s="6" t="e">
        <v>#N/A</v>
      </c>
      <c r="U76" s="5">
        <v>56</v>
      </c>
      <c r="V76" s="5">
        <v>50</v>
      </c>
      <c r="W76" s="5">
        <v>52</v>
      </c>
      <c r="X76" s="5">
        <v>72</v>
      </c>
      <c r="Y76" s="5">
        <v>53.33</v>
      </c>
      <c r="Z76" s="5">
        <v>50</v>
      </c>
      <c r="AA76" s="5">
        <v>40</v>
      </c>
      <c r="AB76" s="5">
        <v>63.33</v>
      </c>
      <c r="AC76" s="6">
        <v>0.4</v>
      </c>
      <c r="AD76" s="6">
        <v>0.35</v>
      </c>
      <c r="AE76" s="6">
        <v>0.25</v>
      </c>
      <c r="AF76" s="4" t="s">
        <v>6296</v>
      </c>
      <c r="AG76" s="4" t="s">
        <v>6296</v>
      </c>
      <c r="AH76" s="4" t="s">
        <v>6296</v>
      </c>
      <c r="AI76" s="4" t="s">
        <v>6296</v>
      </c>
      <c r="AJ76" s="4" t="s">
        <v>6296</v>
      </c>
      <c r="AK76" s="4" t="s">
        <v>6296</v>
      </c>
      <c r="AL76" s="4" t="s">
        <v>6296</v>
      </c>
      <c r="AM76" s="4" t="s">
        <v>6296</v>
      </c>
      <c r="AN76" s="4" t="s">
        <v>6296</v>
      </c>
      <c r="AO76" s="4" t="s">
        <v>6296</v>
      </c>
      <c r="AP76" s="4" t="s">
        <v>2064</v>
      </c>
      <c r="AQ76" s="4" t="s">
        <v>47</v>
      </c>
    </row>
    <row r="77" spans="1:43" ht="12.6" customHeight="1" x14ac:dyDescent="0.25">
      <c r="A77" s="8" t="s">
        <v>2624</v>
      </c>
      <c r="B77" s="9">
        <v>20151231</v>
      </c>
      <c r="C77" s="12">
        <f>_xll.FDS("SPX","FG_PRICE(12/30/2015)")</f>
        <v>2063.36</v>
      </c>
      <c r="D77" s="12">
        <f>_xll.FDS("SPX","FG_PRICE(12/30/2017)")</f>
        <v>2673.61</v>
      </c>
      <c r="E77" s="15">
        <f>D77/C77-1</f>
        <v>0.2957554668114144</v>
      </c>
      <c r="F77" s="8" t="s">
        <v>2625</v>
      </c>
      <c r="G77" s="8" t="s">
        <v>2626</v>
      </c>
      <c r="H77" s="13">
        <f>_xll.FDS(G77,"FG_PRICE(12/30/2015)")</f>
        <v>28.41</v>
      </c>
      <c r="I77" s="13">
        <f>_xll.FDS(G77,"FG_PRICE(12/31/2017)")</f>
        <v>43.94</v>
      </c>
      <c r="J77" s="13">
        <f>I77/H77-1</f>
        <v>0.54663850756775778</v>
      </c>
      <c r="K77" s="13">
        <f>J77-E77</f>
        <v>0.25088304075634338</v>
      </c>
      <c r="L77" s="13">
        <f>_xll.FDS(G77,"FF_ROE(ANN_R,12/30/2015)")</f>
        <v>108.56372218476061</v>
      </c>
      <c r="M77" s="8" t="s">
        <v>2627</v>
      </c>
      <c r="N77" s="4" t="s">
        <v>2627</v>
      </c>
      <c r="O77" s="4" t="s">
        <v>2628</v>
      </c>
      <c r="P77" s="4" t="s">
        <v>96</v>
      </c>
      <c r="Q77" s="4" t="s">
        <v>40</v>
      </c>
      <c r="R77" s="4" t="s">
        <v>61</v>
      </c>
      <c r="S77" s="4" t="s">
        <v>62</v>
      </c>
      <c r="T77" s="6" t="e">
        <v>#N/A</v>
      </c>
      <c r="U77" s="5">
        <v>63</v>
      </c>
      <c r="V77" s="5">
        <v>65</v>
      </c>
      <c r="W77" s="5">
        <v>57</v>
      </c>
      <c r="X77" s="5">
        <v>66</v>
      </c>
      <c r="Y77" s="5">
        <v>63.33</v>
      </c>
      <c r="Z77" s="5">
        <v>70</v>
      </c>
      <c r="AA77" s="5">
        <v>56.67</v>
      </c>
      <c r="AB77" s="5">
        <v>36.67</v>
      </c>
      <c r="AC77" s="6">
        <v>0.4</v>
      </c>
      <c r="AD77" s="6">
        <v>0.35</v>
      </c>
      <c r="AE77" s="6">
        <v>0.25</v>
      </c>
      <c r="AF77" s="4" t="s">
        <v>6296</v>
      </c>
      <c r="AG77" s="4" t="s">
        <v>6296</v>
      </c>
      <c r="AH77" s="4" t="s">
        <v>6296</v>
      </c>
      <c r="AI77" s="4" t="s">
        <v>6296</v>
      </c>
      <c r="AJ77" s="4" t="s">
        <v>6296</v>
      </c>
      <c r="AK77" s="4" t="s">
        <v>42</v>
      </c>
      <c r="AL77" s="4" t="s">
        <v>6296</v>
      </c>
      <c r="AM77" s="4" t="s">
        <v>6296</v>
      </c>
      <c r="AN77" s="4" t="s">
        <v>42</v>
      </c>
      <c r="AO77" s="4" t="s">
        <v>6296</v>
      </c>
      <c r="AP77" s="4" t="s">
        <v>2629</v>
      </c>
      <c r="AQ77" s="4" t="s">
        <v>47</v>
      </c>
    </row>
    <row r="78" spans="1:43" ht="12.6" customHeight="1" x14ac:dyDescent="0.25">
      <c r="A78" s="8" t="s">
        <v>4815</v>
      </c>
      <c r="B78" s="9">
        <v>20151231</v>
      </c>
      <c r="C78" s="12">
        <f>_xll.FDS("SPX","FG_PRICE(12/30/2015)")</f>
        <v>2063.36</v>
      </c>
      <c r="D78" s="12">
        <f>_xll.FDS("SPX","FG_PRICE(12/30/2017)")</f>
        <v>2673.61</v>
      </c>
      <c r="E78" s="15">
        <f>D78/C78-1</f>
        <v>0.2957554668114144</v>
      </c>
      <c r="F78" s="8" t="s">
        <v>4816</v>
      </c>
      <c r="G78" s="8" t="s">
        <v>4817</v>
      </c>
      <c r="H78" s="13">
        <f>_xll.FDS(G78,"FG_PRICE(12/30/2015)")</f>
        <v>47.36</v>
      </c>
      <c r="I78" s="13">
        <f>_xll.FDS(G78,"FG_PRICE(12/31/2017)")</f>
        <v>91.94</v>
      </c>
      <c r="J78" s="13">
        <f>I78/H78-1</f>
        <v>0.94130067567567566</v>
      </c>
      <c r="K78" s="13">
        <f>J78-E78</f>
        <v>0.64554520886426126</v>
      </c>
      <c r="L78" s="13">
        <f>_xll.FDS(G78,"FF_ROE(ANN_R,12/30/2015)")</f>
        <v>6.0387441549766194</v>
      </c>
      <c r="M78" s="8" t="s">
        <v>4818</v>
      </c>
      <c r="N78" s="4" t="s">
        <v>4818</v>
      </c>
      <c r="O78" s="4" t="s">
        <v>4819</v>
      </c>
      <c r="P78" s="4" t="s">
        <v>96</v>
      </c>
      <c r="Q78" s="4" t="s">
        <v>40</v>
      </c>
      <c r="R78" s="4" t="s">
        <v>61</v>
      </c>
      <c r="S78" s="4" t="s">
        <v>62</v>
      </c>
      <c r="T78" s="6" t="e">
        <v>#N/A</v>
      </c>
      <c r="U78" s="5">
        <v>71</v>
      </c>
      <c r="V78" s="5">
        <v>72</v>
      </c>
      <c r="W78" s="5">
        <v>65</v>
      </c>
      <c r="X78" s="5">
        <v>77</v>
      </c>
      <c r="Y78" s="5">
        <v>90</v>
      </c>
      <c r="Z78" s="5">
        <v>83.33</v>
      </c>
      <c r="AA78" s="5">
        <v>73.33</v>
      </c>
      <c r="AB78" s="5">
        <v>76.67</v>
      </c>
      <c r="AC78" s="6">
        <v>0.4</v>
      </c>
      <c r="AD78" s="6">
        <v>0.35</v>
      </c>
      <c r="AE78" s="6">
        <v>0.25</v>
      </c>
      <c r="AF78" s="4" t="s">
        <v>6296</v>
      </c>
      <c r="AG78" s="4" t="s">
        <v>6296</v>
      </c>
      <c r="AH78" s="4" t="s">
        <v>6296</v>
      </c>
      <c r="AI78" s="4" t="s">
        <v>37</v>
      </c>
      <c r="AJ78" s="4" t="s">
        <v>6296</v>
      </c>
      <c r="AK78" s="4" t="s">
        <v>6296</v>
      </c>
      <c r="AL78" s="4" t="s">
        <v>6296</v>
      </c>
      <c r="AM78" s="4" t="s">
        <v>42</v>
      </c>
      <c r="AN78" s="4" t="s">
        <v>6296</v>
      </c>
      <c r="AO78" s="4" t="s">
        <v>6296</v>
      </c>
      <c r="AP78" s="4" t="s">
        <v>4820</v>
      </c>
      <c r="AQ78" s="4" t="s">
        <v>47</v>
      </c>
    </row>
    <row r="79" spans="1:43" ht="12.6" customHeight="1" x14ac:dyDescent="0.25">
      <c r="A79" s="8" t="s">
        <v>4121</v>
      </c>
      <c r="B79" s="9">
        <v>20151231</v>
      </c>
      <c r="C79" s="12">
        <f>_xll.FDS("SPX","FG_PRICE(12/30/2015)")</f>
        <v>2063.36</v>
      </c>
      <c r="D79" s="12">
        <f>_xll.FDS("SPX","FG_PRICE(12/30/2017)")</f>
        <v>2673.61</v>
      </c>
      <c r="E79" s="15">
        <f>D79/C79-1</f>
        <v>0.2957554668114144</v>
      </c>
      <c r="F79" s="8" t="s">
        <v>4122</v>
      </c>
      <c r="G79" s="8" t="s">
        <v>4123</v>
      </c>
      <c r="H79" s="13">
        <f>_xll.FDS(G79,"FG_PRICE(12/30/2015)")</f>
        <v>24.42</v>
      </c>
      <c r="I79" s="13">
        <f>_xll.FDS(G79,"FG_PRICE(12/31/2017)")</f>
        <v>38.56</v>
      </c>
      <c r="J79" s="13">
        <f>I79/H79-1</f>
        <v>0.57903357903357899</v>
      </c>
      <c r="K79" s="13">
        <f>J79-E79</f>
        <v>0.28327811222216459</v>
      </c>
      <c r="L79" s="13">
        <f>_xll.FDS(G79,"FF_ROE(ANN_R,12/30/2015)")</f>
        <v>7.2727272727272716</v>
      </c>
      <c r="M79" s="8" t="s">
        <v>4124</v>
      </c>
      <c r="N79" s="4" t="s">
        <v>4124</v>
      </c>
      <c r="O79" s="4" t="s">
        <v>4125</v>
      </c>
      <c r="P79" s="4" t="s">
        <v>96</v>
      </c>
      <c r="Q79" s="4" t="s">
        <v>40</v>
      </c>
      <c r="R79" s="4" t="s">
        <v>61</v>
      </c>
      <c r="S79" s="4" t="s">
        <v>62</v>
      </c>
      <c r="T79" s="6" t="e">
        <v>#N/A</v>
      </c>
      <c r="U79" s="5">
        <v>52</v>
      </c>
      <c r="V79" s="5">
        <v>41</v>
      </c>
      <c r="W79" s="5">
        <v>49</v>
      </c>
      <c r="X79" s="5">
        <v>73</v>
      </c>
      <c r="Y79" s="5">
        <v>30</v>
      </c>
      <c r="Z79" s="5">
        <v>16.670000000000002</v>
      </c>
      <c r="AA79" s="5">
        <v>20</v>
      </c>
      <c r="AB79" s="5">
        <v>66.67</v>
      </c>
      <c r="AC79" s="6">
        <v>0.4</v>
      </c>
      <c r="AD79" s="6">
        <v>0.35</v>
      </c>
      <c r="AE79" s="6">
        <v>0.25</v>
      </c>
      <c r="AF79" s="4" t="s">
        <v>6296</v>
      </c>
      <c r="AG79" s="4" t="s">
        <v>6296</v>
      </c>
      <c r="AH79" s="4" t="s">
        <v>6296</v>
      </c>
      <c r="AI79" s="4" t="s">
        <v>6296</v>
      </c>
      <c r="AJ79" s="4" t="s">
        <v>6296</v>
      </c>
      <c r="AK79" s="4" t="s">
        <v>37</v>
      </c>
      <c r="AL79" s="4" t="s">
        <v>6296</v>
      </c>
      <c r="AM79" s="4" t="s">
        <v>6296</v>
      </c>
      <c r="AN79" s="4" t="s">
        <v>6296</v>
      </c>
      <c r="AO79" s="4" t="s">
        <v>6296</v>
      </c>
      <c r="AP79" s="4" t="s">
        <v>4126</v>
      </c>
      <c r="AQ79" s="4" t="s">
        <v>47</v>
      </c>
    </row>
    <row r="80" spans="1:43" ht="12.6" customHeight="1" x14ac:dyDescent="0.25">
      <c r="A80" s="8" t="s">
        <v>374</v>
      </c>
      <c r="B80" s="9">
        <v>20151231</v>
      </c>
      <c r="C80" s="12">
        <f>_xll.FDS("SPX","FG_PRICE(12/30/2015)")</f>
        <v>2063.36</v>
      </c>
      <c r="D80" s="12">
        <f>_xll.FDS("SPX","FG_PRICE(12/30/2017)")</f>
        <v>2673.61</v>
      </c>
      <c r="E80" s="15">
        <f>D80/C80-1</f>
        <v>0.2957554668114144</v>
      </c>
      <c r="F80" s="8" t="s">
        <v>375</v>
      </c>
      <c r="G80" s="8" t="s">
        <v>376</v>
      </c>
      <c r="H80" s="13">
        <f>_xll.FDS(G80,"FG_PRICE(12/30/2015)")</f>
        <v>56.34</v>
      </c>
      <c r="I80" s="13">
        <f>_xll.FDS(G80,"FG_PRICE(12/31/2017)")</f>
        <v>127.89</v>
      </c>
      <c r="J80" s="13">
        <f>I80/H80-1</f>
        <v>1.2699680511182105</v>
      </c>
      <c r="K80" s="13">
        <f>J80-E80</f>
        <v>0.97421258430679614</v>
      </c>
      <c r="L80" s="13">
        <f>_xll.FDS(G80,"FF_ROE(ANN_R,12/30/2015)")</f>
        <v>13.58277984723583</v>
      </c>
      <c r="M80" s="8" t="s">
        <v>377</v>
      </c>
      <c r="N80" s="4" t="s">
        <v>377</v>
      </c>
      <c r="O80" s="4" t="s">
        <v>378</v>
      </c>
      <c r="P80" s="4" t="s">
        <v>96</v>
      </c>
      <c r="Q80" s="4" t="s">
        <v>71</v>
      </c>
      <c r="R80" s="4" t="s">
        <v>61</v>
      </c>
      <c r="S80" s="4" t="s">
        <v>62</v>
      </c>
      <c r="T80" s="6" t="e">
        <v>#N/A</v>
      </c>
      <c r="U80" s="5">
        <v>67</v>
      </c>
      <c r="V80" s="5">
        <v>59</v>
      </c>
      <c r="W80" s="5">
        <v>68</v>
      </c>
      <c r="X80" s="5">
        <v>77</v>
      </c>
      <c r="Y80" s="5">
        <v>75.88</v>
      </c>
      <c r="Z80" s="5">
        <v>58.82</v>
      </c>
      <c r="AA80" s="5">
        <v>71.760000000000005</v>
      </c>
      <c r="AB80" s="5">
        <v>88.82</v>
      </c>
      <c r="AC80" s="6">
        <v>0.4</v>
      </c>
      <c r="AD80" s="6">
        <v>0.35</v>
      </c>
      <c r="AE80" s="6">
        <v>0.25</v>
      </c>
      <c r="AF80" s="4" t="s">
        <v>42</v>
      </c>
      <c r="AG80" s="4" t="s">
        <v>6296</v>
      </c>
      <c r="AH80" s="4" t="s">
        <v>6296</v>
      </c>
      <c r="AI80" s="4" t="s">
        <v>6296</v>
      </c>
      <c r="AJ80" s="4" t="s">
        <v>6296</v>
      </c>
      <c r="AK80" s="4" t="s">
        <v>6296</v>
      </c>
      <c r="AL80" s="4" t="s">
        <v>6296</v>
      </c>
      <c r="AM80" s="4" t="s">
        <v>6296</v>
      </c>
      <c r="AN80" s="4" t="s">
        <v>37</v>
      </c>
      <c r="AO80" s="4" t="s">
        <v>6296</v>
      </c>
      <c r="AP80" s="4" t="s">
        <v>379</v>
      </c>
      <c r="AQ80" s="4" t="s">
        <v>47</v>
      </c>
    </row>
    <row r="81" spans="1:43" ht="12.6" customHeight="1" x14ac:dyDescent="0.25">
      <c r="A81" s="8" t="s">
        <v>178</v>
      </c>
      <c r="B81" s="9">
        <v>20151231</v>
      </c>
      <c r="C81" s="12">
        <f>_xll.FDS("SPX","FG_PRICE(12/30/2015)")</f>
        <v>2063.36</v>
      </c>
      <c r="D81" s="12">
        <f>_xll.FDS("SPX","FG_PRICE(12/30/2017)")</f>
        <v>2673.61</v>
      </c>
      <c r="E81" s="15">
        <f>D81/C81-1</f>
        <v>0.2957554668114144</v>
      </c>
      <c r="F81" s="8" t="s">
        <v>179</v>
      </c>
      <c r="G81" s="8" t="s">
        <v>180</v>
      </c>
      <c r="H81" s="13">
        <f>_xll.FDS(G81,"FG_PRICE(12/30/2015)")</f>
        <v>122.274956</v>
      </c>
      <c r="I81" s="13">
        <f>_xll.FDS(G81,"FG_PRICE(12/31/2017)")</f>
        <v>164.08</v>
      </c>
      <c r="J81" s="13">
        <f>I81/H81-1</f>
        <v>0.3418937562324702</v>
      </c>
      <c r="K81" s="13">
        <f>J81-E81</f>
        <v>4.61382894210558E-2</v>
      </c>
      <c r="L81" s="13">
        <f>_xll.FDS(G81,"FF_ROE(ANN_R,12/30/2015)")</f>
        <v>17.487752141664622</v>
      </c>
      <c r="M81" s="8" t="s">
        <v>181</v>
      </c>
      <c r="N81" s="4" t="s">
        <v>182</v>
      </c>
      <c r="O81" s="4" t="s">
        <v>183</v>
      </c>
      <c r="P81" s="4" t="s">
        <v>96</v>
      </c>
      <c r="Q81" s="4" t="s">
        <v>71</v>
      </c>
      <c r="R81" s="4" t="s">
        <v>61</v>
      </c>
      <c r="S81" s="4" t="s">
        <v>62</v>
      </c>
      <c r="T81" s="6" t="e">
        <v>#N/A</v>
      </c>
      <c r="U81" s="5">
        <v>72</v>
      </c>
      <c r="V81" s="5">
        <v>68</v>
      </c>
      <c r="W81" s="5">
        <v>74</v>
      </c>
      <c r="X81" s="5">
        <v>74</v>
      </c>
      <c r="Y81" s="5">
        <v>85.88</v>
      </c>
      <c r="Z81" s="5">
        <v>80.59</v>
      </c>
      <c r="AA81" s="5">
        <v>82.94</v>
      </c>
      <c r="AB81" s="5">
        <v>81.760000000000005</v>
      </c>
      <c r="AC81" s="6">
        <v>0.4</v>
      </c>
      <c r="AD81" s="6">
        <v>0.35</v>
      </c>
      <c r="AE81" s="6">
        <v>0.25</v>
      </c>
      <c r="AF81" s="4" t="s">
        <v>6296</v>
      </c>
      <c r="AG81" s="4" t="s">
        <v>6296</v>
      </c>
      <c r="AH81" s="4" t="s">
        <v>6296</v>
      </c>
      <c r="AI81" s="4" t="s">
        <v>42</v>
      </c>
      <c r="AJ81" s="4" t="s">
        <v>6296</v>
      </c>
      <c r="AK81" s="4" t="s">
        <v>42</v>
      </c>
      <c r="AL81" s="4" t="s">
        <v>6296</v>
      </c>
      <c r="AM81" s="4" t="s">
        <v>6296</v>
      </c>
      <c r="AN81" s="4" t="s">
        <v>6296</v>
      </c>
      <c r="AO81" s="4" t="s">
        <v>6296</v>
      </c>
      <c r="AP81" s="4" t="s">
        <v>184</v>
      </c>
      <c r="AQ81" s="4" t="s">
        <v>47</v>
      </c>
    </row>
    <row r="82" spans="1:43" ht="12.6" customHeight="1" x14ac:dyDescent="0.25">
      <c r="A82" s="8" t="s">
        <v>172</v>
      </c>
      <c r="B82" s="9">
        <v>20151231</v>
      </c>
      <c r="C82" s="12">
        <f>_xll.FDS("SPX","FG_PRICE(12/30/2015)")</f>
        <v>2063.36</v>
      </c>
      <c r="D82" s="12">
        <f>_xll.FDS("SPX","FG_PRICE(12/30/2017)")</f>
        <v>2673.61</v>
      </c>
      <c r="E82" s="15">
        <f>D82/C82-1</f>
        <v>0.2957554668114144</v>
      </c>
      <c r="F82" s="8" t="s">
        <v>173</v>
      </c>
      <c r="G82" s="8" t="s">
        <v>174</v>
      </c>
      <c r="H82" s="13">
        <f>_xll.FDS(G82,"FG_PRICE(12/30/2015)")</f>
        <v>138.54</v>
      </c>
      <c r="I82" s="13" t="e">
        <f>_xll.FDS(G82,"FG_PRICE(12/31/2017)")</f>
        <v>#N/A</v>
      </c>
      <c r="J82" s="13" t="e">
        <f>I82/H82-1</f>
        <v>#N/A</v>
      </c>
      <c r="K82" s="13" t="e">
        <f>J82-E82</f>
        <v>#N/A</v>
      </c>
      <c r="L82" s="13">
        <f>_xll.FDS(G82,"FF_ROE(ANN_R,12/30/2015)")</f>
        <v>18.44009683798674</v>
      </c>
      <c r="M82" s="8" t="s">
        <v>175</v>
      </c>
      <c r="N82" s="4" t="s">
        <v>176</v>
      </c>
      <c r="O82" s="4" t="s">
        <v>47</v>
      </c>
      <c r="P82" s="4" t="s">
        <v>96</v>
      </c>
      <c r="Q82" s="4" t="s">
        <v>71</v>
      </c>
      <c r="R82" s="4" t="s">
        <v>61</v>
      </c>
      <c r="S82" s="4" t="s">
        <v>62</v>
      </c>
      <c r="T82" s="6" t="e">
        <v>#N/A</v>
      </c>
      <c r="U82" s="5">
        <v>54</v>
      </c>
      <c r="V82" s="5">
        <v>46</v>
      </c>
      <c r="W82" s="5">
        <v>51</v>
      </c>
      <c r="X82" s="5">
        <v>73</v>
      </c>
      <c r="Y82" s="5">
        <v>31.18</v>
      </c>
      <c r="Z82" s="5">
        <v>20.59</v>
      </c>
      <c r="AA82" s="5">
        <v>16.47</v>
      </c>
      <c r="AB82" s="5">
        <v>78.239999999999995</v>
      </c>
      <c r="AC82" s="6">
        <v>0.4</v>
      </c>
      <c r="AD82" s="6">
        <v>0.35</v>
      </c>
      <c r="AE82" s="6">
        <v>0.25</v>
      </c>
      <c r="AF82" s="4" t="s">
        <v>6296</v>
      </c>
      <c r="AG82" s="4" t="s">
        <v>6296</v>
      </c>
      <c r="AH82" s="4" t="s">
        <v>6296</v>
      </c>
      <c r="AI82" s="4" t="s">
        <v>37</v>
      </c>
      <c r="AJ82" s="4" t="s">
        <v>6296</v>
      </c>
      <c r="AK82" s="4" t="s">
        <v>42</v>
      </c>
      <c r="AL82" s="4" t="s">
        <v>6296</v>
      </c>
      <c r="AM82" s="4" t="s">
        <v>6296</v>
      </c>
      <c r="AN82" s="4" t="s">
        <v>37</v>
      </c>
      <c r="AO82" s="4" t="s">
        <v>6296</v>
      </c>
      <c r="AP82" s="4" t="s">
        <v>177</v>
      </c>
      <c r="AQ82" s="4" t="s">
        <v>47</v>
      </c>
    </row>
    <row r="83" spans="1:43" ht="12.6" customHeight="1" x14ac:dyDescent="0.25">
      <c r="A83" s="8" t="s">
        <v>6439</v>
      </c>
      <c r="B83" s="9">
        <v>20151231</v>
      </c>
      <c r="C83" s="12">
        <f>_xll.FDS("SPX","FG_PRICE(12/30/2015)")</f>
        <v>2063.36</v>
      </c>
      <c r="D83" s="12">
        <f>_xll.FDS("SPX","FG_PRICE(12/30/2017)")</f>
        <v>2673.61</v>
      </c>
      <c r="E83" s="15">
        <f>D83/C83-1</f>
        <v>0.2957554668114144</v>
      </c>
      <c r="F83" s="8" t="s">
        <v>6122</v>
      </c>
      <c r="G83" s="8" t="s">
        <v>6123</v>
      </c>
      <c r="H83" s="13">
        <f>_xll.FDS(G83,"FG_PRICE(12/30/2015)")</f>
        <v>50.952129999999997</v>
      </c>
      <c r="I83" s="13">
        <f>_xll.FDS(G83,"FG_PRICE(12/31/2017)")</f>
        <v>71.2</v>
      </c>
      <c r="J83" s="13">
        <f>I83/H83-1</f>
        <v>0.39739006004263233</v>
      </c>
      <c r="K83" s="13">
        <f>J83-E83</f>
        <v>0.10163459323121793</v>
      </c>
      <c r="L83" s="13">
        <f>_xll.FDS(G83,"FF_ROE(ANN_R,12/30/2015)")</f>
        <v>5.7703927492447127</v>
      </c>
      <c r="M83" s="8" t="s">
        <v>6124</v>
      </c>
      <c r="N83" s="4" t="s">
        <v>6440</v>
      </c>
      <c r="O83" s="4" t="s">
        <v>6125</v>
      </c>
      <c r="P83" s="4" t="s">
        <v>96</v>
      </c>
      <c r="Q83" s="4" t="s">
        <v>71</v>
      </c>
      <c r="R83" s="4" t="s">
        <v>61</v>
      </c>
      <c r="S83" s="4" t="s">
        <v>62</v>
      </c>
      <c r="T83" s="6" t="e">
        <v>#N/A</v>
      </c>
      <c r="U83" s="5">
        <v>58</v>
      </c>
      <c r="V83" s="5">
        <v>52</v>
      </c>
      <c r="W83" s="5">
        <v>62</v>
      </c>
      <c r="X83" s="5">
        <v>62</v>
      </c>
      <c r="Y83" s="5">
        <v>44.71</v>
      </c>
      <c r="Z83" s="5">
        <v>38.82</v>
      </c>
      <c r="AA83" s="5">
        <v>57.06</v>
      </c>
      <c r="AB83" s="5">
        <v>45.29</v>
      </c>
      <c r="AC83" s="6">
        <v>0.4</v>
      </c>
      <c r="AD83" s="6">
        <v>0.35</v>
      </c>
      <c r="AE83" s="6">
        <v>0.25</v>
      </c>
      <c r="AF83" s="4" t="s">
        <v>37</v>
      </c>
      <c r="AG83" s="4" t="s">
        <v>6296</v>
      </c>
      <c r="AH83" s="4" t="s">
        <v>6296</v>
      </c>
      <c r="AI83" s="4" t="s">
        <v>6296</v>
      </c>
      <c r="AJ83" s="4" t="s">
        <v>6296</v>
      </c>
      <c r="AK83" s="4" t="s">
        <v>42</v>
      </c>
      <c r="AL83" s="4" t="s">
        <v>37</v>
      </c>
      <c r="AM83" s="4" t="s">
        <v>6296</v>
      </c>
      <c r="AN83" s="4" t="s">
        <v>6296</v>
      </c>
      <c r="AO83" s="4" t="s">
        <v>6296</v>
      </c>
      <c r="AP83" s="4" t="s">
        <v>6441</v>
      </c>
      <c r="AQ83" s="4" t="s">
        <v>47</v>
      </c>
    </row>
    <row r="84" spans="1:43" ht="12.6" customHeight="1" x14ac:dyDescent="0.25">
      <c r="A84" s="8" t="s">
        <v>6008</v>
      </c>
      <c r="B84" s="9">
        <v>20151231</v>
      </c>
      <c r="C84" s="12">
        <f>_xll.FDS("SPX","FG_PRICE(12/30/2015)")</f>
        <v>2063.36</v>
      </c>
      <c r="D84" s="12">
        <f>_xll.FDS("SPX","FG_PRICE(12/30/2017)")</f>
        <v>2673.61</v>
      </c>
      <c r="E84" s="15">
        <f>D84/C84-1</f>
        <v>0.2957554668114144</v>
      </c>
      <c r="F84" s="8" t="s">
        <v>6009</v>
      </c>
      <c r="G84" s="8" t="s">
        <v>6010</v>
      </c>
      <c r="H84" s="13">
        <f>_xll.FDS(G84,"FG_PRICE(12/30/2015)")</f>
        <v>26.65</v>
      </c>
      <c r="I84" s="13">
        <f>_xll.FDS(G84,"FG_PRICE(12/31/2017)")</f>
        <v>32.36</v>
      </c>
      <c r="J84" s="13">
        <f>I84/H84-1</f>
        <v>0.21425891181988743</v>
      </c>
      <c r="K84" s="13">
        <f>J84-E84</f>
        <v>-8.149655499152697E-2</v>
      </c>
      <c r="L84" s="13">
        <f>_xll.FDS(G84,"FF_ROE(ANN_R,12/30/2015)")</f>
        <v>2.5182666237764799</v>
      </c>
      <c r="M84" s="8" t="s">
        <v>6011</v>
      </c>
      <c r="N84" s="4" t="s">
        <v>6011</v>
      </c>
      <c r="O84" s="4" t="s">
        <v>6012</v>
      </c>
      <c r="P84" s="4" t="s">
        <v>96</v>
      </c>
      <c r="Q84" s="4" t="s">
        <v>71</v>
      </c>
      <c r="R84" s="4" t="s">
        <v>61</v>
      </c>
      <c r="S84" s="4" t="s">
        <v>62</v>
      </c>
      <c r="T84" s="6" t="e">
        <v>#N/A</v>
      </c>
      <c r="U84" s="5">
        <v>57</v>
      </c>
      <c r="V84" s="5">
        <v>59</v>
      </c>
      <c r="W84" s="5">
        <v>55</v>
      </c>
      <c r="X84" s="5">
        <v>58</v>
      </c>
      <c r="Y84" s="5">
        <v>41.76</v>
      </c>
      <c r="Z84" s="5">
        <v>58.82</v>
      </c>
      <c r="AA84" s="5">
        <v>30</v>
      </c>
      <c r="AB84" s="5">
        <v>25.88</v>
      </c>
      <c r="AC84" s="6">
        <v>0.4</v>
      </c>
      <c r="AD84" s="6">
        <v>0.35</v>
      </c>
      <c r="AE84" s="6">
        <v>0.25</v>
      </c>
      <c r="AF84" s="4" t="s">
        <v>6296</v>
      </c>
      <c r="AG84" s="4" t="s">
        <v>6296</v>
      </c>
      <c r="AH84" s="4" t="s">
        <v>6296</v>
      </c>
      <c r="AI84" s="4" t="s">
        <v>6296</v>
      </c>
      <c r="AJ84" s="4" t="s">
        <v>6296</v>
      </c>
      <c r="AK84" s="4" t="s">
        <v>6296</v>
      </c>
      <c r="AL84" s="4" t="s">
        <v>6296</v>
      </c>
      <c r="AM84" s="4" t="s">
        <v>6296</v>
      </c>
      <c r="AN84" s="4" t="s">
        <v>6296</v>
      </c>
      <c r="AO84" s="4" t="s">
        <v>6296</v>
      </c>
      <c r="AP84" s="4" t="s">
        <v>6013</v>
      </c>
      <c r="AQ84" s="4" t="s">
        <v>47</v>
      </c>
    </row>
    <row r="85" spans="1:43" ht="12.6" customHeight="1" x14ac:dyDescent="0.25">
      <c r="A85" s="8" t="s">
        <v>859</v>
      </c>
      <c r="B85" s="9">
        <v>20151231</v>
      </c>
      <c r="C85" s="12">
        <f>_xll.FDS("SPX","FG_PRICE(12/30/2015)")</f>
        <v>2063.36</v>
      </c>
      <c r="D85" s="12">
        <f>_xll.FDS("SPX","FG_PRICE(12/30/2017)")</f>
        <v>2673.61</v>
      </c>
      <c r="E85" s="15">
        <f>D85/C85-1</f>
        <v>0.2957554668114144</v>
      </c>
      <c r="F85" s="8" t="s">
        <v>860</v>
      </c>
      <c r="G85" s="8" t="s">
        <v>861</v>
      </c>
      <c r="H85" s="13">
        <f>_xll.FDS(G85,"FG_PRICE(12/30/2015)")</f>
        <v>41.36</v>
      </c>
      <c r="I85" s="13">
        <f>_xll.FDS(G85,"FG_PRICE(12/31/2017)")</f>
        <v>61.59</v>
      </c>
      <c r="J85" s="13">
        <f>I85/H85-1</f>
        <v>0.48911992263056092</v>
      </c>
      <c r="K85" s="13">
        <f>J85-E85</f>
        <v>0.19336445581914652</v>
      </c>
      <c r="L85" s="13">
        <f>_xll.FDS(G85,"FF_ROE(ANN_R,12/30/2015)")</f>
        <v>-20.804953560371519</v>
      </c>
      <c r="M85" s="8" t="s">
        <v>862</v>
      </c>
      <c r="N85" s="4" t="s">
        <v>862</v>
      </c>
      <c r="O85" s="4" t="s">
        <v>863</v>
      </c>
      <c r="P85" s="4" t="s">
        <v>96</v>
      </c>
      <c r="Q85" s="4" t="s">
        <v>71</v>
      </c>
      <c r="R85" s="4" t="s">
        <v>61</v>
      </c>
      <c r="S85" s="4" t="s">
        <v>62</v>
      </c>
      <c r="T85" s="6" t="e">
        <v>#N/A</v>
      </c>
      <c r="U85" s="5">
        <v>74</v>
      </c>
      <c r="V85" s="5">
        <v>66</v>
      </c>
      <c r="W85" s="5">
        <v>75</v>
      </c>
      <c r="X85" s="5">
        <v>85</v>
      </c>
      <c r="Y85" s="5">
        <v>90</v>
      </c>
      <c r="Z85" s="5">
        <v>74.709999999999994</v>
      </c>
      <c r="AA85" s="5">
        <v>84.71</v>
      </c>
      <c r="AB85" s="5">
        <v>95.29</v>
      </c>
      <c r="AC85" s="6">
        <v>0.4</v>
      </c>
      <c r="AD85" s="6">
        <v>0.35</v>
      </c>
      <c r="AE85" s="6">
        <v>0.25</v>
      </c>
      <c r="AF85" s="4" t="s">
        <v>37</v>
      </c>
      <c r="AG85" s="4" t="s">
        <v>6296</v>
      </c>
      <c r="AH85" s="4" t="s">
        <v>6296</v>
      </c>
      <c r="AI85" s="4" t="s">
        <v>6296</v>
      </c>
      <c r="AJ85" s="4" t="s">
        <v>6296</v>
      </c>
      <c r="AK85" s="4" t="s">
        <v>6296</v>
      </c>
      <c r="AL85" s="4" t="s">
        <v>6296</v>
      </c>
      <c r="AM85" s="4" t="s">
        <v>6296</v>
      </c>
      <c r="AN85" s="4" t="s">
        <v>6296</v>
      </c>
      <c r="AO85" s="4" t="s">
        <v>6296</v>
      </c>
      <c r="AP85" s="4" t="s">
        <v>864</v>
      </c>
      <c r="AQ85" s="4" t="s">
        <v>47</v>
      </c>
    </row>
    <row r="86" spans="1:43" ht="12.6" customHeight="1" x14ac:dyDescent="0.25">
      <c r="A86" s="8" t="s">
        <v>871</v>
      </c>
      <c r="B86" s="9">
        <v>20151231</v>
      </c>
      <c r="C86" s="12">
        <f>_xll.FDS("SPX","FG_PRICE(12/30/2015)")</f>
        <v>2063.36</v>
      </c>
      <c r="D86" s="12">
        <f>_xll.FDS("SPX","FG_PRICE(12/30/2017)")</f>
        <v>2673.61</v>
      </c>
      <c r="E86" s="15">
        <f>D86/C86-1</f>
        <v>0.2957554668114144</v>
      </c>
      <c r="F86" s="8" t="s">
        <v>872</v>
      </c>
      <c r="G86" s="8" t="s">
        <v>873</v>
      </c>
      <c r="H86" s="13">
        <f>_xll.FDS(G86,"FG_PRICE(12/30/2015)")</f>
        <v>17.32</v>
      </c>
      <c r="I86" s="13">
        <f>_xll.FDS(G86,"FG_PRICE(12/31/2017)")</f>
        <v>21.3</v>
      </c>
      <c r="J86" s="13">
        <f>I86/H86-1</f>
        <v>0.22979214780600454</v>
      </c>
      <c r="K86" s="13">
        <f>J86-E86</f>
        <v>-6.5963319005409859E-2</v>
      </c>
      <c r="L86" s="13">
        <f>_xll.FDS(G86,"FF_ROE(ANN_R,12/30/2015)")</f>
        <v>12.01248695220553</v>
      </c>
      <c r="M86" s="8" t="s">
        <v>874</v>
      </c>
      <c r="N86" s="4" t="s">
        <v>874</v>
      </c>
      <c r="O86" s="4" t="s">
        <v>875</v>
      </c>
      <c r="P86" s="4" t="s">
        <v>96</v>
      </c>
      <c r="Q86" s="4" t="s">
        <v>71</v>
      </c>
      <c r="R86" s="4" t="s">
        <v>61</v>
      </c>
      <c r="S86" s="4" t="s">
        <v>62</v>
      </c>
      <c r="T86" s="6" t="e">
        <v>#N/A</v>
      </c>
      <c r="U86" s="5">
        <v>45</v>
      </c>
      <c r="V86" s="5">
        <v>35</v>
      </c>
      <c r="W86" s="5">
        <v>43</v>
      </c>
      <c r="X86" s="5">
        <v>65</v>
      </c>
      <c r="Y86" s="6">
        <v>2.94</v>
      </c>
      <c r="Z86" s="6">
        <v>0</v>
      </c>
      <c r="AA86" s="6">
        <v>2.35</v>
      </c>
      <c r="AB86" s="5">
        <v>55.88</v>
      </c>
      <c r="AC86" s="6">
        <v>0.4</v>
      </c>
      <c r="AD86" s="6">
        <v>0.35</v>
      </c>
      <c r="AE86" s="6">
        <v>0.25</v>
      </c>
      <c r="AF86" s="4" t="s">
        <v>6296</v>
      </c>
      <c r="AG86" s="4" t="s">
        <v>6296</v>
      </c>
      <c r="AH86" s="4" t="s">
        <v>6296</v>
      </c>
      <c r="AI86" s="4" t="s">
        <v>6296</v>
      </c>
      <c r="AJ86" s="4" t="s">
        <v>6296</v>
      </c>
      <c r="AK86" s="4" t="s">
        <v>6296</v>
      </c>
      <c r="AL86" s="4" t="s">
        <v>6296</v>
      </c>
      <c r="AM86" s="4" t="s">
        <v>6296</v>
      </c>
      <c r="AN86" s="4" t="s">
        <v>6296</v>
      </c>
      <c r="AO86" s="4" t="s">
        <v>6296</v>
      </c>
      <c r="AP86" s="4" t="s">
        <v>876</v>
      </c>
      <c r="AQ86" s="4" t="s">
        <v>47</v>
      </c>
    </row>
    <row r="87" spans="1:43" ht="12.6" customHeight="1" x14ac:dyDescent="0.25">
      <c r="A87" s="8" t="s">
        <v>4616</v>
      </c>
      <c r="B87" s="9">
        <v>20151231</v>
      </c>
      <c r="C87" s="12">
        <f>_xll.FDS("SPX","FG_PRICE(12/30/2015)")</f>
        <v>2063.36</v>
      </c>
      <c r="D87" s="12">
        <f>_xll.FDS("SPX","FG_PRICE(12/30/2017)")</f>
        <v>2673.61</v>
      </c>
      <c r="E87" s="15">
        <f>D87/C87-1</f>
        <v>0.2957554668114144</v>
      </c>
      <c r="F87" s="8" t="s">
        <v>4617</v>
      </c>
      <c r="G87" s="8" t="s">
        <v>4618</v>
      </c>
      <c r="H87" s="13">
        <f>_xll.FDS(G87,"FG_PRICE(12/30/2015)")</f>
        <v>67.44</v>
      </c>
      <c r="I87" s="13">
        <f>_xll.FDS(G87,"FG_PRICE(12/31/2017)")</f>
        <v>107.08</v>
      </c>
      <c r="J87" s="13">
        <f>I87/H87-1</f>
        <v>0.58778173190984573</v>
      </c>
      <c r="K87" s="13">
        <f>J87-E87</f>
        <v>0.29202626509843133</v>
      </c>
      <c r="L87" s="13">
        <f>_xll.FDS(G87,"FF_ROE(ANN_R,12/30/2015)")</f>
        <v>22.8747507703462</v>
      </c>
      <c r="M87" s="8" t="s">
        <v>4619</v>
      </c>
      <c r="N87" s="4" t="s">
        <v>4620</v>
      </c>
      <c r="O87" s="4" t="s">
        <v>4528</v>
      </c>
      <c r="P87" s="4" t="s">
        <v>96</v>
      </c>
      <c r="Q87" s="4" t="s">
        <v>71</v>
      </c>
      <c r="R87" s="4" t="s">
        <v>61</v>
      </c>
      <c r="S87" s="4" t="s">
        <v>62</v>
      </c>
      <c r="T87" s="6" t="e">
        <v>#N/A</v>
      </c>
      <c r="U87" s="5">
        <v>60</v>
      </c>
      <c r="V87" s="5">
        <v>49</v>
      </c>
      <c r="W87" s="5">
        <v>67</v>
      </c>
      <c r="X87" s="5">
        <v>68</v>
      </c>
      <c r="Y87" s="5">
        <v>55.29</v>
      </c>
      <c r="Z87" s="5">
        <v>30</v>
      </c>
      <c r="AA87" s="5">
        <v>68.239999999999995</v>
      </c>
      <c r="AB87" s="5">
        <v>64.12</v>
      </c>
      <c r="AC87" s="6">
        <v>0.4</v>
      </c>
      <c r="AD87" s="6">
        <v>0.35</v>
      </c>
      <c r="AE87" s="6">
        <v>0.25</v>
      </c>
      <c r="AF87" s="4" t="s">
        <v>42</v>
      </c>
      <c r="AG87" s="4" t="s">
        <v>6296</v>
      </c>
      <c r="AH87" s="4" t="s">
        <v>6296</v>
      </c>
      <c r="AI87" s="4" t="s">
        <v>42</v>
      </c>
      <c r="AJ87" s="4" t="s">
        <v>6296</v>
      </c>
      <c r="AK87" s="4" t="s">
        <v>6296</v>
      </c>
      <c r="AL87" s="4" t="s">
        <v>6296</v>
      </c>
      <c r="AM87" s="4" t="s">
        <v>6296</v>
      </c>
      <c r="AN87" s="4" t="s">
        <v>6296</v>
      </c>
      <c r="AO87" s="4" t="s">
        <v>6296</v>
      </c>
      <c r="AP87" s="4" t="s">
        <v>4621</v>
      </c>
      <c r="AQ87" s="4" t="s">
        <v>47</v>
      </c>
    </row>
    <row r="88" spans="1:43" ht="12.6" customHeight="1" x14ac:dyDescent="0.25">
      <c r="A88" s="8" t="s">
        <v>4668</v>
      </c>
      <c r="B88" s="9">
        <v>20151231</v>
      </c>
      <c r="C88" s="12">
        <f>_xll.FDS("SPX","FG_PRICE(12/30/2015)")</f>
        <v>2063.36</v>
      </c>
      <c r="D88" s="12">
        <f>_xll.FDS("SPX","FG_PRICE(12/30/2017)")</f>
        <v>2673.61</v>
      </c>
      <c r="E88" s="15">
        <f>D88/C88-1</f>
        <v>0.2957554668114144</v>
      </c>
      <c r="F88" s="8" t="s">
        <v>4669</v>
      </c>
      <c r="G88" s="8" t="s">
        <v>4670</v>
      </c>
      <c r="H88" s="13">
        <f>_xll.FDS(G88,"FG_PRICE(12/30/2015)")</f>
        <v>41.16</v>
      </c>
      <c r="I88" s="13">
        <f>_xll.FDS(G88,"FG_PRICE(12/31/2017)")</f>
        <v>42.54</v>
      </c>
      <c r="J88" s="13">
        <f>I88/H88-1</f>
        <v>3.3527696793002937E-2</v>
      </c>
      <c r="K88" s="13">
        <f>J88-E88</f>
        <v>-0.26222777001841147</v>
      </c>
      <c r="L88" s="13">
        <f>_xll.FDS(G88,"FF_ROE(ANN_R,12/30/2015)")</f>
        <v>29.944646664800018</v>
      </c>
      <c r="M88" s="8" t="s">
        <v>4671</v>
      </c>
      <c r="N88" s="4" t="s">
        <v>4672</v>
      </c>
      <c r="O88" s="4" t="s">
        <v>4558</v>
      </c>
      <c r="P88" s="4" t="s">
        <v>96</v>
      </c>
      <c r="Q88" s="4" t="s">
        <v>71</v>
      </c>
      <c r="R88" s="4" t="s">
        <v>61</v>
      </c>
      <c r="S88" s="4" t="s">
        <v>62</v>
      </c>
      <c r="T88" s="6" t="e">
        <v>#N/A</v>
      </c>
      <c r="U88" s="5">
        <v>46</v>
      </c>
      <c r="V88" s="5">
        <v>35</v>
      </c>
      <c r="W88" s="5">
        <v>47</v>
      </c>
      <c r="X88" s="5">
        <v>62</v>
      </c>
      <c r="Y88" s="6">
        <v>5.29</v>
      </c>
      <c r="Z88" s="6">
        <v>0</v>
      </c>
      <c r="AA88" s="6">
        <v>5.88</v>
      </c>
      <c r="AB88" s="5">
        <v>45.29</v>
      </c>
      <c r="AC88" s="6">
        <v>0.4</v>
      </c>
      <c r="AD88" s="6">
        <v>0.35</v>
      </c>
      <c r="AE88" s="6">
        <v>0.25</v>
      </c>
      <c r="AF88" s="4" t="s">
        <v>37</v>
      </c>
      <c r="AG88" s="4" t="s">
        <v>6296</v>
      </c>
      <c r="AH88" s="4" t="s">
        <v>6296</v>
      </c>
      <c r="AI88" s="4" t="s">
        <v>37</v>
      </c>
      <c r="AJ88" s="4" t="s">
        <v>6296</v>
      </c>
      <c r="AK88" s="4" t="s">
        <v>37</v>
      </c>
      <c r="AL88" s="4" t="s">
        <v>6296</v>
      </c>
      <c r="AM88" s="4" t="s">
        <v>6296</v>
      </c>
      <c r="AN88" s="4" t="s">
        <v>6296</v>
      </c>
      <c r="AO88" s="4" t="s">
        <v>6296</v>
      </c>
      <c r="AP88" s="4" t="s">
        <v>4673</v>
      </c>
      <c r="AQ88" s="4" t="s">
        <v>47</v>
      </c>
    </row>
    <row r="89" spans="1:43" ht="12.6" customHeight="1" x14ac:dyDescent="0.25">
      <c r="A89" s="8" t="s">
        <v>197</v>
      </c>
      <c r="B89" s="9">
        <v>20151231</v>
      </c>
      <c r="C89" s="12">
        <f>_xll.FDS("SPX","FG_PRICE(12/30/2015)")</f>
        <v>2063.36</v>
      </c>
      <c r="D89" s="12">
        <f>_xll.FDS("SPX","FG_PRICE(12/30/2017)")</f>
        <v>2673.61</v>
      </c>
      <c r="E89" s="15">
        <f>D89/C89-1</f>
        <v>0.2957554668114144</v>
      </c>
      <c r="F89" s="8" t="s">
        <v>198</v>
      </c>
      <c r="G89" s="8" t="s">
        <v>199</v>
      </c>
      <c r="H89" s="13">
        <f>_xll.FDS(G89,"FG_PRICE(12/30/2015)")</f>
        <v>67.33</v>
      </c>
      <c r="I89" s="13" t="e">
        <f>_xll.FDS(G89,"FG_PRICE(12/31/2017)")</f>
        <v>#N/A</v>
      </c>
      <c r="J89" s="13" t="e">
        <f>I89/H89-1</f>
        <v>#N/A</v>
      </c>
      <c r="K89" s="13" t="e">
        <f>J89-E89</f>
        <v>#N/A</v>
      </c>
      <c r="L89" s="13">
        <f>_xll.FDS(G89,"FF_ROE(ANN_R,12/30/2015)")</f>
        <v>21.21222376391756</v>
      </c>
      <c r="M89" s="8" t="s">
        <v>200</v>
      </c>
      <c r="N89" s="4" t="s">
        <v>200</v>
      </c>
      <c r="O89" s="4" t="s">
        <v>201</v>
      </c>
      <c r="P89" s="4" t="s">
        <v>96</v>
      </c>
      <c r="Q89" s="4" t="s">
        <v>71</v>
      </c>
      <c r="R89" s="4" t="s">
        <v>61</v>
      </c>
      <c r="S89" s="4" t="s">
        <v>62</v>
      </c>
      <c r="T89" s="6" t="e">
        <v>#N/A</v>
      </c>
      <c r="U89" s="5">
        <v>60</v>
      </c>
      <c r="V89" s="5">
        <v>55</v>
      </c>
      <c r="W89" s="5">
        <v>55</v>
      </c>
      <c r="X89" s="5">
        <v>74</v>
      </c>
      <c r="Y89" s="5">
        <v>55.29</v>
      </c>
      <c r="Z89" s="5">
        <v>51.18</v>
      </c>
      <c r="AA89" s="5">
        <v>30</v>
      </c>
      <c r="AB89" s="5">
        <v>81.760000000000005</v>
      </c>
      <c r="AC89" s="6">
        <v>0.4</v>
      </c>
      <c r="AD89" s="6">
        <v>0.35</v>
      </c>
      <c r="AE89" s="6">
        <v>0.25</v>
      </c>
      <c r="AF89" s="4" t="s">
        <v>45</v>
      </c>
      <c r="AG89" s="4" t="s">
        <v>6296</v>
      </c>
      <c r="AH89" s="4" t="s">
        <v>46</v>
      </c>
      <c r="AI89" s="4" t="s">
        <v>46</v>
      </c>
      <c r="AJ89" s="4" t="s">
        <v>37</v>
      </c>
      <c r="AK89" s="4" t="s">
        <v>37</v>
      </c>
      <c r="AL89" s="4" t="s">
        <v>46</v>
      </c>
      <c r="AM89" s="4" t="s">
        <v>37</v>
      </c>
      <c r="AN89" s="4" t="s">
        <v>42</v>
      </c>
      <c r="AO89" s="4" t="s">
        <v>42</v>
      </c>
      <c r="AP89" s="4" t="s">
        <v>202</v>
      </c>
      <c r="AQ89" s="4" t="s">
        <v>47</v>
      </c>
    </row>
    <row r="90" spans="1:43" ht="12.6" customHeight="1" x14ac:dyDescent="0.25">
      <c r="A90" s="8" t="s">
        <v>1369</v>
      </c>
      <c r="B90" s="9">
        <v>20151231</v>
      </c>
      <c r="C90" s="12">
        <f>_xll.FDS("SPX","FG_PRICE(12/30/2015)")</f>
        <v>2063.36</v>
      </c>
      <c r="D90" s="12">
        <f>_xll.FDS("SPX","FG_PRICE(12/30/2017)")</f>
        <v>2673.61</v>
      </c>
      <c r="E90" s="15">
        <f>D90/C90-1</f>
        <v>0.2957554668114144</v>
      </c>
      <c r="F90" s="8" t="s">
        <v>1370</v>
      </c>
      <c r="G90" s="8" t="s">
        <v>1371</v>
      </c>
      <c r="H90" s="13">
        <f>_xll.FDS(G90,"FG_PRICE(12/30/2015)")</f>
        <v>51.66</v>
      </c>
      <c r="I90" s="13">
        <f>_xll.FDS(G90,"FG_PRICE(12/31/2017)")</f>
        <v>71.22</v>
      </c>
      <c r="J90" s="13">
        <f>I90/H90-1</f>
        <v>0.37862950058072009</v>
      </c>
      <c r="K90" s="13">
        <f>J90-E90</f>
        <v>8.2874033769305688E-2</v>
      </c>
      <c r="L90" s="13">
        <f>_xll.FDS(G90,"FF_ROE(ANN_R,12/30/2015)")</f>
        <v>15.186228989679851</v>
      </c>
      <c r="M90" s="8" t="s">
        <v>1372</v>
      </c>
      <c r="N90" s="4" t="s">
        <v>1373</v>
      </c>
      <c r="O90" s="4" t="s">
        <v>1374</v>
      </c>
      <c r="P90" s="4" t="s">
        <v>96</v>
      </c>
      <c r="Q90" s="4" t="s">
        <v>71</v>
      </c>
      <c r="R90" s="4" t="s">
        <v>61</v>
      </c>
      <c r="S90" s="4" t="s">
        <v>62</v>
      </c>
      <c r="T90" s="6" t="e">
        <v>#N/A</v>
      </c>
      <c r="U90" s="5">
        <v>67</v>
      </c>
      <c r="V90" s="5">
        <v>68</v>
      </c>
      <c r="W90" s="5">
        <v>61</v>
      </c>
      <c r="X90" s="5">
        <v>73</v>
      </c>
      <c r="Y90" s="5">
        <v>75.88</v>
      </c>
      <c r="Z90" s="5">
        <v>80.59</v>
      </c>
      <c r="AA90" s="5">
        <v>54.12</v>
      </c>
      <c r="AB90" s="5">
        <v>78.239999999999995</v>
      </c>
      <c r="AC90" s="6">
        <v>0.4</v>
      </c>
      <c r="AD90" s="6">
        <v>0.35</v>
      </c>
      <c r="AE90" s="6">
        <v>0.25</v>
      </c>
      <c r="AF90" s="4" t="s">
        <v>42</v>
      </c>
      <c r="AG90" s="4" t="s">
        <v>6296</v>
      </c>
      <c r="AH90" s="4" t="s">
        <v>42</v>
      </c>
      <c r="AI90" s="4" t="s">
        <v>46</v>
      </c>
      <c r="AJ90" s="4" t="s">
        <v>6296</v>
      </c>
      <c r="AK90" s="4" t="s">
        <v>46</v>
      </c>
      <c r="AL90" s="4" t="s">
        <v>45</v>
      </c>
      <c r="AM90" s="4" t="s">
        <v>37</v>
      </c>
      <c r="AN90" s="4" t="s">
        <v>37</v>
      </c>
      <c r="AO90" s="4" t="s">
        <v>42</v>
      </c>
      <c r="AP90" s="4" t="s">
        <v>1375</v>
      </c>
      <c r="AQ90" s="4" t="s">
        <v>47</v>
      </c>
    </row>
    <row r="91" spans="1:43" ht="12.6" customHeight="1" x14ac:dyDescent="0.25">
      <c r="A91" s="8" t="s">
        <v>1471</v>
      </c>
      <c r="B91" s="9">
        <v>20151231</v>
      </c>
      <c r="C91" s="12">
        <f>_xll.FDS("SPX","FG_PRICE(12/30/2015)")</f>
        <v>2063.36</v>
      </c>
      <c r="D91" s="12">
        <f>_xll.FDS("SPX","FG_PRICE(12/30/2017)")</f>
        <v>2673.61</v>
      </c>
      <c r="E91" s="15">
        <f>D91/C91-1</f>
        <v>0.2957554668114144</v>
      </c>
      <c r="F91" s="8" t="s">
        <v>1472</v>
      </c>
      <c r="G91" s="8" t="s">
        <v>1473</v>
      </c>
      <c r="H91" s="13">
        <f>_xll.FDS(G91,"FG_PRICE(12/30/2015)")</f>
        <v>115.43</v>
      </c>
      <c r="I91" s="13">
        <f>_xll.FDS(G91,"FG_PRICE(12/31/2017)")</f>
        <v>134.18</v>
      </c>
      <c r="J91" s="13">
        <f>I91/H91-1</f>
        <v>0.16243610846400425</v>
      </c>
      <c r="K91" s="13">
        <f>J91-E91</f>
        <v>-0.13331935834741016</v>
      </c>
      <c r="L91" s="13">
        <f>_xll.FDS(G91,"FF_ROE(ANN_R,12/30/2015)")</f>
        <v>16.409053082495461</v>
      </c>
      <c r="M91" s="8" t="s">
        <v>1474</v>
      </c>
      <c r="N91" s="4" t="s">
        <v>1474</v>
      </c>
      <c r="O91" s="4" t="s">
        <v>1475</v>
      </c>
      <c r="P91" s="4" t="s">
        <v>96</v>
      </c>
      <c r="Q91" s="4" t="s">
        <v>71</v>
      </c>
      <c r="R91" s="4" t="s">
        <v>61</v>
      </c>
      <c r="S91" s="4" t="s">
        <v>62</v>
      </c>
      <c r="T91" s="6" t="e">
        <v>#N/A</v>
      </c>
      <c r="U91" s="5">
        <v>66</v>
      </c>
      <c r="V91" s="5">
        <v>65</v>
      </c>
      <c r="W91" s="5">
        <v>64</v>
      </c>
      <c r="X91" s="5">
        <v>72</v>
      </c>
      <c r="Y91" s="5">
        <v>73.53</v>
      </c>
      <c r="Z91" s="5">
        <v>72.349999999999994</v>
      </c>
      <c r="AA91" s="5">
        <v>63.53</v>
      </c>
      <c r="AB91" s="5">
        <v>75.88</v>
      </c>
      <c r="AC91" s="6">
        <v>0.4</v>
      </c>
      <c r="AD91" s="6">
        <v>0.35</v>
      </c>
      <c r="AE91" s="6">
        <v>0.25</v>
      </c>
      <c r="AF91" s="4" t="s">
        <v>6296</v>
      </c>
      <c r="AG91" s="4" t="s">
        <v>6296</v>
      </c>
      <c r="AH91" s="4" t="s">
        <v>6296</v>
      </c>
      <c r="AI91" s="4" t="s">
        <v>42</v>
      </c>
      <c r="AJ91" s="4" t="s">
        <v>6296</v>
      </c>
      <c r="AK91" s="4" t="s">
        <v>42</v>
      </c>
      <c r="AL91" s="4" t="s">
        <v>6296</v>
      </c>
      <c r="AM91" s="4" t="s">
        <v>6296</v>
      </c>
      <c r="AN91" s="4" t="s">
        <v>6296</v>
      </c>
      <c r="AO91" s="4" t="s">
        <v>6296</v>
      </c>
      <c r="AP91" s="4" t="s">
        <v>1476</v>
      </c>
      <c r="AQ91" s="4" t="s">
        <v>47</v>
      </c>
    </row>
    <row r="92" spans="1:43" ht="12.6" customHeight="1" x14ac:dyDescent="0.25">
      <c r="A92" s="8" t="s">
        <v>1439</v>
      </c>
      <c r="B92" s="9">
        <v>20151231</v>
      </c>
      <c r="C92" s="12">
        <f>_xll.FDS("SPX","FG_PRICE(12/30/2015)")</f>
        <v>2063.36</v>
      </c>
      <c r="D92" s="12">
        <f>_xll.FDS("SPX","FG_PRICE(12/30/2017)")</f>
        <v>2673.61</v>
      </c>
      <c r="E92" s="15">
        <f>D92/C92-1</f>
        <v>0.2957554668114144</v>
      </c>
      <c r="F92" s="8" t="s">
        <v>1440</v>
      </c>
      <c r="G92" s="8" t="s">
        <v>1441</v>
      </c>
      <c r="H92" s="13">
        <f>_xll.FDS(G92,"FG_PRICE(12/30/2015)")</f>
        <v>67.8</v>
      </c>
      <c r="I92" s="13">
        <f>_xll.FDS(G92,"FG_PRICE(12/31/2017)")</f>
        <v>92.64</v>
      </c>
      <c r="J92" s="13">
        <f>I92/H92-1</f>
        <v>0.36637168141592924</v>
      </c>
      <c r="K92" s="13">
        <f>J92-E92</f>
        <v>7.0616214604514838E-2</v>
      </c>
      <c r="L92" s="13">
        <f>_xll.FDS(G92,"FF_ROE(ANN_R,12/30/2015)")</f>
        <v>20.503695592663561</v>
      </c>
      <c r="M92" s="8" t="s">
        <v>1442</v>
      </c>
      <c r="N92" s="4" t="s">
        <v>1442</v>
      </c>
      <c r="O92" s="4" t="s">
        <v>1443</v>
      </c>
      <c r="P92" s="4" t="s">
        <v>96</v>
      </c>
      <c r="Q92" s="4" t="s">
        <v>71</v>
      </c>
      <c r="R92" s="4" t="s">
        <v>61</v>
      </c>
      <c r="S92" s="4" t="s">
        <v>62</v>
      </c>
      <c r="T92" s="6" t="e">
        <v>#N/A</v>
      </c>
      <c r="U92" s="5">
        <v>65</v>
      </c>
      <c r="V92" s="5">
        <v>64</v>
      </c>
      <c r="W92" s="5">
        <v>66</v>
      </c>
      <c r="X92" s="5">
        <v>66</v>
      </c>
      <c r="Y92" s="5">
        <v>70</v>
      </c>
      <c r="Z92" s="5">
        <v>70</v>
      </c>
      <c r="AA92" s="5">
        <v>66.47</v>
      </c>
      <c r="AB92" s="5">
        <v>60</v>
      </c>
      <c r="AC92" s="6">
        <v>0.4</v>
      </c>
      <c r="AD92" s="6">
        <v>0.35</v>
      </c>
      <c r="AE92" s="6">
        <v>0.25</v>
      </c>
      <c r="AF92" s="4" t="s">
        <v>42</v>
      </c>
      <c r="AG92" s="4" t="s">
        <v>6296</v>
      </c>
      <c r="AH92" s="4" t="s">
        <v>6296</v>
      </c>
      <c r="AI92" s="4" t="s">
        <v>42</v>
      </c>
      <c r="AJ92" s="4" t="s">
        <v>6296</v>
      </c>
      <c r="AK92" s="4" t="s">
        <v>37</v>
      </c>
      <c r="AL92" s="4" t="s">
        <v>6296</v>
      </c>
      <c r="AM92" s="4" t="s">
        <v>42</v>
      </c>
      <c r="AN92" s="4" t="s">
        <v>6296</v>
      </c>
      <c r="AO92" s="4" t="s">
        <v>6296</v>
      </c>
      <c r="AP92" s="4" t="s">
        <v>1444</v>
      </c>
      <c r="AQ92" s="4" t="s">
        <v>47</v>
      </c>
    </row>
    <row r="93" spans="1:43" ht="12.6" customHeight="1" x14ac:dyDescent="0.25">
      <c r="A93" s="8" t="s">
        <v>1574</v>
      </c>
      <c r="B93" s="9">
        <v>20151231</v>
      </c>
      <c r="C93" s="12">
        <f>_xll.FDS("SPX","FG_PRICE(12/30/2015)")</f>
        <v>2063.36</v>
      </c>
      <c r="D93" s="12">
        <f>_xll.FDS("SPX","FG_PRICE(12/30/2017)")</f>
        <v>2673.61</v>
      </c>
      <c r="E93" s="15">
        <f>D93/C93-1</f>
        <v>0.2957554668114144</v>
      </c>
      <c r="F93" s="8" t="s">
        <v>1575</v>
      </c>
      <c r="G93" s="8" t="s">
        <v>1576</v>
      </c>
      <c r="H93" s="13">
        <f>_xll.FDS(G93,"FG_PRICE(12/30/2015)")</f>
        <v>39.69</v>
      </c>
      <c r="I93" s="13">
        <f>_xll.FDS(G93,"FG_PRICE(12/31/2017)")</f>
        <v>94.66</v>
      </c>
      <c r="J93" s="13">
        <f>I93/H93-1</f>
        <v>1.384983623078861</v>
      </c>
      <c r="K93" s="13">
        <f>J93-E93</f>
        <v>1.0892281562674466</v>
      </c>
      <c r="L93" s="13">
        <f>_xll.FDS(G93,"FF_ROE(ANN_R,12/30/2015)")</f>
        <v>19.49316460675999</v>
      </c>
      <c r="M93" s="8" t="s">
        <v>1577</v>
      </c>
      <c r="N93" s="4" t="s">
        <v>1577</v>
      </c>
      <c r="O93" s="4" t="s">
        <v>1578</v>
      </c>
      <c r="P93" s="4" t="s">
        <v>96</v>
      </c>
      <c r="Q93" s="4" t="s">
        <v>71</v>
      </c>
      <c r="R93" s="4" t="s">
        <v>61</v>
      </c>
      <c r="S93" s="4" t="s">
        <v>62</v>
      </c>
      <c r="T93" s="6" t="e">
        <v>#N/A</v>
      </c>
      <c r="U93" s="5">
        <v>70</v>
      </c>
      <c r="V93" s="5">
        <v>56</v>
      </c>
      <c r="W93" s="5">
        <v>82</v>
      </c>
      <c r="X93" s="5">
        <v>74</v>
      </c>
      <c r="Y93" s="5">
        <v>82.35</v>
      </c>
      <c r="Z93" s="5">
        <v>53.53</v>
      </c>
      <c r="AA93" s="5">
        <v>95.88</v>
      </c>
      <c r="AB93" s="5">
        <v>81.760000000000005</v>
      </c>
      <c r="AC93" s="6">
        <v>0.4</v>
      </c>
      <c r="AD93" s="6">
        <v>0.35</v>
      </c>
      <c r="AE93" s="6">
        <v>0.25</v>
      </c>
      <c r="AF93" s="4" t="s">
        <v>42</v>
      </c>
      <c r="AG93" s="4" t="s">
        <v>6296</v>
      </c>
      <c r="AH93" s="4" t="s">
        <v>6296</v>
      </c>
      <c r="AI93" s="4" t="s">
        <v>42</v>
      </c>
      <c r="AJ93" s="4" t="s">
        <v>6296</v>
      </c>
      <c r="AK93" s="4" t="s">
        <v>42</v>
      </c>
      <c r="AL93" s="4" t="s">
        <v>6296</v>
      </c>
      <c r="AM93" s="4" t="s">
        <v>6296</v>
      </c>
      <c r="AN93" s="4" t="s">
        <v>6296</v>
      </c>
      <c r="AO93" s="4" t="s">
        <v>6296</v>
      </c>
      <c r="AP93" s="4" t="s">
        <v>1579</v>
      </c>
      <c r="AQ93" s="4" t="s">
        <v>47</v>
      </c>
    </row>
    <row r="94" spans="1:43" ht="12.6" customHeight="1" x14ac:dyDescent="0.25">
      <c r="A94" s="8" t="s">
        <v>1202</v>
      </c>
      <c r="B94" s="9">
        <v>20151231</v>
      </c>
      <c r="C94" s="12">
        <f>_xll.FDS("SPX","FG_PRICE(12/30/2015)")</f>
        <v>2063.36</v>
      </c>
      <c r="D94" s="12">
        <f>_xll.FDS("SPX","FG_PRICE(12/30/2017)")</f>
        <v>2673.61</v>
      </c>
      <c r="E94" s="15">
        <f>D94/C94-1</f>
        <v>0.2957554668114144</v>
      </c>
      <c r="F94" s="8" t="s">
        <v>1203</v>
      </c>
      <c r="G94" s="8" t="s">
        <v>1204</v>
      </c>
      <c r="H94" s="13">
        <f>_xll.FDS(G94,"FG_PRICE(12/30/2015)")</f>
        <v>80.434889999999996</v>
      </c>
      <c r="I94" s="13">
        <f>_xll.FDS(G94,"FG_PRICE(12/31/2017)")</f>
        <v>70.13</v>
      </c>
      <c r="J94" s="13">
        <f>I94/H94-1</f>
        <v>-0.12811467759824124</v>
      </c>
      <c r="K94" s="13">
        <f>J94-E94</f>
        <v>-0.42387014440965565</v>
      </c>
      <c r="L94" s="13">
        <f>_xll.FDS(G94,"FF_ROE(ANN_R,12/30/2015)")</f>
        <v>59.643820831084717</v>
      </c>
      <c r="M94" s="8" t="s">
        <v>1205</v>
      </c>
      <c r="N94" s="4" t="s">
        <v>1205</v>
      </c>
      <c r="O94" s="4" t="s">
        <v>1206</v>
      </c>
      <c r="P94" s="4" t="s">
        <v>96</v>
      </c>
      <c r="Q94" s="4" t="s">
        <v>71</v>
      </c>
      <c r="R94" s="4" t="s">
        <v>61</v>
      </c>
      <c r="S94" s="4" t="s">
        <v>62</v>
      </c>
      <c r="T94" s="6" t="e">
        <v>#N/A</v>
      </c>
      <c r="U94" s="5">
        <v>54</v>
      </c>
      <c r="V94" s="5">
        <v>39</v>
      </c>
      <c r="W94" s="5">
        <v>59</v>
      </c>
      <c r="X94" s="5">
        <v>70</v>
      </c>
      <c r="Y94" s="5">
        <v>31.18</v>
      </c>
      <c r="Z94" s="6">
        <v>6.47</v>
      </c>
      <c r="AA94" s="5">
        <v>47.65</v>
      </c>
      <c r="AB94" s="5">
        <v>70.59</v>
      </c>
      <c r="AC94" s="6">
        <v>0.4</v>
      </c>
      <c r="AD94" s="6">
        <v>0.35</v>
      </c>
      <c r="AE94" s="6">
        <v>0.25</v>
      </c>
      <c r="AF94" s="4" t="s">
        <v>46</v>
      </c>
      <c r="AG94" s="4" t="s">
        <v>6296</v>
      </c>
      <c r="AH94" s="4" t="s">
        <v>6296</v>
      </c>
      <c r="AI94" s="4" t="s">
        <v>6296</v>
      </c>
      <c r="AJ94" s="4" t="s">
        <v>6296</v>
      </c>
      <c r="AK94" s="4" t="s">
        <v>6296</v>
      </c>
      <c r="AL94" s="4" t="s">
        <v>6296</v>
      </c>
      <c r="AM94" s="4" t="s">
        <v>6296</v>
      </c>
      <c r="AN94" s="4" t="s">
        <v>6296</v>
      </c>
      <c r="AO94" s="4" t="s">
        <v>6296</v>
      </c>
      <c r="AP94" s="4" t="s">
        <v>1207</v>
      </c>
      <c r="AQ94" s="4" t="s">
        <v>47</v>
      </c>
    </row>
    <row r="95" spans="1:43" ht="12.6" customHeight="1" x14ac:dyDescent="0.25">
      <c r="A95" s="8" t="s">
        <v>4622</v>
      </c>
      <c r="B95" s="9">
        <v>20151231</v>
      </c>
      <c r="C95" s="12">
        <f>_xll.FDS("SPX","FG_PRICE(12/30/2015)")</f>
        <v>2063.36</v>
      </c>
      <c r="D95" s="12">
        <f>_xll.FDS("SPX","FG_PRICE(12/30/2017)")</f>
        <v>2673.61</v>
      </c>
      <c r="E95" s="15">
        <f>D95/C95-1</f>
        <v>0.2957554668114144</v>
      </c>
      <c r="F95" s="8" t="s">
        <v>4623</v>
      </c>
      <c r="G95" s="8" t="s">
        <v>4624</v>
      </c>
      <c r="H95" s="13">
        <f>_xll.FDS(G95,"FG_PRICE(12/30/2015)")</f>
        <v>11.27</v>
      </c>
      <c r="I95" s="13">
        <f>_xll.FDS(G95,"FG_PRICE(12/31/2017)")</f>
        <v>33.29</v>
      </c>
      <c r="J95" s="13">
        <f>I95/H95-1</f>
        <v>1.9538598047914819</v>
      </c>
      <c r="K95" s="13">
        <f>J95-E95</f>
        <v>1.6581043379800675</v>
      </c>
      <c r="L95" s="13">
        <f>_xll.FDS(G95,"FF_ROE(ANN_R,12/30/2015)")</f>
        <v>17.615753060138371</v>
      </c>
      <c r="M95" s="8" t="s">
        <v>4625</v>
      </c>
      <c r="N95" s="4" t="s">
        <v>4625</v>
      </c>
      <c r="O95" s="4" t="s">
        <v>4626</v>
      </c>
      <c r="P95" s="4" t="s">
        <v>96</v>
      </c>
      <c r="Q95" s="4" t="s">
        <v>71</v>
      </c>
      <c r="R95" s="4" t="s">
        <v>61</v>
      </c>
      <c r="S95" s="4" t="s">
        <v>62</v>
      </c>
      <c r="T95" s="6" t="e">
        <v>#N/A</v>
      </c>
      <c r="U95" s="5">
        <v>63</v>
      </c>
      <c r="V95" s="5">
        <v>53</v>
      </c>
      <c r="W95" s="5">
        <v>71</v>
      </c>
      <c r="X95" s="5">
        <v>69</v>
      </c>
      <c r="Y95" s="5">
        <v>61.18</v>
      </c>
      <c r="Z95" s="5">
        <v>44.12</v>
      </c>
      <c r="AA95" s="5">
        <v>78.819999999999993</v>
      </c>
      <c r="AB95" s="5">
        <v>67.06</v>
      </c>
      <c r="AC95" s="6">
        <v>0.4</v>
      </c>
      <c r="AD95" s="6">
        <v>0.35</v>
      </c>
      <c r="AE95" s="6">
        <v>0.25</v>
      </c>
      <c r="AF95" s="4" t="s">
        <v>37</v>
      </c>
      <c r="AG95" s="4" t="s">
        <v>6296</v>
      </c>
      <c r="AH95" s="4" t="s">
        <v>6296</v>
      </c>
      <c r="AI95" s="4" t="s">
        <v>42</v>
      </c>
      <c r="AJ95" s="4" t="s">
        <v>6296</v>
      </c>
      <c r="AK95" s="4" t="s">
        <v>37</v>
      </c>
      <c r="AL95" s="4" t="s">
        <v>42</v>
      </c>
      <c r="AM95" s="4" t="s">
        <v>6296</v>
      </c>
      <c r="AN95" s="4" t="s">
        <v>6296</v>
      </c>
      <c r="AO95" s="4" t="s">
        <v>6296</v>
      </c>
      <c r="AP95" s="4" t="s">
        <v>4627</v>
      </c>
      <c r="AQ95" s="4" t="s">
        <v>47</v>
      </c>
    </row>
    <row r="96" spans="1:43" ht="12.6" customHeight="1" x14ac:dyDescent="0.25">
      <c r="A96" s="8" t="s">
        <v>2148</v>
      </c>
      <c r="B96" s="9">
        <v>20151231</v>
      </c>
      <c r="C96" s="12">
        <f>_xll.FDS("SPX","FG_PRICE(12/30/2015)")</f>
        <v>2063.36</v>
      </c>
      <c r="D96" s="12">
        <f>_xll.FDS("SPX","FG_PRICE(12/30/2017)")</f>
        <v>2673.61</v>
      </c>
      <c r="E96" s="15">
        <f>D96/C96-1</f>
        <v>0.2957554668114144</v>
      </c>
      <c r="F96" s="8" t="s">
        <v>2149</v>
      </c>
      <c r="G96" s="8" t="s">
        <v>2150</v>
      </c>
      <c r="H96" s="13">
        <f>_xll.FDS(G96,"FG_PRICE(12/30/2015)")</f>
        <v>120.62</v>
      </c>
      <c r="I96" s="13">
        <f>_xll.FDS(G96,"FG_PRICE(12/31/2017)")</f>
        <v>152.61000000000001</v>
      </c>
      <c r="J96" s="13">
        <f>I96/H96-1</f>
        <v>0.26521306582656279</v>
      </c>
      <c r="K96" s="13">
        <f>J96-E96</f>
        <v>-3.0542400984851614E-2</v>
      </c>
      <c r="L96" s="13">
        <f>_xll.FDS(G96,"FF_ROE(ANN_R,12/30/2015)")</f>
        <v>27.645454688756129</v>
      </c>
      <c r="M96" s="8" t="s">
        <v>2151</v>
      </c>
      <c r="N96" s="4" t="s">
        <v>2151</v>
      </c>
      <c r="O96" s="4" t="s">
        <v>2152</v>
      </c>
      <c r="P96" s="4" t="s">
        <v>96</v>
      </c>
      <c r="Q96" s="4" t="s">
        <v>71</v>
      </c>
      <c r="R96" s="4" t="s">
        <v>61</v>
      </c>
      <c r="S96" s="4" t="s">
        <v>62</v>
      </c>
      <c r="T96" s="6" t="e">
        <v>#N/A</v>
      </c>
      <c r="U96" s="5">
        <v>65</v>
      </c>
      <c r="V96" s="5">
        <v>64</v>
      </c>
      <c r="W96" s="5">
        <v>63</v>
      </c>
      <c r="X96" s="5">
        <v>67</v>
      </c>
      <c r="Y96" s="5">
        <v>70</v>
      </c>
      <c r="Z96" s="5">
        <v>70</v>
      </c>
      <c r="AA96" s="5">
        <v>60</v>
      </c>
      <c r="AB96" s="5">
        <v>61.76</v>
      </c>
      <c r="AC96" s="6">
        <v>0.4</v>
      </c>
      <c r="AD96" s="6">
        <v>0.35</v>
      </c>
      <c r="AE96" s="6">
        <v>0.25</v>
      </c>
      <c r="AF96" s="4" t="s">
        <v>42</v>
      </c>
      <c r="AG96" s="4" t="s">
        <v>6296</v>
      </c>
      <c r="AH96" s="4" t="s">
        <v>6296</v>
      </c>
      <c r="AI96" s="4" t="s">
        <v>6296</v>
      </c>
      <c r="AJ96" s="4" t="s">
        <v>6296</v>
      </c>
      <c r="AK96" s="4" t="s">
        <v>6296</v>
      </c>
      <c r="AL96" s="4" t="s">
        <v>6296</v>
      </c>
      <c r="AM96" s="4" t="s">
        <v>37</v>
      </c>
      <c r="AN96" s="4" t="s">
        <v>6296</v>
      </c>
      <c r="AO96" s="4" t="s">
        <v>6296</v>
      </c>
      <c r="AP96" s="4" t="s">
        <v>2153</v>
      </c>
      <c r="AQ96" s="4" t="s">
        <v>47</v>
      </c>
    </row>
    <row r="97" spans="1:43" ht="12.6" customHeight="1" x14ac:dyDescent="0.25">
      <c r="A97" s="8" t="s">
        <v>5016</v>
      </c>
      <c r="B97" s="9">
        <v>20151231</v>
      </c>
      <c r="C97" s="12">
        <f>_xll.FDS("SPX","FG_PRICE(12/30/2015)")</f>
        <v>2063.36</v>
      </c>
      <c r="D97" s="12">
        <f>_xll.FDS("SPX","FG_PRICE(12/30/2017)")</f>
        <v>2673.61</v>
      </c>
      <c r="E97" s="15">
        <f>D97/C97-1</f>
        <v>0.2957554668114144</v>
      </c>
      <c r="F97" s="8" t="s">
        <v>5017</v>
      </c>
      <c r="G97" s="8" t="s">
        <v>5018</v>
      </c>
      <c r="H97" s="13">
        <f>_xll.FDS(G97,"FG_PRICE(12/30/2015)")</f>
        <v>2.91</v>
      </c>
      <c r="I97" s="13">
        <f>_xll.FDS(G97,"FG_PRICE(12/31/2017)")</f>
        <v>4.76</v>
      </c>
      <c r="J97" s="13">
        <f>I97/H97-1</f>
        <v>0.63573883161512001</v>
      </c>
      <c r="K97" s="13">
        <f>J97-E97</f>
        <v>0.33998336480370561</v>
      </c>
      <c r="L97" s="13">
        <f>_xll.FDS(G97,"FF_ROE(ANN_R,12/30/2015)")</f>
        <v>1.037710976071305</v>
      </c>
      <c r="M97" s="8" t="s">
        <v>5019</v>
      </c>
      <c r="N97" s="4" t="s">
        <v>5020</v>
      </c>
      <c r="O97" s="4" t="s">
        <v>5021</v>
      </c>
      <c r="P97" s="4" t="s">
        <v>96</v>
      </c>
      <c r="Q97" s="4" t="s">
        <v>71</v>
      </c>
      <c r="R97" s="4" t="s">
        <v>61</v>
      </c>
      <c r="S97" s="4" t="s">
        <v>62</v>
      </c>
      <c r="T97" s="6" t="e">
        <v>#N/A</v>
      </c>
      <c r="U97" s="5">
        <v>50</v>
      </c>
      <c r="V97" s="5">
        <v>35</v>
      </c>
      <c r="W97" s="5">
        <v>53</v>
      </c>
      <c r="X97" s="5">
        <v>71</v>
      </c>
      <c r="Y97" s="5">
        <v>15.88</v>
      </c>
      <c r="Z97" s="6">
        <v>0</v>
      </c>
      <c r="AA97" s="5">
        <v>23.53</v>
      </c>
      <c r="AB97" s="5">
        <v>73.53</v>
      </c>
      <c r="AC97" s="6">
        <v>0.4</v>
      </c>
      <c r="AD97" s="6">
        <v>0.35</v>
      </c>
      <c r="AE97" s="6">
        <v>0.25</v>
      </c>
      <c r="AF97" s="4" t="s">
        <v>6296</v>
      </c>
      <c r="AG97" s="4" t="s">
        <v>6296</v>
      </c>
      <c r="AH97" s="4" t="s">
        <v>6296</v>
      </c>
      <c r="AI97" s="4" t="s">
        <v>6296</v>
      </c>
      <c r="AJ97" s="4" t="s">
        <v>6296</v>
      </c>
      <c r="AK97" s="4" t="s">
        <v>6296</v>
      </c>
      <c r="AL97" s="4" t="s">
        <v>42</v>
      </c>
      <c r="AM97" s="4" t="s">
        <v>6296</v>
      </c>
      <c r="AN97" s="4" t="s">
        <v>6296</v>
      </c>
      <c r="AO97" s="4" t="s">
        <v>6296</v>
      </c>
      <c r="AP97" s="4" t="s">
        <v>5022</v>
      </c>
      <c r="AQ97" s="4" t="s">
        <v>47</v>
      </c>
    </row>
    <row r="98" spans="1:43" ht="12.6" customHeight="1" x14ac:dyDescent="0.25">
      <c r="A98" s="8" t="s">
        <v>884</v>
      </c>
      <c r="B98" s="9">
        <v>20151231</v>
      </c>
      <c r="C98" s="12">
        <f>_xll.FDS("SPX","FG_PRICE(12/30/2015)")</f>
        <v>2063.36</v>
      </c>
      <c r="D98" s="12">
        <f>_xll.FDS("SPX","FG_PRICE(12/30/2017)")</f>
        <v>2673.61</v>
      </c>
      <c r="E98" s="15">
        <f>D98/C98-1</f>
        <v>0.2957554668114144</v>
      </c>
      <c r="F98" s="8" t="s">
        <v>885</v>
      </c>
      <c r="G98" s="8" t="s">
        <v>886</v>
      </c>
      <c r="H98" s="13">
        <f>_xll.FDS(G98,"FG_PRICE(12/30/2015)")</f>
        <v>5.54</v>
      </c>
      <c r="I98" s="13">
        <f>_xll.FDS(G98,"FG_PRICE(12/31/2017)")</f>
        <v>25.77</v>
      </c>
      <c r="J98" s="13">
        <f>I98/H98-1</f>
        <v>3.6516245487364616</v>
      </c>
      <c r="K98" s="13">
        <f>J98-E98</f>
        <v>3.3558690819250474</v>
      </c>
      <c r="L98" s="13">
        <f>_xll.FDS(G98,"FF_ROE(ANN_R,12/30/2015)")</f>
        <v>11.560424192984501</v>
      </c>
      <c r="M98" s="8" t="s">
        <v>887</v>
      </c>
      <c r="N98" s="4" t="s">
        <v>888</v>
      </c>
      <c r="O98" s="4" t="s">
        <v>889</v>
      </c>
      <c r="P98" s="4" t="s">
        <v>96</v>
      </c>
      <c r="Q98" s="4" t="s">
        <v>71</v>
      </c>
      <c r="R98" s="4" t="s">
        <v>61</v>
      </c>
      <c r="S98" s="4" t="s">
        <v>62</v>
      </c>
      <c r="T98" s="6" t="e">
        <v>#N/A</v>
      </c>
      <c r="U98" s="5">
        <v>47</v>
      </c>
      <c r="V98" s="5">
        <v>39</v>
      </c>
      <c r="W98" s="5">
        <v>49</v>
      </c>
      <c r="X98" s="5">
        <v>58</v>
      </c>
      <c r="Y98" s="6">
        <v>6.47</v>
      </c>
      <c r="Z98" s="6">
        <v>6.47</v>
      </c>
      <c r="AA98" s="5">
        <v>11.76</v>
      </c>
      <c r="AB98" s="5">
        <v>25.88</v>
      </c>
      <c r="AC98" s="6">
        <v>0.4</v>
      </c>
      <c r="AD98" s="6">
        <v>0.35</v>
      </c>
      <c r="AE98" s="6">
        <v>0.25</v>
      </c>
      <c r="AF98" s="4" t="s">
        <v>6296</v>
      </c>
      <c r="AG98" s="4" t="s">
        <v>6296</v>
      </c>
      <c r="AH98" s="4" t="s">
        <v>6296</v>
      </c>
      <c r="AI98" s="4" t="s">
        <v>6296</v>
      </c>
      <c r="AJ98" s="4" t="s">
        <v>6296</v>
      </c>
      <c r="AK98" s="4" t="s">
        <v>42</v>
      </c>
      <c r="AL98" s="4" t="s">
        <v>6296</v>
      </c>
      <c r="AM98" s="4" t="s">
        <v>6296</v>
      </c>
      <c r="AN98" s="4" t="s">
        <v>6296</v>
      </c>
      <c r="AO98" s="4" t="s">
        <v>6296</v>
      </c>
      <c r="AP98" s="4" t="s">
        <v>890</v>
      </c>
      <c r="AQ98" s="4" t="s">
        <v>47</v>
      </c>
    </row>
    <row r="99" spans="1:43" ht="12.6" customHeight="1" x14ac:dyDescent="0.25">
      <c r="A99" s="8" t="s">
        <v>2970</v>
      </c>
      <c r="B99" s="9">
        <v>20151231</v>
      </c>
      <c r="C99" s="12">
        <f>_xll.FDS("SPX","FG_PRICE(12/30/2015)")</f>
        <v>2063.36</v>
      </c>
      <c r="D99" s="12">
        <f>_xll.FDS("SPX","FG_PRICE(12/30/2017)")</f>
        <v>2673.61</v>
      </c>
      <c r="E99" s="15">
        <f>D99/C99-1</f>
        <v>0.2957554668114144</v>
      </c>
      <c r="F99" s="8" t="s">
        <v>2971</v>
      </c>
      <c r="G99" s="8" t="s">
        <v>2972</v>
      </c>
      <c r="H99" s="13">
        <f>_xll.FDS(G99,"FG_PRICE(12/30/2015)")</f>
        <v>98.89</v>
      </c>
      <c r="I99" s="13">
        <f>_xll.FDS(G99,"FG_PRICE(12/31/2017)")</f>
        <v>116.78</v>
      </c>
      <c r="J99" s="13">
        <f>I99/H99-1</f>
        <v>0.18090807968449796</v>
      </c>
      <c r="K99" s="13">
        <f>J99-E99</f>
        <v>-0.11484738712691644</v>
      </c>
      <c r="L99" s="13">
        <f>_xll.FDS(G99,"FF_ROE(ANN_R,12/30/2015)")</f>
        <v>30.756811301715441</v>
      </c>
      <c r="M99" s="8" t="s">
        <v>2973</v>
      </c>
      <c r="N99" s="4" t="s">
        <v>2974</v>
      </c>
      <c r="O99" s="4" t="s">
        <v>2975</v>
      </c>
      <c r="P99" s="4" t="s">
        <v>96</v>
      </c>
      <c r="Q99" s="4" t="s">
        <v>71</v>
      </c>
      <c r="R99" s="4" t="s">
        <v>61</v>
      </c>
      <c r="S99" s="4" t="s">
        <v>62</v>
      </c>
      <c r="T99" s="6" t="e">
        <v>#N/A</v>
      </c>
      <c r="U99" s="5">
        <v>55</v>
      </c>
      <c r="V99" s="5">
        <v>51</v>
      </c>
      <c r="W99" s="5">
        <v>54</v>
      </c>
      <c r="X99" s="5">
        <v>62</v>
      </c>
      <c r="Y99" s="5">
        <v>35.880000000000003</v>
      </c>
      <c r="Z99" s="5">
        <v>36.47</v>
      </c>
      <c r="AA99" s="5">
        <v>26.47</v>
      </c>
      <c r="AB99" s="5">
        <v>45.29</v>
      </c>
      <c r="AC99" s="6">
        <v>0.4</v>
      </c>
      <c r="AD99" s="6">
        <v>0.35</v>
      </c>
      <c r="AE99" s="6">
        <v>0.25</v>
      </c>
      <c r="AF99" s="4" t="s">
        <v>37</v>
      </c>
      <c r="AG99" s="4" t="s">
        <v>6296</v>
      </c>
      <c r="AH99" s="4" t="s">
        <v>42</v>
      </c>
      <c r="AI99" s="4" t="s">
        <v>42</v>
      </c>
      <c r="AJ99" s="4" t="s">
        <v>37</v>
      </c>
      <c r="AK99" s="4" t="s">
        <v>37</v>
      </c>
      <c r="AL99" s="4" t="s">
        <v>45</v>
      </c>
      <c r="AM99" s="4" t="s">
        <v>46</v>
      </c>
      <c r="AN99" s="4" t="s">
        <v>6296</v>
      </c>
      <c r="AO99" s="4" t="s">
        <v>42</v>
      </c>
      <c r="AP99" s="4" t="s">
        <v>2976</v>
      </c>
      <c r="AQ99" s="4" t="s">
        <v>47</v>
      </c>
    </row>
    <row r="100" spans="1:43" ht="12.6" customHeight="1" x14ac:dyDescent="0.25">
      <c r="A100" s="8" t="s">
        <v>5092</v>
      </c>
      <c r="B100" s="9">
        <v>20151231</v>
      </c>
      <c r="C100" s="12">
        <f>_xll.FDS("SPX","FG_PRICE(12/30/2015)")</f>
        <v>2063.36</v>
      </c>
      <c r="D100" s="12">
        <f>_xll.FDS("SPX","FG_PRICE(12/30/2017)")</f>
        <v>2673.61</v>
      </c>
      <c r="E100" s="15">
        <f>D100/C100-1</f>
        <v>0.2957554668114144</v>
      </c>
      <c r="F100" s="8" t="s">
        <v>5093</v>
      </c>
      <c r="G100" s="8" t="s">
        <v>5094</v>
      </c>
      <c r="H100" s="13">
        <f>_xll.FDS(G100,"FG_PRICE(12/30/2015)")</f>
        <v>28.35</v>
      </c>
      <c r="I100" s="13">
        <f>_xll.FDS(G100,"FG_PRICE(12/31/2017)")</f>
        <v>25.66</v>
      </c>
      <c r="J100" s="13">
        <f>I100/H100-1</f>
        <v>-9.4885361552028313E-2</v>
      </c>
      <c r="K100" s="13">
        <f>J100-E100</f>
        <v>-0.39064082836344272</v>
      </c>
      <c r="L100" s="13">
        <f>_xll.FDS(G100,"FF_ROE(ANN_R,12/30/2015)")</f>
        <v>9.1459369063957023</v>
      </c>
      <c r="M100" s="8" t="s">
        <v>5095</v>
      </c>
      <c r="N100" s="4" t="s">
        <v>5096</v>
      </c>
      <c r="O100" s="4" t="s">
        <v>5097</v>
      </c>
      <c r="P100" s="4" t="s">
        <v>96</v>
      </c>
      <c r="Q100" s="4" t="s">
        <v>71</v>
      </c>
      <c r="R100" s="4" t="s">
        <v>61</v>
      </c>
      <c r="S100" s="4" t="s">
        <v>62</v>
      </c>
      <c r="T100" s="6" t="e">
        <v>#N/A</v>
      </c>
      <c r="U100" s="5">
        <v>69</v>
      </c>
      <c r="V100" s="5">
        <v>57</v>
      </c>
      <c r="W100" s="5">
        <v>71</v>
      </c>
      <c r="X100" s="5">
        <v>87</v>
      </c>
      <c r="Y100" s="5">
        <v>81.180000000000007</v>
      </c>
      <c r="Z100" s="5">
        <v>55.88</v>
      </c>
      <c r="AA100" s="5">
        <v>78.819999999999993</v>
      </c>
      <c r="AB100" s="5">
        <v>97.65</v>
      </c>
      <c r="AC100" s="6">
        <v>0.4</v>
      </c>
      <c r="AD100" s="6">
        <v>0.35</v>
      </c>
      <c r="AE100" s="6">
        <v>0.25</v>
      </c>
      <c r="AF100" s="4" t="s">
        <v>37</v>
      </c>
      <c r="AG100" s="4" t="s">
        <v>6296</v>
      </c>
      <c r="AH100" s="4" t="s">
        <v>6296</v>
      </c>
      <c r="AI100" s="4" t="s">
        <v>6296</v>
      </c>
      <c r="AJ100" s="4" t="s">
        <v>6296</v>
      </c>
      <c r="AK100" s="4" t="s">
        <v>42</v>
      </c>
      <c r="AL100" s="4" t="s">
        <v>42</v>
      </c>
      <c r="AM100" s="4" t="s">
        <v>6296</v>
      </c>
      <c r="AN100" s="4" t="s">
        <v>6296</v>
      </c>
      <c r="AO100" s="4" t="s">
        <v>6296</v>
      </c>
      <c r="AP100" s="4" t="s">
        <v>5098</v>
      </c>
      <c r="AQ100" s="4" t="s">
        <v>47</v>
      </c>
    </row>
    <row r="101" spans="1:43" ht="12.6" customHeight="1" x14ac:dyDescent="0.25">
      <c r="A101" s="8" t="s">
        <v>3199</v>
      </c>
      <c r="B101" s="9">
        <v>20151231</v>
      </c>
      <c r="C101" s="12">
        <f>_xll.FDS("SPX","FG_PRICE(12/30/2015)")</f>
        <v>2063.36</v>
      </c>
      <c r="D101" s="12">
        <f>_xll.FDS("SPX","FG_PRICE(12/30/2017)")</f>
        <v>2673.61</v>
      </c>
      <c r="E101" s="15">
        <f>D101/C101-1</f>
        <v>0.2957554668114144</v>
      </c>
      <c r="F101" s="8" t="s">
        <v>3200</v>
      </c>
      <c r="G101" s="8" t="s">
        <v>3201</v>
      </c>
      <c r="H101" s="13">
        <f>_xll.FDS(G101,"FG_PRICE(12/30/2015)")</f>
        <v>99.77</v>
      </c>
      <c r="I101" s="13">
        <f>_xll.FDS(G101,"FG_PRICE(12/31/2017)")</f>
        <v>116.82</v>
      </c>
      <c r="J101" s="13">
        <f>I101/H101-1</f>
        <v>0.1708930540242557</v>
      </c>
      <c r="K101" s="13">
        <f>J101-E101</f>
        <v>-0.12486241278715871</v>
      </c>
      <c r="L101" s="13">
        <f>_xll.FDS(G101,"FF_ROE(ANN_R,12/30/2015)")</f>
        <v>22.409018987341771</v>
      </c>
      <c r="M101" s="8" t="s">
        <v>3202</v>
      </c>
      <c r="N101" s="4" t="s">
        <v>3203</v>
      </c>
      <c r="O101" s="4" t="s">
        <v>3204</v>
      </c>
      <c r="P101" s="4" t="s">
        <v>96</v>
      </c>
      <c r="Q101" s="4" t="s">
        <v>71</v>
      </c>
      <c r="R101" s="4" t="s">
        <v>61</v>
      </c>
      <c r="S101" s="4" t="s">
        <v>62</v>
      </c>
      <c r="T101" s="6" t="e">
        <v>#N/A</v>
      </c>
      <c r="U101" s="5">
        <v>67</v>
      </c>
      <c r="V101" s="5">
        <v>63</v>
      </c>
      <c r="W101" s="5">
        <v>71</v>
      </c>
      <c r="X101" s="5">
        <v>69</v>
      </c>
      <c r="Y101" s="5">
        <v>75.88</v>
      </c>
      <c r="Z101" s="5">
        <v>68.239999999999995</v>
      </c>
      <c r="AA101" s="5">
        <v>78.819999999999993</v>
      </c>
      <c r="AB101" s="5">
        <v>67.06</v>
      </c>
      <c r="AC101" s="6">
        <v>0.4</v>
      </c>
      <c r="AD101" s="6">
        <v>0.35</v>
      </c>
      <c r="AE101" s="6">
        <v>0.25</v>
      </c>
      <c r="AF101" s="4" t="s">
        <v>37</v>
      </c>
      <c r="AG101" s="4" t="s">
        <v>6296</v>
      </c>
      <c r="AH101" s="4" t="s">
        <v>6296</v>
      </c>
      <c r="AI101" s="4" t="s">
        <v>6296</v>
      </c>
      <c r="AJ101" s="4" t="s">
        <v>6296</v>
      </c>
      <c r="AK101" s="4" t="s">
        <v>42</v>
      </c>
      <c r="AL101" s="4" t="s">
        <v>6296</v>
      </c>
      <c r="AM101" s="4" t="s">
        <v>6296</v>
      </c>
      <c r="AN101" s="4" t="s">
        <v>6296</v>
      </c>
      <c r="AO101" s="4" t="s">
        <v>6296</v>
      </c>
      <c r="AP101" s="4" t="s">
        <v>3205</v>
      </c>
      <c r="AQ101" s="4" t="s">
        <v>47</v>
      </c>
    </row>
    <row r="102" spans="1:43" ht="12.6" customHeight="1" x14ac:dyDescent="0.25">
      <c r="A102" s="8" t="s">
        <v>3212</v>
      </c>
      <c r="B102" s="9">
        <v>20151231</v>
      </c>
      <c r="C102" s="12">
        <f>_xll.FDS("SPX","FG_PRICE(12/30/2015)")</f>
        <v>2063.36</v>
      </c>
      <c r="D102" s="12">
        <f>_xll.FDS("SPX","FG_PRICE(12/30/2017)")</f>
        <v>2673.61</v>
      </c>
      <c r="E102" s="15">
        <f>D102/C102-1</f>
        <v>0.2957554668114144</v>
      </c>
      <c r="F102" s="8" t="s">
        <v>3213</v>
      </c>
      <c r="G102" s="8" t="s">
        <v>3214</v>
      </c>
      <c r="H102" s="13">
        <f>_xll.FDS(G102,"FG_PRICE(12/30/2015)")</f>
        <v>103.18</v>
      </c>
      <c r="I102" s="13">
        <f>_xll.FDS(G102,"FG_PRICE(12/31/2017)")</f>
        <v>154.68</v>
      </c>
      <c r="J102" s="13">
        <f>I102/H102-1</f>
        <v>0.49912773793370802</v>
      </c>
      <c r="K102" s="13">
        <f>J102-E102</f>
        <v>0.20337227112229361</v>
      </c>
      <c r="L102" s="13">
        <f>_xll.FDS(G102,"FF_ROE(ANN_R,12/30/2015)")</f>
        <v>27.697841726618709</v>
      </c>
      <c r="M102" s="8" t="s">
        <v>3215</v>
      </c>
      <c r="N102" s="4" t="s">
        <v>3216</v>
      </c>
      <c r="O102" s="4" t="s">
        <v>3217</v>
      </c>
      <c r="P102" s="4" t="s">
        <v>96</v>
      </c>
      <c r="Q102" s="4" t="s">
        <v>71</v>
      </c>
      <c r="R102" s="4" t="s">
        <v>61</v>
      </c>
      <c r="S102" s="4" t="s">
        <v>62</v>
      </c>
      <c r="T102" s="6" t="e">
        <v>#N/A</v>
      </c>
      <c r="U102" s="5">
        <v>83</v>
      </c>
      <c r="V102" s="5">
        <v>79</v>
      </c>
      <c r="W102" s="5">
        <v>83</v>
      </c>
      <c r="X102" s="5">
        <v>88</v>
      </c>
      <c r="Y102" s="5">
        <v>98.82</v>
      </c>
      <c r="Z102" s="5">
        <v>98.24</v>
      </c>
      <c r="AA102" s="5">
        <v>97.65</v>
      </c>
      <c r="AB102" s="5">
        <v>98.82</v>
      </c>
      <c r="AC102" s="6">
        <v>0.4</v>
      </c>
      <c r="AD102" s="6">
        <v>0.35</v>
      </c>
      <c r="AE102" s="6">
        <v>0.25</v>
      </c>
      <c r="AF102" s="4" t="s">
        <v>6296</v>
      </c>
      <c r="AG102" s="4" t="s">
        <v>6296</v>
      </c>
      <c r="AH102" s="4" t="s">
        <v>6296</v>
      </c>
      <c r="AI102" s="4" t="s">
        <v>6296</v>
      </c>
      <c r="AJ102" s="4" t="s">
        <v>6296</v>
      </c>
      <c r="AK102" s="4" t="s">
        <v>42</v>
      </c>
      <c r="AL102" s="4" t="s">
        <v>6296</v>
      </c>
      <c r="AM102" s="4" t="s">
        <v>6296</v>
      </c>
      <c r="AN102" s="4" t="s">
        <v>6296</v>
      </c>
      <c r="AO102" s="4" t="s">
        <v>6296</v>
      </c>
      <c r="AP102" s="4" t="s">
        <v>3218</v>
      </c>
      <c r="AQ102" s="4" t="s">
        <v>47</v>
      </c>
    </row>
    <row r="103" spans="1:43" ht="12.6" customHeight="1" x14ac:dyDescent="0.25">
      <c r="A103" s="8" t="s">
        <v>3463</v>
      </c>
      <c r="B103" s="9">
        <v>20151231</v>
      </c>
      <c r="C103" s="12">
        <f>_xll.FDS("SPX","FG_PRICE(12/30/2015)")</f>
        <v>2063.36</v>
      </c>
      <c r="D103" s="12">
        <f>_xll.FDS("SPX","FG_PRICE(12/30/2017)")</f>
        <v>2673.61</v>
      </c>
      <c r="E103" s="15">
        <f>D103/C103-1</f>
        <v>0.2957554668114144</v>
      </c>
      <c r="F103" s="8" t="s">
        <v>3464</v>
      </c>
      <c r="G103" s="8" t="s">
        <v>3465</v>
      </c>
      <c r="H103" s="13">
        <f>_xll.FDS(G103,"FG_PRICE(12/30/2015)")</f>
        <v>44.44</v>
      </c>
      <c r="I103" s="13">
        <f>_xll.FDS(G103,"FG_PRICE(12/31/2017)")</f>
        <v>52.42</v>
      </c>
      <c r="J103" s="13">
        <f>I103/H103-1</f>
        <v>0.17956795679567961</v>
      </c>
      <c r="K103" s="13">
        <f>J103-E103</f>
        <v>-0.1161875100157348</v>
      </c>
      <c r="L103" s="13">
        <f>_xll.FDS(G103,"FF_ROE(ANN_R,12/30/2015)")</f>
        <v>17.539962815548069</v>
      </c>
      <c r="M103" s="8" t="s">
        <v>3466</v>
      </c>
      <c r="N103" s="4" t="s">
        <v>3466</v>
      </c>
      <c r="O103" s="4" t="s">
        <v>3467</v>
      </c>
      <c r="P103" s="4" t="s">
        <v>96</v>
      </c>
      <c r="Q103" s="4" t="s">
        <v>71</v>
      </c>
      <c r="R103" s="4" t="s">
        <v>61</v>
      </c>
      <c r="S103" s="4" t="s">
        <v>62</v>
      </c>
      <c r="T103" s="6" t="e">
        <v>#N/A</v>
      </c>
      <c r="U103" s="5">
        <v>47</v>
      </c>
      <c r="V103" s="5">
        <v>41</v>
      </c>
      <c r="W103" s="5">
        <v>45</v>
      </c>
      <c r="X103" s="5">
        <v>60</v>
      </c>
      <c r="Y103" s="6">
        <v>6.47</v>
      </c>
      <c r="Z103" s="5">
        <v>10.59</v>
      </c>
      <c r="AA103" s="6">
        <v>4.71</v>
      </c>
      <c r="AB103" s="5">
        <v>32.94</v>
      </c>
      <c r="AC103" s="6">
        <v>0.4</v>
      </c>
      <c r="AD103" s="6">
        <v>0.35</v>
      </c>
      <c r="AE103" s="6">
        <v>0.25</v>
      </c>
      <c r="AF103" s="4" t="s">
        <v>6296</v>
      </c>
      <c r="AG103" s="4" t="s">
        <v>6296</v>
      </c>
      <c r="AH103" s="4" t="s">
        <v>6296</v>
      </c>
      <c r="AI103" s="4" t="s">
        <v>6296</v>
      </c>
      <c r="AJ103" s="4" t="s">
        <v>6296</v>
      </c>
      <c r="AK103" s="4" t="s">
        <v>37</v>
      </c>
      <c r="AL103" s="4" t="s">
        <v>6296</v>
      </c>
      <c r="AM103" s="4" t="s">
        <v>6296</v>
      </c>
      <c r="AN103" s="4" t="s">
        <v>6296</v>
      </c>
      <c r="AO103" s="4" t="s">
        <v>6296</v>
      </c>
      <c r="AP103" s="4" t="s">
        <v>3468</v>
      </c>
      <c r="AQ103" s="4" t="s">
        <v>47</v>
      </c>
    </row>
    <row r="104" spans="1:43" ht="12.6" customHeight="1" x14ac:dyDescent="0.25">
      <c r="A104" s="8" t="s">
        <v>5918</v>
      </c>
      <c r="B104" s="9">
        <v>20151231</v>
      </c>
      <c r="C104" s="12">
        <f>_xll.FDS("SPX","FG_PRICE(12/30/2015)")</f>
        <v>2063.36</v>
      </c>
      <c r="D104" s="12">
        <f>_xll.FDS("SPX","FG_PRICE(12/30/2017)")</f>
        <v>2673.61</v>
      </c>
      <c r="E104" s="15">
        <f>D104/C104-1</f>
        <v>0.2957554668114144</v>
      </c>
      <c r="F104" s="8" t="s">
        <v>5919</v>
      </c>
      <c r="G104" s="8" t="s">
        <v>5920</v>
      </c>
      <c r="H104" s="13">
        <f>_xll.FDS(G104,"FG_PRICE(12/30/2015)")</f>
        <v>9.66</v>
      </c>
      <c r="I104" s="13">
        <f>_xll.FDS(G104,"FG_PRICE(12/31/2017)")</f>
        <v>20.45</v>
      </c>
      <c r="J104" s="13">
        <f>I104/H104-1</f>
        <v>1.1169772256728776</v>
      </c>
      <c r="K104" s="13">
        <f>J104-E104</f>
        <v>0.8212217588614632</v>
      </c>
      <c r="L104" s="13">
        <f>_xll.FDS(G104,"FF_ROE(ANN_R,12/30/2015)")</f>
        <v>6.9887149529357346</v>
      </c>
      <c r="M104" s="8" t="s">
        <v>5921</v>
      </c>
      <c r="N104" s="4" t="s">
        <v>5922</v>
      </c>
      <c r="O104" s="4" t="s">
        <v>5923</v>
      </c>
      <c r="P104" s="4" t="s">
        <v>96</v>
      </c>
      <c r="Q104" s="4" t="s">
        <v>71</v>
      </c>
      <c r="R104" s="4" t="s">
        <v>61</v>
      </c>
      <c r="S104" s="4" t="s">
        <v>62</v>
      </c>
      <c r="T104" s="6" t="e">
        <v>#N/A</v>
      </c>
      <c r="U104" s="5">
        <v>49</v>
      </c>
      <c r="V104" s="5">
        <v>42</v>
      </c>
      <c r="W104" s="5">
        <v>49</v>
      </c>
      <c r="X104" s="5">
        <v>60</v>
      </c>
      <c r="Y104" s="5">
        <v>12.35</v>
      </c>
      <c r="Z104" s="5">
        <v>13.53</v>
      </c>
      <c r="AA104" s="5">
        <v>11.76</v>
      </c>
      <c r="AB104" s="5">
        <v>32.94</v>
      </c>
      <c r="AC104" s="6">
        <v>0.4</v>
      </c>
      <c r="AD104" s="6">
        <v>0.35</v>
      </c>
      <c r="AE104" s="6">
        <v>0.25</v>
      </c>
      <c r="AF104" s="4" t="s">
        <v>6296</v>
      </c>
      <c r="AG104" s="4" t="s">
        <v>6296</v>
      </c>
      <c r="AH104" s="4" t="s">
        <v>6296</v>
      </c>
      <c r="AI104" s="4" t="s">
        <v>6296</v>
      </c>
      <c r="AJ104" s="4" t="s">
        <v>6296</v>
      </c>
      <c r="AK104" s="4" t="s">
        <v>6296</v>
      </c>
      <c r="AL104" s="4" t="s">
        <v>6296</v>
      </c>
      <c r="AM104" s="4" t="s">
        <v>6296</v>
      </c>
      <c r="AN104" s="4" t="s">
        <v>42</v>
      </c>
      <c r="AO104" s="4" t="s">
        <v>6296</v>
      </c>
      <c r="AP104" s="4" t="s">
        <v>5924</v>
      </c>
      <c r="AQ104" s="4" t="s">
        <v>47</v>
      </c>
    </row>
    <row r="105" spans="1:43" ht="12.6" customHeight="1" x14ac:dyDescent="0.25">
      <c r="A105" s="8" t="s">
        <v>3627</v>
      </c>
      <c r="B105" s="9">
        <v>20151231</v>
      </c>
      <c r="C105" s="12">
        <f>_xll.FDS("SPX","FG_PRICE(12/30/2015)")</f>
        <v>2063.36</v>
      </c>
      <c r="D105" s="12">
        <f>_xll.FDS("SPX","FG_PRICE(12/30/2017)")</f>
        <v>2673.61</v>
      </c>
      <c r="E105" s="15">
        <f>D105/C105-1</f>
        <v>0.2957554668114144</v>
      </c>
      <c r="F105" s="8" t="s">
        <v>3628</v>
      </c>
      <c r="G105" s="8" t="s">
        <v>3629</v>
      </c>
      <c r="H105" s="13">
        <f>_xll.FDS(G105,"FG_PRICE(12/30/2015)")</f>
        <v>262.45</v>
      </c>
      <c r="I105" s="13">
        <f>_xll.FDS(G105,"FG_PRICE(12/31/2017)")</f>
        <v>410.04</v>
      </c>
      <c r="J105" s="13">
        <f>I105/H105-1</f>
        <v>0.56235473423509252</v>
      </c>
      <c r="K105" s="13">
        <f>J105-E105</f>
        <v>0.26659926742367812</v>
      </c>
      <c r="L105" s="13">
        <f>_xll.FDS(G105,"FF_ROE(ANN_R,12/30/2015)")</f>
        <v>62.143157446486022</v>
      </c>
      <c r="M105" s="8" t="s">
        <v>3630</v>
      </c>
      <c r="N105" s="4" t="s">
        <v>3631</v>
      </c>
      <c r="O105" s="4" t="s">
        <v>3632</v>
      </c>
      <c r="P105" s="4" t="s">
        <v>96</v>
      </c>
      <c r="Q105" s="4" t="s">
        <v>71</v>
      </c>
      <c r="R105" s="4" t="s">
        <v>61</v>
      </c>
      <c r="S105" s="4" t="s">
        <v>62</v>
      </c>
      <c r="T105" s="6" t="e">
        <v>#N/A</v>
      </c>
      <c r="U105" s="5">
        <v>59</v>
      </c>
      <c r="V105" s="5">
        <v>55</v>
      </c>
      <c r="W105" s="5">
        <v>63</v>
      </c>
      <c r="X105" s="5">
        <v>61</v>
      </c>
      <c r="Y105" s="5">
        <v>50</v>
      </c>
      <c r="Z105" s="5">
        <v>51.18</v>
      </c>
      <c r="AA105" s="5">
        <v>60</v>
      </c>
      <c r="AB105" s="5">
        <v>41.18</v>
      </c>
      <c r="AC105" s="6">
        <v>0.4</v>
      </c>
      <c r="AD105" s="6">
        <v>0.35</v>
      </c>
      <c r="AE105" s="6">
        <v>0.25</v>
      </c>
      <c r="AF105" s="4" t="s">
        <v>37</v>
      </c>
      <c r="AG105" s="4" t="s">
        <v>6296</v>
      </c>
      <c r="AH105" s="4" t="s">
        <v>42</v>
      </c>
      <c r="AI105" s="4" t="s">
        <v>6296</v>
      </c>
      <c r="AJ105" s="4" t="s">
        <v>6296</v>
      </c>
      <c r="AK105" s="4" t="s">
        <v>42</v>
      </c>
      <c r="AL105" s="4" t="s">
        <v>37</v>
      </c>
      <c r="AM105" s="4" t="s">
        <v>42</v>
      </c>
      <c r="AN105" s="4" t="s">
        <v>6296</v>
      </c>
      <c r="AO105" s="4" t="s">
        <v>6296</v>
      </c>
      <c r="AP105" s="4" t="s">
        <v>3633</v>
      </c>
      <c r="AQ105" s="4" t="s">
        <v>47</v>
      </c>
    </row>
    <row r="106" spans="1:43" ht="12.6" customHeight="1" x14ac:dyDescent="0.25">
      <c r="A106" s="8" t="s">
        <v>3562</v>
      </c>
      <c r="B106" s="9">
        <v>20151231</v>
      </c>
      <c r="C106" s="12">
        <f>_xll.FDS("SPX","FG_PRICE(12/30/2015)")</f>
        <v>2063.36</v>
      </c>
      <c r="D106" s="12">
        <f>_xll.FDS("SPX","FG_PRICE(12/30/2017)")</f>
        <v>2673.61</v>
      </c>
      <c r="E106" s="15">
        <f>D106/C106-1</f>
        <v>0.2957554668114144</v>
      </c>
      <c r="F106" s="8" t="s">
        <v>3563</v>
      </c>
      <c r="G106" s="8" t="s">
        <v>3564</v>
      </c>
      <c r="H106" s="13">
        <f>_xll.FDS(G106,"FG_PRICE(12/30/2015)")</f>
        <v>65.28</v>
      </c>
      <c r="I106" s="13">
        <f>_xll.FDS(G106,"FG_PRICE(12/31/2017)")</f>
        <v>106.99</v>
      </c>
      <c r="J106" s="13">
        <f>I106/H106-1</f>
        <v>0.63893995098039214</v>
      </c>
      <c r="K106" s="13">
        <f>J106-E106</f>
        <v>0.34318448416897773</v>
      </c>
      <c r="L106" s="13">
        <f>_xll.FDS(G106,"FF_ROE(ANN_R,12/30/2015)")</f>
        <v>23.654632152588551</v>
      </c>
      <c r="M106" s="8" t="s">
        <v>3565</v>
      </c>
      <c r="N106" s="4" t="s">
        <v>3566</v>
      </c>
      <c r="O106" s="4" t="s">
        <v>3567</v>
      </c>
      <c r="P106" s="4" t="s">
        <v>96</v>
      </c>
      <c r="Q106" s="4" t="s">
        <v>71</v>
      </c>
      <c r="R106" s="4" t="s">
        <v>61</v>
      </c>
      <c r="S106" s="4" t="s">
        <v>62</v>
      </c>
      <c r="T106" s="6" t="e">
        <v>#N/A</v>
      </c>
      <c r="U106" s="5">
        <v>53</v>
      </c>
      <c r="V106" s="5">
        <v>52</v>
      </c>
      <c r="W106" s="5">
        <v>48</v>
      </c>
      <c r="X106" s="5">
        <v>61</v>
      </c>
      <c r="Y106" s="5">
        <v>24.71</v>
      </c>
      <c r="Z106" s="5">
        <v>38.82</v>
      </c>
      <c r="AA106" s="6">
        <v>9.41</v>
      </c>
      <c r="AB106" s="5">
        <v>41.18</v>
      </c>
      <c r="AC106" s="6">
        <v>0.4</v>
      </c>
      <c r="AD106" s="6">
        <v>0.35</v>
      </c>
      <c r="AE106" s="6">
        <v>0.25</v>
      </c>
      <c r="AF106" s="4" t="s">
        <v>6296</v>
      </c>
      <c r="AG106" s="4" t="s">
        <v>6296</v>
      </c>
      <c r="AH106" s="4" t="s">
        <v>6296</v>
      </c>
      <c r="AI106" s="4" t="s">
        <v>6296</v>
      </c>
      <c r="AJ106" s="4" t="s">
        <v>6296</v>
      </c>
      <c r="AK106" s="4" t="s">
        <v>42</v>
      </c>
      <c r="AL106" s="4" t="s">
        <v>6296</v>
      </c>
      <c r="AM106" s="4" t="s">
        <v>6296</v>
      </c>
      <c r="AN106" s="4" t="s">
        <v>6296</v>
      </c>
      <c r="AO106" s="4" t="s">
        <v>6296</v>
      </c>
      <c r="AP106" s="4" t="s">
        <v>3568</v>
      </c>
      <c r="AQ106" s="4" t="s">
        <v>47</v>
      </c>
    </row>
    <row r="107" spans="1:43" ht="12.6" customHeight="1" x14ac:dyDescent="0.25">
      <c r="A107" s="8" t="s">
        <v>5585</v>
      </c>
      <c r="B107" s="9">
        <v>20151231</v>
      </c>
      <c r="C107" s="12">
        <f>_xll.FDS("SPX","FG_PRICE(12/30/2015)")</f>
        <v>2063.36</v>
      </c>
      <c r="D107" s="12">
        <f>_xll.FDS("SPX","FG_PRICE(12/30/2017)")</f>
        <v>2673.61</v>
      </c>
      <c r="E107" s="15">
        <f>D107/C107-1</f>
        <v>0.2957554668114144</v>
      </c>
      <c r="F107" s="8" t="s">
        <v>5586</v>
      </c>
      <c r="G107" s="8" t="s">
        <v>5587</v>
      </c>
      <c r="H107" s="13">
        <f>_xll.FDS(G107,"FG_PRICE(12/30/2015)")</f>
        <v>4.17</v>
      </c>
      <c r="I107" s="13">
        <f>_xll.FDS(G107,"FG_PRICE(12/31/2017)")</f>
        <v>20.51</v>
      </c>
      <c r="J107" s="13">
        <f>I107/H107-1</f>
        <v>3.9184652278177463</v>
      </c>
      <c r="K107" s="13">
        <f>J107-E107</f>
        <v>3.6227097610063321</v>
      </c>
      <c r="L107" s="13">
        <f>_xll.FDS(G107,"FF_ROE(ANN_R,12/30/2015)")</f>
        <v>-22.19334719334719</v>
      </c>
      <c r="M107" s="8" t="s">
        <v>5588</v>
      </c>
      <c r="N107" s="4" t="s">
        <v>5589</v>
      </c>
      <c r="O107" s="4" t="s">
        <v>5590</v>
      </c>
      <c r="P107" s="4" t="s">
        <v>96</v>
      </c>
      <c r="Q107" s="4" t="s">
        <v>71</v>
      </c>
      <c r="R107" s="4" t="s">
        <v>61</v>
      </c>
      <c r="S107" s="4" t="s">
        <v>62</v>
      </c>
      <c r="T107" s="6" t="e">
        <v>#N/A</v>
      </c>
      <c r="U107" s="5">
        <v>55</v>
      </c>
      <c r="V107" s="5">
        <v>47</v>
      </c>
      <c r="W107" s="5">
        <v>61</v>
      </c>
      <c r="X107" s="5">
        <v>59</v>
      </c>
      <c r="Y107" s="5">
        <v>35.880000000000003</v>
      </c>
      <c r="Z107" s="5">
        <v>25.29</v>
      </c>
      <c r="AA107" s="5">
        <v>54.12</v>
      </c>
      <c r="AB107" s="5">
        <v>30</v>
      </c>
      <c r="AC107" s="6">
        <v>0.4</v>
      </c>
      <c r="AD107" s="6">
        <v>0.35</v>
      </c>
      <c r="AE107" s="6">
        <v>0.25</v>
      </c>
      <c r="AF107" s="4" t="s">
        <v>6296</v>
      </c>
      <c r="AG107" s="4" t="s">
        <v>6296</v>
      </c>
      <c r="AH107" s="4" t="s">
        <v>6296</v>
      </c>
      <c r="AI107" s="4" t="s">
        <v>6296</v>
      </c>
      <c r="AJ107" s="4" t="s">
        <v>6296</v>
      </c>
      <c r="AK107" s="4" t="s">
        <v>6296</v>
      </c>
      <c r="AL107" s="4" t="s">
        <v>42</v>
      </c>
      <c r="AM107" s="4" t="s">
        <v>6296</v>
      </c>
      <c r="AN107" s="4" t="s">
        <v>6296</v>
      </c>
      <c r="AO107" s="4" t="s">
        <v>6296</v>
      </c>
      <c r="AP107" s="4" t="s">
        <v>5591</v>
      </c>
      <c r="AQ107" s="4" t="s">
        <v>47</v>
      </c>
    </row>
    <row r="108" spans="1:43" ht="12.6" customHeight="1" x14ac:dyDescent="0.25">
      <c r="A108" s="8" t="s">
        <v>4184</v>
      </c>
      <c r="B108" s="9">
        <v>20151231</v>
      </c>
      <c r="C108" s="12">
        <f>_xll.FDS("SPX","FG_PRICE(12/30/2015)")</f>
        <v>2063.36</v>
      </c>
      <c r="D108" s="12">
        <f>_xll.FDS("SPX","FG_PRICE(12/30/2017)")</f>
        <v>2673.61</v>
      </c>
      <c r="E108" s="15">
        <f>D108/C108-1</f>
        <v>0.2957554668114144</v>
      </c>
      <c r="F108" s="8" t="s">
        <v>4185</v>
      </c>
      <c r="G108" s="8" t="s">
        <v>4186</v>
      </c>
      <c r="H108" s="13">
        <f>_xll.FDS(G108,"FG_PRICE(12/30/2015)")</f>
        <v>83.52</v>
      </c>
      <c r="I108" s="13" t="e">
        <f>_xll.FDS(G108,"FG_PRICE(12/31/2017)")</f>
        <v>#N/A</v>
      </c>
      <c r="J108" s="13" t="e">
        <f>I108/H108-1</f>
        <v>#N/A</v>
      </c>
      <c r="K108" s="13" t="e">
        <f>J108-E108</f>
        <v>#N/A</v>
      </c>
      <c r="L108" s="13">
        <f>_xll.FDS(G108,"FF_ROE(ANN_R,12/30/2015)")</f>
        <v>42.817212368040288</v>
      </c>
      <c r="M108" s="8" t="s">
        <v>4187</v>
      </c>
      <c r="N108" s="4" t="s">
        <v>4188</v>
      </c>
      <c r="O108" s="4" t="s">
        <v>4189</v>
      </c>
      <c r="P108" s="4" t="s">
        <v>96</v>
      </c>
      <c r="Q108" s="4" t="s">
        <v>71</v>
      </c>
      <c r="R108" s="4" t="s">
        <v>61</v>
      </c>
      <c r="S108" s="4" t="s">
        <v>62</v>
      </c>
      <c r="T108" s="6" t="e">
        <v>#N/A</v>
      </c>
      <c r="U108" s="5">
        <v>54</v>
      </c>
      <c r="V108" s="5">
        <v>52</v>
      </c>
      <c r="W108" s="5">
        <v>52</v>
      </c>
      <c r="X108" s="5">
        <v>61</v>
      </c>
      <c r="Y108" s="5">
        <v>31.18</v>
      </c>
      <c r="Z108" s="5">
        <v>38.82</v>
      </c>
      <c r="AA108" s="5">
        <v>20.59</v>
      </c>
      <c r="AB108" s="5">
        <v>41.18</v>
      </c>
      <c r="AC108" s="6">
        <v>0.4</v>
      </c>
      <c r="AD108" s="6">
        <v>0.35</v>
      </c>
      <c r="AE108" s="6">
        <v>0.25</v>
      </c>
      <c r="AF108" s="4" t="s">
        <v>6296</v>
      </c>
      <c r="AG108" s="4" t="s">
        <v>6296</v>
      </c>
      <c r="AH108" s="4" t="s">
        <v>6296</v>
      </c>
      <c r="AI108" s="4" t="s">
        <v>6296</v>
      </c>
      <c r="AJ108" s="4" t="s">
        <v>6296</v>
      </c>
      <c r="AK108" s="4" t="s">
        <v>6296</v>
      </c>
      <c r="AL108" s="4" t="s">
        <v>6296</v>
      </c>
      <c r="AM108" s="4" t="s">
        <v>6296</v>
      </c>
      <c r="AN108" s="4" t="s">
        <v>6296</v>
      </c>
      <c r="AO108" s="4" t="s">
        <v>6296</v>
      </c>
      <c r="AP108" s="4" t="s">
        <v>4190</v>
      </c>
      <c r="AQ108" s="4" t="s">
        <v>47</v>
      </c>
    </row>
    <row r="109" spans="1:43" ht="12.6" customHeight="1" x14ac:dyDescent="0.25">
      <c r="A109" s="8" t="s">
        <v>4177</v>
      </c>
      <c r="B109" s="9">
        <v>20151231</v>
      </c>
      <c r="C109" s="12">
        <f>_xll.FDS("SPX","FG_PRICE(12/30/2015)")</f>
        <v>2063.36</v>
      </c>
      <c r="D109" s="12">
        <f>_xll.FDS("SPX","FG_PRICE(12/30/2017)")</f>
        <v>2673.61</v>
      </c>
      <c r="E109" s="15">
        <f>D109/C109-1</f>
        <v>0.2957554668114144</v>
      </c>
      <c r="F109" s="8" t="s">
        <v>4178</v>
      </c>
      <c r="G109" s="8" t="s">
        <v>4179</v>
      </c>
      <c r="H109" s="13">
        <f>_xll.FDS(G109,"FG_PRICE(12/30/2015)")</f>
        <v>1.21</v>
      </c>
      <c r="I109" s="13">
        <f>_xll.FDS(G109,"FG_PRICE(12/31/2017)")</f>
        <v>6.17</v>
      </c>
      <c r="J109" s="13">
        <f>I109/H109-1</f>
        <v>4.0991735537190079</v>
      </c>
      <c r="K109" s="13">
        <f>J109-E109</f>
        <v>3.8034180869075938</v>
      </c>
      <c r="L109" s="13">
        <f>_xll.FDS(G109,"FF_ROE(ANN_R,12/30/2015)")</f>
        <v>9.9731207711558074</v>
      </c>
      <c r="M109" s="8" t="s">
        <v>4180</v>
      </c>
      <c r="N109" s="4" t="s">
        <v>4181</v>
      </c>
      <c r="O109" s="4" t="s">
        <v>4182</v>
      </c>
      <c r="P109" s="4" t="s">
        <v>96</v>
      </c>
      <c r="Q109" s="4" t="s">
        <v>71</v>
      </c>
      <c r="R109" s="4" t="s">
        <v>61</v>
      </c>
      <c r="S109" s="4" t="s">
        <v>62</v>
      </c>
      <c r="T109" s="6" t="e">
        <v>#N/A</v>
      </c>
      <c r="U109" s="5">
        <v>44</v>
      </c>
      <c r="V109" s="5">
        <v>40</v>
      </c>
      <c r="W109" s="5">
        <v>45</v>
      </c>
      <c r="X109" s="5">
        <v>48</v>
      </c>
      <c r="Y109" s="6">
        <v>1.76</v>
      </c>
      <c r="Z109" s="5">
        <v>10</v>
      </c>
      <c r="AA109" s="6">
        <v>4.71</v>
      </c>
      <c r="AB109" s="6">
        <v>2.35</v>
      </c>
      <c r="AC109" s="6">
        <v>0.4</v>
      </c>
      <c r="AD109" s="6">
        <v>0.35</v>
      </c>
      <c r="AE109" s="6">
        <v>0.25</v>
      </c>
      <c r="AF109" s="4" t="s">
        <v>6296</v>
      </c>
      <c r="AG109" s="4" t="s">
        <v>6296</v>
      </c>
      <c r="AH109" s="4" t="s">
        <v>6296</v>
      </c>
      <c r="AI109" s="4" t="s">
        <v>6296</v>
      </c>
      <c r="AJ109" s="4" t="s">
        <v>6296</v>
      </c>
      <c r="AK109" s="4" t="s">
        <v>6296</v>
      </c>
      <c r="AL109" s="4" t="s">
        <v>6296</v>
      </c>
      <c r="AM109" s="4" t="s">
        <v>6296</v>
      </c>
      <c r="AN109" s="4" t="s">
        <v>6296</v>
      </c>
      <c r="AO109" s="4" t="s">
        <v>6296</v>
      </c>
      <c r="AP109" s="4" t="s">
        <v>4183</v>
      </c>
      <c r="AQ109" s="4" t="s">
        <v>47</v>
      </c>
    </row>
    <row r="110" spans="1:43" ht="12.6" customHeight="1" x14ac:dyDescent="0.25">
      <c r="A110" s="8" t="s">
        <v>4564</v>
      </c>
      <c r="B110" s="9">
        <v>20151231</v>
      </c>
      <c r="C110" s="12">
        <f>_xll.FDS("SPX","FG_PRICE(12/30/2015)")</f>
        <v>2063.36</v>
      </c>
      <c r="D110" s="12">
        <f>_xll.FDS("SPX","FG_PRICE(12/30/2017)")</f>
        <v>2673.61</v>
      </c>
      <c r="E110" s="15">
        <f>D110/C110-1</f>
        <v>0.2957554668114144</v>
      </c>
      <c r="F110" s="8" t="s">
        <v>4565</v>
      </c>
      <c r="G110" s="8" t="s">
        <v>4566</v>
      </c>
      <c r="H110" s="13">
        <f>_xll.FDS(G110,"FG_PRICE(12/30/2015)")</f>
        <v>54.81</v>
      </c>
      <c r="I110" s="13">
        <f>_xll.FDS(G110,"FG_PRICE(12/31/2017)")</f>
        <v>106.53</v>
      </c>
      <c r="J110" s="13">
        <f>I110/H110-1</f>
        <v>0.9436234263820471</v>
      </c>
      <c r="K110" s="13">
        <f>J110-E110</f>
        <v>0.6478679595706327</v>
      </c>
      <c r="L110" s="13">
        <f>_xll.FDS(G110,"FF_ROE(ANN_R,12/30/2015)")</f>
        <v>25.403621761185601</v>
      </c>
      <c r="M110" s="8" t="s">
        <v>4567</v>
      </c>
      <c r="N110" s="4" t="s">
        <v>4567</v>
      </c>
      <c r="O110" s="4" t="s">
        <v>4568</v>
      </c>
      <c r="P110" s="4" t="s">
        <v>96</v>
      </c>
      <c r="Q110" s="4" t="s">
        <v>71</v>
      </c>
      <c r="R110" s="4" t="s">
        <v>61</v>
      </c>
      <c r="S110" s="4" t="s">
        <v>62</v>
      </c>
      <c r="T110" s="6" t="e">
        <v>#N/A</v>
      </c>
      <c r="U110" s="5">
        <v>49</v>
      </c>
      <c r="V110" s="5">
        <v>39</v>
      </c>
      <c r="W110" s="5">
        <v>55</v>
      </c>
      <c r="X110" s="5">
        <v>57</v>
      </c>
      <c r="Y110" s="5">
        <v>12.35</v>
      </c>
      <c r="Z110" s="6">
        <v>6.47</v>
      </c>
      <c r="AA110" s="5">
        <v>30</v>
      </c>
      <c r="AB110" s="5">
        <v>21.76</v>
      </c>
      <c r="AC110" s="6">
        <v>0.4</v>
      </c>
      <c r="AD110" s="6">
        <v>0.35</v>
      </c>
      <c r="AE110" s="6">
        <v>0.25</v>
      </c>
      <c r="AF110" s="4" t="s">
        <v>42</v>
      </c>
      <c r="AG110" s="4" t="s">
        <v>6296</v>
      </c>
      <c r="AH110" s="4" t="s">
        <v>6296</v>
      </c>
      <c r="AI110" s="4" t="s">
        <v>6296</v>
      </c>
      <c r="AJ110" s="4" t="s">
        <v>6296</v>
      </c>
      <c r="AK110" s="4" t="s">
        <v>6296</v>
      </c>
      <c r="AL110" s="4" t="s">
        <v>6296</v>
      </c>
      <c r="AM110" s="4" t="s">
        <v>6296</v>
      </c>
      <c r="AN110" s="4" t="s">
        <v>6296</v>
      </c>
      <c r="AO110" s="4" t="s">
        <v>6296</v>
      </c>
      <c r="AP110" s="4" t="s">
        <v>4569</v>
      </c>
      <c r="AQ110" s="4" t="s">
        <v>47</v>
      </c>
    </row>
    <row r="111" spans="1:43" ht="12.6" customHeight="1" x14ac:dyDescent="0.25">
      <c r="A111" s="8" t="s">
        <v>6529</v>
      </c>
      <c r="B111" s="9">
        <v>20151231</v>
      </c>
      <c r="C111" s="12">
        <f>_xll.FDS("SPX","FG_PRICE(12/30/2015)")</f>
        <v>2063.36</v>
      </c>
      <c r="D111" s="12">
        <f>_xll.FDS("SPX","FG_PRICE(12/30/2017)")</f>
        <v>2673.61</v>
      </c>
      <c r="E111" s="15">
        <f>D111/C111-1</f>
        <v>0.2957554668114144</v>
      </c>
      <c r="F111" s="8" t="s">
        <v>6530</v>
      </c>
      <c r="G111" s="8" t="s">
        <v>6531</v>
      </c>
      <c r="H111" s="13">
        <f>_xll.FDS(G111,"FG_PRICE(12/30/2015)")</f>
        <v>33.69</v>
      </c>
      <c r="I111" s="13" t="e">
        <f>_xll.FDS(G111,"FG_PRICE(12/31/2017)")</f>
        <v>#N/A</v>
      </c>
      <c r="J111" s="13" t="e">
        <f>I111/H111-1</f>
        <v>#N/A</v>
      </c>
      <c r="K111" s="13" t="e">
        <f>J111-E111</f>
        <v>#N/A</v>
      </c>
      <c r="L111" s="13">
        <f>_xll.FDS(G111,"FF_ROE(ANN_R,12/30/2015)")</f>
        <v>9.7899785017363996</v>
      </c>
      <c r="M111" s="8" t="s">
        <v>6532</v>
      </c>
      <c r="N111" s="4" t="s">
        <v>5176</v>
      </c>
      <c r="O111" s="4" t="s">
        <v>6533</v>
      </c>
      <c r="P111" s="4" t="s">
        <v>96</v>
      </c>
      <c r="Q111" s="4" t="s">
        <v>50</v>
      </c>
      <c r="R111" s="4" t="s">
        <v>61</v>
      </c>
      <c r="S111" s="4" t="s">
        <v>62</v>
      </c>
      <c r="T111" s="6" t="e">
        <v>#N/A</v>
      </c>
      <c r="U111" s="5">
        <v>57</v>
      </c>
      <c r="V111" s="5">
        <v>52</v>
      </c>
      <c r="W111" s="5">
        <v>47</v>
      </c>
      <c r="X111" s="5">
        <v>78</v>
      </c>
      <c r="Y111" s="5">
        <v>47.79</v>
      </c>
      <c r="Z111" s="5">
        <v>42.48</v>
      </c>
      <c r="AA111" s="5">
        <v>23.89</v>
      </c>
      <c r="AB111" s="5">
        <v>88.5</v>
      </c>
      <c r="AC111" s="6">
        <v>0.4</v>
      </c>
      <c r="AD111" s="6">
        <v>0.35</v>
      </c>
      <c r="AE111" s="6">
        <v>0.25</v>
      </c>
      <c r="AF111" s="4" t="s">
        <v>6296</v>
      </c>
      <c r="AG111" s="4" t="s">
        <v>6296</v>
      </c>
      <c r="AH111" s="4" t="s">
        <v>6296</v>
      </c>
      <c r="AI111" s="4" t="s">
        <v>6296</v>
      </c>
      <c r="AJ111" s="4" t="s">
        <v>6296</v>
      </c>
      <c r="AK111" s="4" t="s">
        <v>42</v>
      </c>
      <c r="AL111" s="4" t="s">
        <v>6296</v>
      </c>
      <c r="AM111" s="4" t="s">
        <v>6296</v>
      </c>
      <c r="AN111" s="4" t="s">
        <v>6296</v>
      </c>
      <c r="AO111" s="4" t="s">
        <v>6296</v>
      </c>
      <c r="AP111" s="4" t="s">
        <v>6534</v>
      </c>
      <c r="AQ111" s="4" t="s">
        <v>47</v>
      </c>
    </row>
    <row r="112" spans="1:43" ht="12.6" customHeight="1" x14ac:dyDescent="0.25">
      <c r="A112" s="8" t="s">
        <v>3153</v>
      </c>
      <c r="B112" s="9">
        <v>20151231</v>
      </c>
      <c r="C112" s="12">
        <f>_xll.FDS("SPX","FG_PRICE(12/30/2015)")</f>
        <v>2063.36</v>
      </c>
      <c r="D112" s="12">
        <f>_xll.FDS("SPX","FG_PRICE(12/30/2017)")</f>
        <v>2673.61</v>
      </c>
      <c r="E112" s="15">
        <f>D112/C112-1</f>
        <v>0.2957554668114144</v>
      </c>
      <c r="F112" s="8" t="s">
        <v>3154</v>
      </c>
      <c r="G112" s="8" t="s">
        <v>3155</v>
      </c>
      <c r="H112" s="13">
        <f>_xll.FDS(G112,"FG_PRICE(12/30/2015)")</f>
        <v>29.74</v>
      </c>
      <c r="I112" s="13">
        <f>_xll.FDS(G112,"FG_PRICE(12/31/2017)")</f>
        <v>78.7</v>
      </c>
      <c r="J112" s="13">
        <f>I112/H112-1</f>
        <v>1.6462676529926026</v>
      </c>
      <c r="K112" s="13">
        <f>J112-E112</f>
        <v>1.3505121861811882</v>
      </c>
      <c r="L112" s="13">
        <f>_xll.FDS(G112,"FF_ROE(ANN_R,12/30/2015)")</f>
        <v>-9.7171735082897417</v>
      </c>
      <c r="M112" s="8" t="s">
        <v>3156</v>
      </c>
      <c r="N112" s="4" t="s">
        <v>3157</v>
      </c>
      <c r="O112" s="4" t="s">
        <v>3158</v>
      </c>
      <c r="P112" s="4" t="s">
        <v>96</v>
      </c>
      <c r="Q112" s="4" t="s">
        <v>50</v>
      </c>
      <c r="R112" s="4" t="s">
        <v>61</v>
      </c>
      <c r="S112" s="4" t="s">
        <v>62</v>
      </c>
      <c r="T112" s="6" t="e">
        <v>#N/A</v>
      </c>
      <c r="U112" s="5">
        <v>45</v>
      </c>
      <c r="V112" s="5">
        <v>33</v>
      </c>
      <c r="W112" s="5">
        <v>47</v>
      </c>
      <c r="X112" s="5">
        <v>64</v>
      </c>
      <c r="Y112" s="6">
        <v>6.19</v>
      </c>
      <c r="Z112" s="6">
        <v>0</v>
      </c>
      <c r="AA112" s="5">
        <v>23.89</v>
      </c>
      <c r="AB112" s="5">
        <v>31.86</v>
      </c>
      <c r="AC112" s="6">
        <v>0.4</v>
      </c>
      <c r="AD112" s="6">
        <v>0.35</v>
      </c>
      <c r="AE112" s="6">
        <v>0.25</v>
      </c>
      <c r="AF112" s="4" t="s">
        <v>6296</v>
      </c>
      <c r="AG112" s="4" t="s">
        <v>6296</v>
      </c>
      <c r="AH112" s="4" t="s">
        <v>6296</v>
      </c>
      <c r="AI112" s="4" t="s">
        <v>42</v>
      </c>
      <c r="AJ112" s="4" t="s">
        <v>6296</v>
      </c>
      <c r="AK112" s="4" t="s">
        <v>6296</v>
      </c>
      <c r="AL112" s="4" t="s">
        <v>6296</v>
      </c>
      <c r="AM112" s="4" t="s">
        <v>6296</v>
      </c>
      <c r="AN112" s="4" t="s">
        <v>6296</v>
      </c>
      <c r="AO112" s="4" t="s">
        <v>6296</v>
      </c>
      <c r="AP112" s="4" t="s">
        <v>3159</v>
      </c>
      <c r="AQ112" s="4" t="s">
        <v>47</v>
      </c>
    </row>
    <row r="113" spans="1:43" ht="12.6" customHeight="1" x14ac:dyDescent="0.25">
      <c r="A113" s="8" t="s">
        <v>1038</v>
      </c>
      <c r="B113" s="9">
        <v>20151231</v>
      </c>
      <c r="C113" s="12">
        <f>_xll.FDS("SPX","FG_PRICE(12/30/2015)")</f>
        <v>2063.36</v>
      </c>
      <c r="D113" s="12">
        <f>_xll.FDS("SPX","FG_PRICE(12/30/2017)")</f>
        <v>2673.61</v>
      </c>
      <c r="E113" s="15">
        <f>D113/C113-1</f>
        <v>0.2957554668114144</v>
      </c>
      <c r="F113" s="8" t="s">
        <v>1039</v>
      </c>
      <c r="G113" s="8" t="s">
        <v>1040</v>
      </c>
      <c r="H113" s="13">
        <f>_xll.FDS(G113,"FG_PRICE(12/30/2015)")</f>
        <v>42.28</v>
      </c>
      <c r="I113" s="13">
        <f>_xll.FDS(G113,"FG_PRICE(12/31/2017)")</f>
        <v>54.2</v>
      </c>
      <c r="J113" s="13">
        <f>I113/H113-1</f>
        <v>0.28192999053926204</v>
      </c>
      <c r="K113" s="13">
        <f>J113-E113</f>
        <v>-1.3825476272152359E-2</v>
      </c>
      <c r="L113" s="13">
        <f>_xll.FDS(G113,"FF_ROE(ANN_R,12/30/2015)")</f>
        <v>-2.0688622645161052</v>
      </c>
      <c r="M113" s="8" t="s">
        <v>1041</v>
      </c>
      <c r="N113" s="4" t="s">
        <v>1042</v>
      </c>
      <c r="O113" s="4" t="s">
        <v>1043</v>
      </c>
      <c r="P113" s="4" t="s">
        <v>96</v>
      </c>
      <c r="Q113" s="4" t="s">
        <v>50</v>
      </c>
      <c r="R113" s="4" t="s">
        <v>61</v>
      </c>
      <c r="S113" s="4" t="s">
        <v>62</v>
      </c>
      <c r="T113" s="6" t="e">
        <v>#N/A</v>
      </c>
      <c r="U113" s="5">
        <v>50</v>
      </c>
      <c r="V113" s="5">
        <v>51</v>
      </c>
      <c r="W113" s="5">
        <v>45</v>
      </c>
      <c r="X113" s="5">
        <v>56</v>
      </c>
      <c r="Y113" s="5">
        <v>24.78</v>
      </c>
      <c r="Z113" s="5">
        <v>41.59</v>
      </c>
      <c r="AA113" s="5">
        <v>16.809999999999999</v>
      </c>
      <c r="AB113" s="6">
        <v>9.73</v>
      </c>
      <c r="AC113" s="6">
        <v>0.4</v>
      </c>
      <c r="AD113" s="6">
        <v>0.35</v>
      </c>
      <c r="AE113" s="6">
        <v>0.25</v>
      </c>
      <c r="AF113" s="4" t="s">
        <v>37</v>
      </c>
      <c r="AG113" s="4" t="s">
        <v>6296</v>
      </c>
      <c r="AH113" s="4" t="s">
        <v>6296</v>
      </c>
      <c r="AI113" s="4" t="s">
        <v>6296</v>
      </c>
      <c r="AJ113" s="4" t="s">
        <v>6296</v>
      </c>
      <c r="AK113" s="4" t="s">
        <v>6296</v>
      </c>
      <c r="AL113" s="4" t="s">
        <v>6296</v>
      </c>
      <c r="AM113" s="4" t="s">
        <v>6296</v>
      </c>
      <c r="AN113" s="4" t="s">
        <v>6296</v>
      </c>
      <c r="AO113" s="4" t="s">
        <v>6296</v>
      </c>
      <c r="AP113" s="4" t="s">
        <v>1044</v>
      </c>
      <c r="AQ113" s="4" t="s">
        <v>47</v>
      </c>
    </row>
    <row r="114" spans="1:43" ht="12.6" customHeight="1" x14ac:dyDescent="0.25">
      <c r="A114" s="8" t="s">
        <v>1079</v>
      </c>
      <c r="B114" s="9">
        <v>20151231</v>
      </c>
      <c r="C114" s="12">
        <f>_xll.FDS("SPX","FG_PRICE(12/30/2015)")</f>
        <v>2063.36</v>
      </c>
      <c r="D114" s="12">
        <f>_xll.FDS("SPX","FG_PRICE(12/30/2017)")</f>
        <v>2673.61</v>
      </c>
      <c r="E114" s="15">
        <f>D114/C114-1</f>
        <v>0.2957554668114144</v>
      </c>
      <c r="F114" s="8" t="s">
        <v>1080</v>
      </c>
      <c r="G114" s="8" t="s">
        <v>1081</v>
      </c>
      <c r="H114" s="13">
        <f>_xll.FDS(G114,"FG_PRICE(12/30/2015)")</f>
        <v>19.059999999999999</v>
      </c>
      <c r="I114" s="13">
        <f>_xll.FDS(G114,"FG_PRICE(12/31/2017)")</f>
        <v>43.19</v>
      </c>
      <c r="J114" s="13">
        <f>I114/H114-1</f>
        <v>1.2660020986358869</v>
      </c>
      <c r="K114" s="13">
        <f>J114-E114</f>
        <v>0.97024663182447246</v>
      </c>
      <c r="L114" s="13">
        <f>_xll.FDS(G114,"FF_ROE(ANN_R,12/30/2015)")</f>
        <v>22.336090668371298</v>
      </c>
      <c r="M114" s="8" t="s">
        <v>1082</v>
      </c>
      <c r="N114" s="4" t="s">
        <v>1083</v>
      </c>
      <c r="O114" s="4" t="s">
        <v>1084</v>
      </c>
      <c r="P114" s="4" t="s">
        <v>106</v>
      </c>
      <c r="Q114" s="4" t="s">
        <v>50</v>
      </c>
      <c r="R114" s="4" t="s">
        <v>61</v>
      </c>
      <c r="S114" s="4" t="s">
        <v>62</v>
      </c>
      <c r="T114" s="6" t="e">
        <v>#N/A</v>
      </c>
      <c r="U114" s="5">
        <v>45</v>
      </c>
      <c r="V114" s="5">
        <v>33</v>
      </c>
      <c r="W114" s="5">
        <v>43</v>
      </c>
      <c r="X114" s="5">
        <v>67</v>
      </c>
      <c r="Y114" s="6">
        <v>6.19</v>
      </c>
      <c r="Z114" s="6">
        <v>0</v>
      </c>
      <c r="AA114" s="6">
        <v>6.19</v>
      </c>
      <c r="AB114" s="5">
        <v>44.25</v>
      </c>
      <c r="AC114" s="6">
        <v>0.4</v>
      </c>
      <c r="AD114" s="6">
        <v>0.35</v>
      </c>
      <c r="AE114" s="6">
        <v>0.25</v>
      </c>
      <c r="AF114" s="4" t="s">
        <v>6296</v>
      </c>
      <c r="AG114" s="4" t="s">
        <v>6296</v>
      </c>
      <c r="AH114" s="4" t="s">
        <v>6296</v>
      </c>
      <c r="AI114" s="4" t="s">
        <v>6296</v>
      </c>
      <c r="AJ114" s="4" t="s">
        <v>6296</v>
      </c>
      <c r="AK114" s="4" t="s">
        <v>6296</v>
      </c>
      <c r="AL114" s="4" t="s">
        <v>6296</v>
      </c>
      <c r="AM114" s="4" t="s">
        <v>6296</v>
      </c>
      <c r="AN114" s="4" t="s">
        <v>6296</v>
      </c>
      <c r="AO114" s="4" t="s">
        <v>6296</v>
      </c>
      <c r="AP114" s="4" t="s">
        <v>1085</v>
      </c>
      <c r="AQ114" s="4" t="s">
        <v>47</v>
      </c>
    </row>
    <row r="115" spans="1:43" ht="12.6" customHeight="1" x14ac:dyDescent="0.25">
      <c r="A115" s="8" t="s">
        <v>1017</v>
      </c>
      <c r="B115" s="9">
        <v>20151231</v>
      </c>
      <c r="C115" s="12">
        <f>_xll.FDS("SPX","FG_PRICE(12/30/2015)")</f>
        <v>2063.36</v>
      </c>
      <c r="D115" s="12">
        <f>_xll.FDS("SPX","FG_PRICE(12/30/2017)")</f>
        <v>2673.61</v>
      </c>
      <c r="E115" s="15">
        <f>D115/C115-1</f>
        <v>0.2957554668114144</v>
      </c>
      <c r="F115" s="8" t="s">
        <v>1018</v>
      </c>
      <c r="G115" s="8" t="s">
        <v>1019</v>
      </c>
      <c r="H115" s="13">
        <f>_xll.FDS(G115,"FG_PRICE(12/30/2015)")</f>
        <v>92.24</v>
      </c>
      <c r="I115" s="13">
        <f>_xll.FDS(G115,"FG_PRICE(12/31/2017)")</f>
        <v>155.83000000000001</v>
      </c>
      <c r="J115" s="13">
        <f>I115/H115-1</f>
        <v>0.68939722463139663</v>
      </c>
      <c r="K115" s="13">
        <f>J115-E115</f>
        <v>0.39364175781998223</v>
      </c>
      <c r="L115" s="13">
        <f>_xll.FDS(G115,"FF_ROE(ANN_R,12/30/2015)")</f>
        <v>19.596088830108169</v>
      </c>
      <c r="M115" s="8" t="s">
        <v>1020</v>
      </c>
      <c r="N115" s="4" t="s">
        <v>1020</v>
      </c>
      <c r="O115" s="4" t="s">
        <v>1021</v>
      </c>
      <c r="P115" s="4" t="s">
        <v>106</v>
      </c>
      <c r="Q115" s="4" t="s">
        <v>50</v>
      </c>
      <c r="R115" s="4" t="s">
        <v>61</v>
      </c>
      <c r="S115" s="4" t="s">
        <v>62</v>
      </c>
      <c r="T115" s="6" t="e">
        <v>#N/A</v>
      </c>
      <c r="U115" s="5">
        <v>59</v>
      </c>
      <c r="V115" s="5">
        <v>49</v>
      </c>
      <c r="W115" s="5">
        <v>67</v>
      </c>
      <c r="X115" s="5">
        <v>63</v>
      </c>
      <c r="Y115" s="5">
        <v>55.75</v>
      </c>
      <c r="Z115" s="5">
        <v>37.17</v>
      </c>
      <c r="AA115" s="5">
        <v>82.3</v>
      </c>
      <c r="AB115" s="5">
        <v>29.2</v>
      </c>
      <c r="AC115" s="6">
        <v>0.4</v>
      </c>
      <c r="AD115" s="6">
        <v>0.35</v>
      </c>
      <c r="AE115" s="6">
        <v>0.25</v>
      </c>
      <c r="AF115" s="4" t="s">
        <v>6296</v>
      </c>
      <c r="AG115" s="4" t="s">
        <v>6296</v>
      </c>
      <c r="AH115" s="4" t="s">
        <v>6296</v>
      </c>
      <c r="AI115" s="4" t="s">
        <v>42</v>
      </c>
      <c r="AJ115" s="4" t="s">
        <v>6296</v>
      </c>
      <c r="AK115" s="4" t="s">
        <v>6296</v>
      </c>
      <c r="AL115" s="4" t="s">
        <v>6296</v>
      </c>
      <c r="AM115" s="4" t="s">
        <v>6296</v>
      </c>
      <c r="AN115" s="4" t="s">
        <v>6296</v>
      </c>
      <c r="AO115" s="4" t="s">
        <v>6296</v>
      </c>
      <c r="AP115" s="4" t="s">
        <v>1022</v>
      </c>
      <c r="AQ115" s="4" t="s">
        <v>47</v>
      </c>
    </row>
    <row r="116" spans="1:43" ht="12.6" customHeight="1" x14ac:dyDescent="0.25">
      <c r="A116" s="8" t="s">
        <v>1271</v>
      </c>
      <c r="B116" s="9">
        <v>20151231</v>
      </c>
      <c r="C116" s="12">
        <f>_xll.FDS("SPX","FG_PRICE(12/30/2015)")</f>
        <v>2063.36</v>
      </c>
      <c r="D116" s="12">
        <f>_xll.FDS("SPX","FG_PRICE(12/30/2017)")</f>
        <v>2673.61</v>
      </c>
      <c r="E116" s="15">
        <f>D116/C116-1</f>
        <v>0.2957554668114144</v>
      </c>
      <c r="F116" s="8" t="s">
        <v>1272</v>
      </c>
      <c r="G116" s="8" t="s">
        <v>1273</v>
      </c>
      <c r="H116" s="13">
        <f>_xll.FDS(G116,"FG_PRICE(12/30/2015)")</f>
        <v>15.5</v>
      </c>
      <c r="I116" s="13">
        <f>_xll.FDS(G116,"FG_PRICE(12/31/2017)")</f>
        <v>16.899999999999999</v>
      </c>
      <c r="J116" s="13">
        <f>I116/H116-1</f>
        <v>9.0322580645161299E-2</v>
      </c>
      <c r="K116" s="13">
        <f>J116-E116</f>
        <v>-0.2054328861662531</v>
      </c>
      <c r="L116" s="13">
        <f>_xll.FDS(G116,"FF_ROE(ANN_R,12/30/2015)")</f>
        <v>-0.2368265245707519</v>
      </c>
      <c r="M116" s="8" t="s">
        <v>1274</v>
      </c>
      <c r="N116" s="4" t="s">
        <v>1274</v>
      </c>
      <c r="O116" s="4" t="s">
        <v>1275</v>
      </c>
      <c r="P116" s="4" t="s">
        <v>96</v>
      </c>
      <c r="Q116" s="4" t="s">
        <v>50</v>
      </c>
      <c r="R116" s="4" t="s">
        <v>61</v>
      </c>
      <c r="S116" s="4" t="s">
        <v>62</v>
      </c>
      <c r="T116" s="6" t="e">
        <v>#N/A</v>
      </c>
      <c r="U116" s="5">
        <v>70</v>
      </c>
      <c r="V116" s="5">
        <v>77</v>
      </c>
      <c r="W116" s="5">
        <v>57</v>
      </c>
      <c r="X116" s="5">
        <v>76</v>
      </c>
      <c r="Y116" s="5">
        <v>85.84</v>
      </c>
      <c r="Z116" s="5">
        <v>86.73</v>
      </c>
      <c r="AA116" s="5">
        <v>62.83</v>
      </c>
      <c r="AB116" s="5">
        <v>84.96</v>
      </c>
      <c r="AC116" s="6">
        <v>0.4</v>
      </c>
      <c r="AD116" s="6">
        <v>0.35</v>
      </c>
      <c r="AE116" s="6">
        <v>0.25</v>
      </c>
      <c r="AF116" s="4" t="s">
        <v>6296</v>
      </c>
      <c r="AG116" s="4" t="s">
        <v>6296</v>
      </c>
      <c r="AH116" s="4" t="s">
        <v>6296</v>
      </c>
      <c r="AI116" s="4" t="s">
        <v>6296</v>
      </c>
      <c r="AJ116" s="4" t="s">
        <v>6296</v>
      </c>
      <c r="AK116" s="4" t="s">
        <v>6296</v>
      </c>
      <c r="AL116" s="4" t="s">
        <v>6296</v>
      </c>
      <c r="AM116" s="4" t="s">
        <v>6296</v>
      </c>
      <c r="AN116" s="4" t="s">
        <v>6296</v>
      </c>
      <c r="AO116" s="4" t="s">
        <v>6296</v>
      </c>
      <c r="AP116" s="4" t="s">
        <v>1276</v>
      </c>
      <c r="AQ116" s="4" t="s">
        <v>47</v>
      </c>
    </row>
    <row r="117" spans="1:43" ht="12.6" customHeight="1" x14ac:dyDescent="0.25">
      <c r="A117" s="8" t="s">
        <v>6401</v>
      </c>
      <c r="B117" s="9">
        <v>20151231</v>
      </c>
      <c r="C117" s="12">
        <f>_xll.FDS("SPX","FG_PRICE(12/30/2015)")</f>
        <v>2063.36</v>
      </c>
      <c r="D117" s="12">
        <f>_xll.FDS("SPX","FG_PRICE(12/30/2017)")</f>
        <v>2673.61</v>
      </c>
      <c r="E117" s="15">
        <f>D117/C117-1</f>
        <v>0.2957554668114144</v>
      </c>
      <c r="F117" s="8" t="s">
        <v>6282</v>
      </c>
      <c r="G117" s="8" t="s">
        <v>6283</v>
      </c>
      <c r="H117" s="13">
        <f>_xll.FDS(G117,"FG_PRICE(12/30/2015)")</f>
        <v>26.55</v>
      </c>
      <c r="I117" s="13">
        <f>_xll.FDS(G117,"FG_PRICE(12/31/2017)")</f>
        <v>22.5</v>
      </c>
      <c r="J117" s="13">
        <f>I117/H117-1</f>
        <v>-0.15254237288135597</v>
      </c>
      <c r="K117" s="13">
        <f>J117-E117</f>
        <v>-0.44829783969277037</v>
      </c>
      <c r="L117" s="13">
        <f>_xll.FDS(G117,"FF_ROE(ANN_R,12/30/2015)")</f>
        <v>13.07114896178193</v>
      </c>
      <c r="M117" s="8" t="s">
        <v>6284</v>
      </c>
      <c r="N117" s="4" t="s">
        <v>6402</v>
      </c>
      <c r="O117" s="4" t="s">
        <v>6285</v>
      </c>
      <c r="P117" s="4" t="s">
        <v>96</v>
      </c>
      <c r="Q117" s="4" t="s">
        <v>50</v>
      </c>
      <c r="R117" s="4" t="s">
        <v>61</v>
      </c>
      <c r="S117" s="4" t="s">
        <v>62</v>
      </c>
      <c r="T117" s="6" t="e">
        <v>#N/A</v>
      </c>
      <c r="U117" s="5">
        <v>42</v>
      </c>
      <c r="V117" s="5">
        <v>33</v>
      </c>
      <c r="W117" s="5">
        <v>37</v>
      </c>
      <c r="X117" s="5">
        <v>66</v>
      </c>
      <c r="Y117" s="6">
        <v>0</v>
      </c>
      <c r="Z117" s="6">
        <v>0</v>
      </c>
      <c r="AA117" s="6">
        <v>0</v>
      </c>
      <c r="AB117" s="5">
        <v>41.59</v>
      </c>
      <c r="AC117" s="6">
        <v>0.4</v>
      </c>
      <c r="AD117" s="6">
        <v>0.35</v>
      </c>
      <c r="AE117" s="6">
        <v>0.25</v>
      </c>
      <c r="AF117" s="4" t="s">
        <v>6296</v>
      </c>
      <c r="AG117" s="4" t="s">
        <v>6296</v>
      </c>
      <c r="AH117" s="4" t="s">
        <v>6296</v>
      </c>
      <c r="AI117" s="4" t="s">
        <v>46</v>
      </c>
      <c r="AJ117" s="4" t="s">
        <v>6296</v>
      </c>
      <c r="AK117" s="4" t="s">
        <v>37</v>
      </c>
      <c r="AL117" s="4" t="s">
        <v>45</v>
      </c>
      <c r="AM117" s="4" t="s">
        <v>37</v>
      </c>
      <c r="AN117" s="4" t="s">
        <v>6296</v>
      </c>
      <c r="AO117" s="4" t="s">
        <v>37</v>
      </c>
      <c r="AP117" s="4" t="s">
        <v>6403</v>
      </c>
      <c r="AQ117" s="4" t="s">
        <v>47</v>
      </c>
    </row>
    <row r="118" spans="1:43" ht="12.6" customHeight="1" x14ac:dyDescent="0.25">
      <c r="A118" s="8" t="s">
        <v>2872</v>
      </c>
      <c r="B118" s="9">
        <v>20151231</v>
      </c>
      <c r="C118" s="12">
        <f>_xll.FDS("SPX","FG_PRICE(12/30/2015)")</f>
        <v>2063.36</v>
      </c>
      <c r="D118" s="12">
        <f>_xll.FDS("SPX","FG_PRICE(12/30/2017)")</f>
        <v>2673.61</v>
      </c>
      <c r="E118" s="15">
        <f>D118/C118-1</f>
        <v>0.2957554668114144</v>
      </c>
      <c r="F118" s="8" t="s">
        <v>2873</v>
      </c>
      <c r="G118" s="8" t="s">
        <v>2874</v>
      </c>
      <c r="H118" s="13">
        <f>_xll.FDS(G118,"FG_PRICE(12/30/2015)")</f>
        <v>105.8</v>
      </c>
      <c r="I118" s="13">
        <f>_xll.FDS(G118,"FG_PRICE(12/31/2017)")</f>
        <v>118.41</v>
      </c>
      <c r="J118" s="13">
        <f>I118/H118-1</f>
        <v>0.11918714555765586</v>
      </c>
      <c r="K118" s="13">
        <f>J118-E118</f>
        <v>-0.17656832125375854</v>
      </c>
      <c r="L118" s="13" t="e">
        <f>_xll.FDS(G118,"FF_ROE(ANN_R,12/30/2015)")</f>
        <v>#N/A</v>
      </c>
      <c r="M118" s="8" t="s">
        <v>2875</v>
      </c>
      <c r="N118" s="4" t="s">
        <v>2876</v>
      </c>
      <c r="O118" s="4" t="s">
        <v>2877</v>
      </c>
      <c r="P118" s="4" t="s">
        <v>96</v>
      </c>
      <c r="Q118" s="4" t="s">
        <v>50</v>
      </c>
      <c r="R118" s="4" t="s">
        <v>61</v>
      </c>
      <c r="S118" s="4" t="s">
        <v>62</v>
      </c>
      <c r="T118" s="6" t="e">
        <v>#N/A</v>
      </c>
      <c r="U118" s="5">
        <v>54</v>
      </c>
      <c r="V118" s="5">
        <v>44</v>
      </c>
      <c r="W118" s="5">
        <v>53</v>
      </c>
      <c r="X118" s="5">
        <v>70</v>
      </c>
      <c r="Y118" s="5">
        <v>38.94</v>
      </c>
      <c r="Z118" s="5">
        <v>27.43</v>
      </c>
      <c r="AA118" s="5">
        <v>52.21</v>
      </c>
      <c r="AB118" s="5">
        <v>63.72</v>
      </c>
      <c r="AC118" s="6">
        <v>0.4</v>
      </c>
      <c r="AD118" s="6">
        <v>0.35</v>
      </c>
      <c r="AE118" s="6">
        <v>0.25</v>
      </c>
      <c r="AF118" s="4" t="s">
        <v>6296</v>
      </c>
      <c r="AG118" s="4" t="s">
        <v>6296</v>
      </c>
      <c r="AH118" s="4" t="s">
        <v>6296</v>
      </c>
      <c r="AI118" s="4" t="s">
        <v>6296</v>
      </c>
      <c r="AJ118" s="4" t="s">
        <v>6296</v>
      </c>
      <c r="AK118" s="4" t="s">
        <v>37</v>
      </c>
      <c r="AL118" s="4" t="s">
        <v>6296</v>
      </c>
      <c r="AM118" s="4" t="s">
        <v>42</v>
      </c>
      <c r="AN118" s="4" t="s">
        <v>6296</v>
      </c>
      <c r="AO118" s="4" t="s">
        <v>6296</v>
      </c>
      <c r="AP118" s="4" t="s">
        <v>2878</v>
      </c>
      <c r="AQ118" s="4" t="s">
        <v>47</v>
      </c>
    </row>
    <row r="119" spans="1:43" ht="12.6" customHeight="1" x14ac:dyDescent="0.25">
      <c r="A119" s="8" t="s">
        <v>1536</v>
      </c>
      <c r="B119" s="9">
        <v>20151231</v>
      </c>
      <c r="C119" s="12">
        <f>_xll.FDS("SPX","FG_PRICE(12/30/2015)")</f>
        <v>2063.36</v>
      </c>
      <c r="D119" s="12">
        <f>_xll.FDS("SPX","FG_PRICE(12/30/2017)")</f>
        <v>2673.61</v>
      </c>
      <c r="E119" s="15">
        <f>D119/C119-1</f>
        <v>0.2957554668114144</v>
      </c>
      <c r="F119" s="8" t="s">
        <v>1537</v>
      </c>
      <c r="G119" s="8" t="s">
        <v>1538</v>
      </c>
      <c r="H119" s="13">
        <f>_xll.FDS(G119,"FG_PRICE(12/30/2015)")</f>
        <v>112.77</v>
      </c>
      <c r="I119" s="13">
        <f>_xll.FDS(G119,"FG_PRICE(12/31/2017)")</f>
        <v>117.92</v>
      </c>
      <c r="J119" s="13">
        <f>I119/H119-1</f>
        <v>4.5668174159794406E-2</v>
      </c>
      <c r="K119" s="13">
        <f>J119-E119</f>
        <v>-0.25008729265162</v>
      </c>
      <c r="L119" s="13">
        <f>_xll.FDS(G119,"FF_ROE(ANN_R,12/30/2015)")</f>
        <v>16.32598649129044</v>
      </c>
      <c r="M119" s="8" t="s">
        <v>1539</v>
      </c>
      <c r="N119" s="4" t="s">
        <v>1539</v>
      </c>
      <c r="O119" s="4" t="s">
        <v>1540</v>
      </c>
      <c r="P119" s="4" t="s">
        <v>96</v>
      </c>
      <c r="Q119" s="4" t="s">
        <v>50</v>
      </c>
      <c r="R119" s="4" t="s">
        <v>61</v>
      </c>
      <c r="S119" s="4" t="s">
        <v>62</v>
      </c>
      <c r="T119" s="6" t="e">
        <v>#N/A</v>
      </c>
      <c r="U119" s="5">
        <v>46</v>
      </c>
      <c r="V119" s="5">
        <v>38</v>
      </c>
      <c r="W119" s="5">
        <v>46</v>
      </c>
      <c r="X119" s="5">
        <v>58</v>
      </c>
      <c r="Y119" s="6">
        <v>9.73</v>
      </c>
      <c r="Z119" s="5">
        <v>14.16</v>
      </c>
      <c r="AA119" s="5">
        <v>21.24</v>
      </c>
      <c r="AB119" s="5">
        <v>12.39</v>
      </c>
      <c r="AC119" s="6">
        <v>0.4</v>
      </c>
      <c r="AD119" s="6">
        <v>0.35</v>
      </c>
      <c r="AE119" s="6">
        <v>0.25</v>
      </c>
      <c r="AF119" s="4" t="s">
        <v>6296</v>
      </c>
      <c r="AG119" s="4" t="s">
        <v>6296</v>
      </c>
      <c r="AH119" s="4" t="s">
        <v>6296</v>
      </c>
      <c r="AI119" s="4" t="s">
        <v>6296</v>
      </c>
      <c r="AJ119" s="4" t="s">
        <v>6296</v>
      </c>
      <c r="AK119" s="4" t="s">
        <v>37</v>
      </c>
      <c r="AL119" s="4" t="s">
        <v>6296</v>
      </c>
      <c r="AM119" s="4" t="s">
        <v>6296</v>
      </c>
      <c r="AN119" s="4" t="s">
        <v>6296</v>
      </c>
      <c r="AO119" s="4" t="s">
        <v>6296</v>
      </c>
      <c r="AP119" s="4" t="s">
        <v>1541</v>
      </c>
      <c r="AQ119" s="4" t="s">
        <v>47</v>
      </c>
    </row>
    <row r="120" spans="1:43" ht="12.6" customHeight="1" x14ac:dyDescent="0.25">
      <c r="A120" s="8" t="s">
        <v>1671</v>
      </c>
      <c r="B120" s="9">
        <v>20151231</v>
      </c>
      <c r="C120" s="12">
        <f>_xll.FDS("SPX","FG_PRICE(12/30/2015)")</f>
        <v>2063.36</v>
      </c>
      <c r="D120" s="12">
        <f>_xll.FDS("SPX","FG_PRICE(12/30/2017)")</f>
        <v>2673.61</v>
      </c>
      <c r="E120" s="15">
        <f>D120/C120-1</f>
        <v>0.2957554668114144</v>
      </c>
      <c r="F120" s="8" t="s">
        <v>1672</v>
      </c>
      <c r="G120" s="8" t="s">
        <v>1673</v>
      </c>
      <c r="H120" s="13">
        <f>_xll.FDS(G120,"FG_PRICE(12/30/2015)")</f>
        <v>35.4</v>
      </c>
      <c r="I120" s="13">
        <f>_xll.FDS(G120,"FG_PRICE(12/31/2017)")</f>
        <v>42.96</v>
      </c>
      <c r="J120" s="13">
        <f>I120/H120-1</f>
        <v>0.21355932203389827</v>
      </c>
      <c r="K120" s="13">
        <f>J120-E120</f>
        <v>-8.2196144777516134E-2</v>
      </c>
      <c r="L120" s="13">
        <f>_xll.FDS(G120,"FF_ROE(ANN_R,12/30/2015)")</f>
        <v>5.4831573819175254</v>
      </c>
      <c r="M120" s="8" t="s">
        <v>1674</v>
      </c>
      <c r="N120" s="4" t="s">
        <v>1675</v>
      </c>
      <c r="O120" s="4" t="s">
        <v>1676</v>
      </c>
      <c r="P120" s="4" t="s">
        <v>96</v>
      </c>
      <c r="Q120" s="4" t="s">
        <v>50</v>
      </c>
      <c r="R120" s="4" t="s">
        <v>61</v>
      </c>
      <c r="S120" s="4" t="s">
        <v>62</v>
      </c>
      <c r="T120" s="6" t="e">
        <v>#N/A</v>
      </c>
      <c r="U120" s="5">
        <v>50</v>
      </c>
      <c r="V120" s="5">
        <v>41</v>
      </c>
      <c r="W120" s="5">
        <v>49</v>
      </c>
      <c r="X120" s="5">
        <v>65</v>
      </c>
      <c r="Y120" s="5">
        <v>24.78</v>
      </c>
      <c r="Z120" s="5">
        <v>22.12</v>
      </c>
      <c r="AA120" s="5">
        <v>37.17</v>
      </c>
      <c r="AB120" s="5">
        <v>38.049999999999997</v>
      </c>
      <c r="AC120" s="6">
        <v>0.4</v>
      </c>
      <c r="AD120" s="6">
        <v>0.35</v>
      </c>
      <c r="AE120" s="6">
        <v>0.25</v>
      </c>
      <c r="AF120" s="4" t="s">
        <v>6296</v>
      </c>
      <c r="AG120" s="4" t="s">
        <v>6296</v>
      </c>
      <c r="AH120" s="4" t="s">
        <v>6296</v>
      </c>
      <c r="AI120" s="4" t="s">
        <v>6296</v>
      </c>
      <c r="AJ120" s="4" t="s">
        <v>6296</v>
      </c>
      <c r="AK120" s="4" t="s">
        <v>6296</v>
      </c>
      <c r="AL120" s="4" t="s">
        <v>6296</v>
      </c>
      <c r="AM120" s="4" t="s">
        <v>6296</v>
      </c>
      <c r="AN120" s="4" t="s">
        <v>6296</v>
      </c>
      <c r="AO120" s="4" t="s">
        <v>6296</v>
      </c>
      <c r="AP120" s="4" t="s">
        <v>1677</v>
      </c>
      <c r="AQ120" s="4" t="s">
        <v>47</v>
      </c>
    </row>
    <row r="121" spans="1:43" ht="12.6" customHeight="1" x14ac:dyDescent="0.25">
      <c r="A121" s="8" t="s">
        <v>1685</v>
      </c>
      <c r="B121" s="9">
        <v>20151231</v>
      </c>
      <c r="C121" s="12">
        <f>_xll.FDS("SPX","FG_PRICE(12/30/2015)")</f>
        <v>2063.36</v>
      </c>
      <c r="D121" s="12">
        <f>_xll.FDS("SPX","FG_PRICE(12/30/2017)")</f>
        <v>2673.61</v>
      </c>
      <c r="E121" s="15">
        <f>D121/C121-1</f>
        <v>0.2957554668114144</v>
      </c>
      <c r="F121" s="8" t="s">
        <v>1686</v>
      </c>
      <c r="G121" s="8" t="s">
        <v>1687</v>
      </c>
      <c r="H121" s="13">
        <f>_xll.FDS(G121,"FG_PRICE(12/30/2015)")</f>
        <v>1.78</v>
      </c>
      <c r="I121" s="13">
        <f>_xll.FDS(G121,"FG_PRICE(12/31/2017)")</f>
        <v>1.1200000000000001</v>
      </c>
      <c r="J121" s="13">
        <f>I121/H121-1</f>
        <v>-0.37078651685393249</v>
      </c>
      <c r="K121" s="13">
        <f>J121-E121</f>
        <v>-0.66654198366534689</v>
      </c>
      <c r="L121" s="13">
        <f>_xll.FDS(G121,"FF_ROE(ANN_R,12/30/2015)")</f>
        <v>-22.02903233824663</v>
      </c>
      <c r="M121" s="8" t="s">
        <v>1688</v>
      </c>
      <c r="N121" s="4" t="s">
        <v>1689</v>
      </c>
      <c r="O121" s="4" t="s">
        <v>1690</v>
      </c>
      <c r="P121" s="4" t="s">
        <v>106</v>
      </c>
      <c r="Q121" s="4" t="s">
        <v>50</v>
      </c>
      <c r="R121" s="4" t="s">
        <v>61</v>
      </c>
      <c r="S121" s="4" t="s">
        <v>62</v>
      </c>
      <c r="T121" s="6" t="e">
        <v>#N/A</v>
      </c>
      <c r="U121" s="5">
        <v>51</v>
      </c>
      <c r="V121" s="5">
        <v>46</v>
      </c>
      <c r="W121" s="5">
        <v>47</v>
      </c>
      <c r="X121" s="5">
        <v>64</v>
      </c>
      <c r="Y121" s="5">
        <v>30.09</v>
      </c>
      <c r="Z121" s="5">
        <v>33.630000000000003</v>
      </c>
      <c r="AA121" s="5">
        <v>23.89</v>
      </c>
      <c r="AB121" s="5">
        <v>31.86</v>
      </c>
      <c r="AC121" s="6">
        <v>0.4</v>
      </c>
      <c r="AD121" s="6">
        <v>0.35</v>
      </c>
      <c r="AE121" s="6">
        <v>0.25</v>
      </c>
      <c r="AF121" s="4" t="s">
        <v>6296</v>
      </c>
      <c r="AG121" s="4" t="s">
        <v>6296</v>
      </c>
      <c r="AH121" s="4" t="s">
        <v>6296</v>
      </c>
      <c r="AI121" s="4" t="s">
        <v>6296</v>
      </c>
      <c r="AJ121" s="4" t="s">
        <v>6296</v>
      </c>
      <c r="AK121" s="4" t="s">
        <v>6296</v>
      </c>
      <c r="AL121" s="4" t="s">
        <v>6296</v>
      </c>
      <c r="AM121" s="4" t="s">
        <v>6296</v>
      </c>
      <c r="AN121" s="4" t="s">
        <v>6296</v>
      </c>
      <c r="AO121" s="4" t="s">
        <v>6296</v>
      </c>
      <c r="AP121" s="4" t="s">
        <v>1691</v>
      </c>
      <c r="AQ121" s="4" t="s">
        <v>47</v>
      </c>
    </row>
    <row r="122" spans="1:43" ht="12.6" customHeight="1" x14ac:dyDescent="0.25">
      <c r="A122" s="8" t="s">
        <v>5945</v>
      </c>
      <c r="B122" s="9">
        <v>20151231</v>
      </c>
      <c r="C122" s="12">
        <f>_xll.FDS("SPX","FG_PRICE(12/30/2015)")</f>
        <v>2063.36</v>
      </c>
      <c r="D122" s="12">
        <f>_xll.FDS("SPX","FG_PRICE(12/30/2017)")</f>
        <v>2673.61</v>
      </c>
      <c r="E122" s="15">
        <f>D122/C122-1</f>
        <v>0.2957554668114144</v>
      </c>
      <c r="F122" s="8" t="s">
        <v>5946</v>
      </c>
      <c r="G122" s="8" t="s">
        <v>5947</v>
      </c>
      <c r="H122" s="13">
        <f>_xll.FDS(G122,"FG_PRICE(12/30/2015)")</f>
        <v>19.013334</v>
      </c>
      <c r="I122" s="13">
        <f>_xll.FDS(G122,"FG_PRICE(12/31/2017)")</f>
        <v>23.6</v>
      </c>
      <c r="J122" s="13">
        <f>I122/H122-1</f>
        <v>0.24123417807734304</v>
      </c>
      <c r="K122" s="13">
        <f>J122-E122</f>
        <v>-5.452128873407136E-2</v>
      </c>
      <c r="L122" s="13">
        <f>_xll.FDS(G122,"FF_ROE(ANN_R,12/30/2015)")</f>
        <v>13.91164995570754</v>
      </c>
      <c r="M122" s="8" t="s">
        <v>5948</v>
      </c>
      <c r="N122" s="4" t="s">
        <v>5949</v>
      </c>
      <c r="O122" s="4" t="s">
        <v>4602</v>
      </c>
      <c r="P122" s="4" t="s">
        <v>96</v>
      </c>
      <c r="Q122" s="4" t="s">
        <v>50</v>
      </c>
      <c r="R122" s="4" t="s">
        <v>61</v>
      </c>
      <c r="S122" s="4" t="s">
        <v>62</v>
      </c>
      <c r="T122" s="6" t="e">
        <v>#N/A</v>
      </c>
      <c r="U122" s="5">
        <v>46</v>
      </c>
      <c r="V122" s="5">
        <v>39</v>
      </c>
      <c r="W122" s="5">
        <v>44</v>
      </c>
      <c r="X122" s="5">
        <v>60</v>
      </c>
      <c r="Y122" s="6">
        <v>9.73</v>
      </c>
      <c r="Z122" s="5">
        <v>19.47</v>
      </c>
      <c r="AA122" s="5">
        <v>15.04</v>
      </c>
      <c r="AB122" s="5">
        <v>15.04</v>
      </c>
      <c r="AC122" s="6">
        <v>0.4</v>
      </c>
      <c r="AD122" s="6">
        <v>0.35</v>
      </c>
      <c r="AE122" s="6">
        <v>0.25</v>
      </c>
      <c r="AF122" s="4" t="s">
        <v>6296</v>
      </c>
      <c r="AG122" s="4" t="s">
        <v>6296</v>
      </c>
      <c r="AH122" s="4" t="s">
        <v>6296</v>
      </c>
      <c r="AI122" s="4" t="s">
        <v>37</v>
      </c>
      <c r="AJ122" s="4" t="s">
        <v>6296</v>
      </c>
      <c r="AK122" s="4" t="s">
        <v>6296</v>
      </c>
      <c r="AL122" s="4" t="s">
        <v>248</v>
      </c>
      <c r="AM122" s="4" t="s">
        <v>37</v>
      </c>
      <c r="AN122" s="4" t="s">
        <v>6296</v>
      </c>
      <c r="AO122" s="4" t="s">
        <v>37</v>
      </c>
      <c r="AP122" s="4" t="s">
        <v>5950</v>
      </c>
      <c r="AQ122" s="4" t="s">
        <v>47</v>
      </c>
    </row>
    <row r="123" spans="1:43" ht="12.6" customHeight="1" x14ac:dyDescent="0.25">
      <c r="A123" s="8" t="s">
        <v>6433</v>
      </c>
      <c r="B123" s="9">
        <v>20151231</v>
      </c>
      <c r="C123" s="12">
        <f>_xll.FDS("SPX","FG_PRICE(12/30/2015)")</f>
        <v>2063.36</v>
      </c>
      <c r="D123" s="12">
        <f>_xll.FDS("SPX","FG_PRICE(12/30/2017)")</f>
        <v>2673.61</v>
      </c>
      <c r="E123" s="15">
        <f>D123/C123-1</f>
        <v>0.2957554668114144</v>
      </c>
      <c r="F123" s="8" t="s">
        <v>6434</v>
      </c>
      <c r="G123" s="8" t="s">
        <v>6435</v>
      </c>
      <c r="H123" s="13">
        <f>_xll.FDS(G123,"FG_PRICE(12/30/2015)")</f>
        <v>118.66</v>
      </c>
      <c r="I123" s="13" t="e">
        <f>_xll.FDS(G123,"FG_PRICE(12/31/2017)")</f>
        <v>#N/A</v>
      </c>
      <c r="J123" s="13" t="e">
        <f>I123/H123-1</f>
        <v>#N/A</v>
      </c>
      <c r="K123" s="13" t="e">
        <f>J123-E123</f>
        <v>#N/A</v>
      </c>
      <c r="L123" s="13">
        <f>_xll.FDS(G123,"FF_ROE(ANN_R,12/30/2015)")</f>
        <v>8.6660399690580494</v>
      </c>
      <c r="M123" s="8" t="s">
        <v>6436</v>
      </c>
      <c r="N123" s="4" t="s">
        <v>6437</v>
      </c>
      <c r="O123" s="4" t="s">
        <v>5740</v>
      </c>
      <c r="P123" s="4" t="s">
        <v>96</v>
      </c>
      <c r="Q123" s="4" t="s">
        <v>50</v>
      </c>
      <c r="R123" s="4" t="s">
        <v>61</v>
      </c>
      <c r="S123" s="4" t="s">
        <v>62</v>
      </c>
      <c r="T123" s="6" t="e">
        <v>#N/A</v>
      </c>
      <c r="U123" s="5">
        <v>58</v>
      </c>
      <c r="V123" s="5">
        <v>62</v>
      </c>
      <c r="W123" s="5">
        <v>50</v>
      </c>
      <c r="X123" s="5">
        <v>62</v>
      </c>
      <c r="Y123" s="5">
        <v>54.87</v>
      </c>
      <c r="Z123" s="5">
        <v>61.95</v>
      </c>
      <c r="AA123" s="5">
        <v>40.71</v>
      </c>
      <c r="AB123" s="5">
        <v>21.24</v>
      </c>
      <c r="AC123" s="6">
        <v>0.4</v>
      </c>
      <c r="AD123" s="6">
        <v>0.35</v>
      </c>
      <c r="AE123" s="6">
        <v>0.25</v>
      </c>
      <c r="AF123" s="4" t="s">
        <v>6296</v>
      </c>
      <c r="AG123" s="4" t="s">
        <v>6296</v>
      </c>
      <c r="AH123" s="4" t="s">
        <v>6296</v>
      </c>
      <c r="AI123" s="4" t="s">
        <v>6296</v>
      </c>
      <c r="AJ123" s="4" t="s">
        <v>6296</v>
      </c>
      <c r="AK123" s="4" t="s">
        <v>6296</v>
      </c>
      <c r="AL123" s="4" t="s">
        <v>6296</v>
      </c>
      <c r="AM123" s="4" t="s">
        <v>6296</v>
      </c>
      <c r="AN123" s="4" t="s">
        <v>6296</v>
      </c>
      <c r="AO123" s="4" t="s">
        <v>6296</v>
      </c>
      <c r="AP123" s="4" t="s">
        <v>6438</v>
      </c>
      <c r="AQ123" s="4" t="s">
        <v>47</v>
      </c>
    </row>
    <row r="124" spans="1:43" ht="12.6" customHeight="1" x14ac:dyDescent="0.25">
      <c r="A124" s="8" t="s">
        <v>6059</v>
      </c>
      <c r="B124" s="9">
        <v>20151231</v>
      </c>
      <c r="C124" s="12">
        <f>_xll.FDS("SPX","FG_PRICE(12/30/2015)")</f>
        <v>2063.36</v>
      </c>
      <c r="D124" s="12">
        <f>_xll.FDS("SPX","FG_PRICE(12/30/2017)")</f>
        <v>2673.61</v>
      </c>
      <c r="E124" s="15">
        <f>D124/C124-1</f>
        <v>0.2957554668114144</v>
      </c>
      <c r="F124" s="8" t="s">
        <v>6060</v>
      </c>
      <c r="G124" s="8" t="s">
        <v>6061</v>
      </c>
      <c r="H124" s="13">
        <f>_xll.FDS(G124,"FG_PRICE(12/30/2015)")</f>
        <v>27.58</v>
      </c>
      <c r="I124" s="13">
        <f>_xll.FDS(G124,"FG_PRICE(12/31/2017)")</f>
        <v>37.729999999999997</v>
      </c>
      <c r="J124" s="13">
        <f>I124/H124-1</f>
        <v>0.36802030456852797</v>
      </c>
      <c r="K124" s="13">
        <f>J124-E124</f>
        <v>7.2264837757113565E-2</v>
      </c>
      <c r="L124" s="13">
        <f>_xll.FDS(G124,"FF_ROE(ANN_R,12/30/2015)")</f>
        <v>33.410954392331107</v>
      </c>
      <c r="M124" s="8" t="s">
        <v>6062</v>
      </c>
      <c r="N124" s="4" t="s">
        <v>6063</v>
      </c>
      <c r="O124" s="4" t="s">
        <v>6064</v>
      </c>
      <c r="P124" s="4" t="s">
        <v>96</v>
      </c>
      <c r="Q124" s="4" t="s">
        <v>50</v>
      </c>
      <c r="R124" s="4" t="s">
        <v>61</v>
      </c>
      <c r="S124" s="4" t="s">
        <v>62</v>
      </c>
      <c r="T124" s="6" t="e">
        <v>#N/A</v>
      </c>
      <c r="U124" s="5">
        <v>65</v>
      </c>
      <c r="V124" s="5">
        <v>65</v>
      </c>
      <c r="W124" s="5">
        <v>61</v>
      </c>
      <c r="X124" s="5">
        <v>70</v>
      </c>
      <c r="Y124" s="5">
        <v>68.14</v>
      </c>
      <c r="Z124" s="5">
        <v>70.8</v>
      </c>
      <c r="AA124" s="5">
        <v>69.91</v>
      </c>
      <c r="AB124" s="5">
        <v>63.72</v>
      </c>
      <c r="AC124" s="6">
        <v>0.4</v>
      </c>
      <c r="AD124" s="6">
        <v>0.35</v>
      </c>
      <c r="AE124" s="6">
        <v>0.25</v>
      </c>
      <c r="AF124" s="4" t="s">
        <v>6296</v>
      </c>
      <c r="AG124" s="4" t="s">
        <v>6296</v>
      </c>
      <c r="AH124" s="4" t="s">
        <v>6296</v>
      </c>
      <c r="AI124" s="4" t="s">
        <v>6296</v>
      </c>
      <c r="AJ124" s="4" t="s">
        <v>6296</v>
      </c>
      <c r="AK124" s="4" t="s">
        <v>37</v>
      </c>
      <c r="AL124" s="4" t="s">
        <v>6296</v>
      </c>
      <c r="AM124" s="4" t="s">
        <v>6296</v>
      </c>
      <c r="AN124" s="4" t="s">
        <v>42</v>
      </c>
      <c r="AO124" s="4" t="s">
        <v>6296</v>
      </c>
      <c r="AP124" s="4" t="s">
        <v>6065</v>
      </c>
      <c r="AQ124" s="4" t="s">
        <v>47</v>
      </c>
    </row>
    <row r="125" spans="1:43" ht="12.6" customHeight="1" x14ac:dyDescent="0.25">
      <c r="A125" s="8" t="s">
        <v>5246</v>
      </c>
      <c r="B125" s="9">
        <v>20151231</v>
      </c>
      <c r="C125" s="12">
        <f>_xll.FDS("SPX","FG_PRICE(12/30/2015)")</f>
        <v>2063.36</v>
      </c>
      <c r="D125" s="12">
        <f>_xll.FDS("SPX","FG_PRICE(12/30/2017)")</f>
        <v>2673.61</v>
      </c>
      <c r="E125" s="15">
        <f>D125/C125-1</f>
        <v>0.2957554668114144</v>
      </c>
      <c r="F125" s="8" t="s">
        <v>5247</v>
      </c>
      <c r="G125" s="8" t="s">
        <v>5248</v>
      </c>
      <c r="H125" s="13">
        <f>_xll.FDS(G125,"FG_PRICE(12/30/2015)")</f>
        <v>37.33</v>
      </c>
      <c r="I125" s="13">
        <f>_xll.FDS(G125,"FG_PRICE(12/31/2017)")</f>
        <v>50.51</v>
      </c>
      <c r="J125" s="13">
        <f>I125/H125-1</f>
        <v>0.35306723814626317</v>
      </c>
      <c r="K125" s="13">
        <f>J125-E125</f>
        <v>5.7311771334848771E-2</v>
      </c>
      <c r="L125" s="13">
        <f>_xll.FDS(G125,"FF_ROE(ANN_R,12/30/2015)")</f>
        <v>11.17897586582588</v>
      </c>
      <c r="M125" s="8" t="s">
        <v>5249</v>
      </c>
      <c r="N125" s="4" t="s">
        <v>5250</v>
      </c>
      <c r="O125" s="4" t="s">
        <v>4550</v>
      </c>
      <c r="P125" s="4" t="s">
        <v>96</v>
      </c>
      <c r="Q125" s="4" t="s">
        <v>50</v>
      </c>
      <c r="R125" s="4" t="s">
        <v>61</v>
      </c>
      <c r="S125" s="4" t="s">
        <v>62</v>
      </c>
      <c r="T125" s="6" t="e">
        <v>#N/A</v>
      </c>
      <c r="U125" s="5">
        <v>46</v>
      </c>
      <c r="V125" s="5">
        <v>33</v>
      </c>
      <c r="W125" s="5">
        <v>47</v>
      </c>
      <c r="X125" s="5">
        <v>64</v>
      </c>
      <c r="Y125" s="6">
        <v>9.73</v>
      </c>
      <c r="Z125" s="6">
        <v>0</v>
      </c>
      <c r="AA125" s="5">
        <v>23.89</v>
      </c>
      <c r="AB125" s="5">
        <v>31.86</v>
      </c>
      <c r="AC125" s="6">
        <v>0.4</v>
      </c>
      <c r="AD125" s="6">
        <v>0.35</v>
      </c>
      <c r="AE125" s="6">
        <v>0.25</v>
      </c>
      <c r="AF125" s="4" t="s">
        <v>6296</v>
      </c>
      <c r="AG125" s="4" t="s">
        <v>6296</v>
      </c>
      <c r="AH125" s="4" t="s">
        <v>6296</v>
      </c>
      <c r="AI125" s="4" t="s">
        <v>6296</v>
      </c>
      <c r="AJ125" s="4" t="s">
        <v>6296</v>
      </c>
      <c r="AK125" s="4" t="s">
        <v>6296</v>
      </c>
      <c r="AL125" s="4" t="s">
        <v>6296</v>
      </c>
      <c r="AM125" s="4" t="s">
        <v>6296</v>
      </c>
      <c r="AN125" s="4" t="s">
        <v>6296</v>
      </c>
      <c r="AO125" s="4" t="s">
        <v>6296</v>
      </c>
      <c r="AP125" s="4" t="s">
        <v>5251</v>
      </c>
      <c r="AQ125" s="4" t="s">
        <v>47</v>
      </c>
    </row>
    <row r="126" spans="1:43" ht="12.6" customHeight="1" x14ac:dyDescent="0.25">
      <c r="A126" s="8" t="s">
        <v>2578</v>
      </c>
      <c r="B126" s="9">
        <v>20151231</v>
      </c>
      <c r="C126" s="12">
        <f>_xll.FDS("SPX","FG_PRICE(12/30/2015)")</f>
        <v>2063.36</v>
      </c>
      <c r="D126" s="12">
        <f>_xll.FDS("SPX","FG_PRICE(12/30/2017)")</f>
        <v>2673.61</v>
      </c>
      <c r="E126" s="15">
        <f>D126/C126-1</f>
        <v>0.2957554668114144</v>
      </c>
      <c r="F126" s="8" t="s">
        <v>2579</v>
      </c>
      <c r="G126" s="8" t="s">
        <v>2580</v>
      </c>
      <c r="H126" s="13">
        <f>_xll.FDS(G126,"FG_PRICE(12/30/2015)")</f>
        <v>85.54</v>
      </c>
      <c r="I126" s="13">
        <f>_xll.FDS(G126,"FG_PRICE(12/31/2017)")</f>
        <v>126.11</v>
      </c>
      <c r="J126" s="13">
        <f>I126/H126-1</f>
        <v>0.47428103811082534</v>
      </c>
      <c r="K126" s="13">
        <f>J126-E126</f>
        <v>0.17852557129941093</v>
      </c>
      <c r="L126" s="13">
        <f>_xll.FDS(G126,"FF_ROE(ANN_R,12/30/2015)")</f>
        <v>14.600833162603291</v>
      </c>
      <c r="M126" s="8" t="s">
        <v>2581</v>
      </c>
      <c r="N126" s="4" t="s">
        <v>2581</v>
      </c>
      <c r="O126" s="4" t="s">
        <v>2582</v>
      </c>
      <c r="P126" s="4" t="s">
        <v>96</v>
      </c>
      <c r="Q126" s="4" t="s">
        <v>50</v>
      </c>
      <c r="R126" s="4" t="s">
        <v>61</v>
      </c>
      <c r="S126" s="4" t="s">
        <v>62</v>
      </c>
      <c r="T126" s="6" t="e">
        <v>#N/A</v>
      </c>
      <c r="U126" s="5">
        <v>78</v>
      </c>
      <c r="V126" s="5">
        <v>78</v>
      </c>
      <c r="W126" s="5">
        <v>83</v>
      </c>
      <c r="X126" s="5">
        <v>73</v>
      </c>
      <c r="Y126" s="5">
        <v>97.35</v>
      </c>
      <c r="Z126" s="5">
        <v>87.61</v>
      </c>
      <c r="AA126" s="5">
        <v>98.23</v>
      </c>
      <c r="AB126" s="5">
        <v>76.11</v>
      </c>
      <c r="AC126" s="6">
        <v>0.4</v>
      </c>
      <c r="AD126" s="6">
        <v>0.35</v>
      </c>
      <c r="AE126" s="6">
        <v>0.25</v>
      </c>
      <c r="AF126" s="4" t="s">
        <v>6296</v>
      </c>
      <c r="AG126" s="4" t="s">
        <v>6296</v>
      </c>
      <c r="AH126" s="4" t="s">
        <v>6296</v>
      </c>
      <c r="AI126" s="4" t="s">
        <v>42</v>
      </c>
      <c r="AJ126" s="4" t="s">
        <v>6296</v>
      </c>
      <c r="AK126" s="4" t="s">
        <v>6296</v>
      </c>
      <c r="AL126" s="4" t="s">
        <v>6296</v>
      </c>
      <c r="AM126" s="4" t="s">
        <v>6296</v>
      </c>
      <c r="AN126" s="4" t="s">
        <v>42</v>
      </c>
      <c r="AO126" s="4" t="s">
        <v>6296</v>
      </c>
      <c r="AP126" s="4" t="s">
        <v>2583</v>
      </c>
      <c r="AQ126" s="4" t="s">
        <v>47</v>
      </c>
    </row>
    <row r="127" spans="1:43" ht="12.6" customHeight="1" x14ac:dyDescent="0.25">
      <c r="A127" s="8" t="s">
        <v>2720</v>
      </c>
      <c r="B127" s="9">
        <v>20151231</v>
      </c>
      <c r="C127" s="12">
        <f>_xll.FDS("SPX","FG_PRICE(12/30/2015)")</f>
        <v>2063.36</v>
      </c>
      <c r="D127" s="12">
        <f>_xll.FDS("SPX","FG_PRICE(12/30/2017)")</f>
        <v>2673.61</v>
      </c>
      <c r="E127" s="15">
        <f>D127/C127-1</f>
        <v>0.2957554668114144</v>
      </c>
      <c r="F127" s="8" t="s">
        <v>2721</v>
      </c>
      <c r="G127" s="8" t="s">
        <v>2722</v>
      </c>
      <c r="H127" s="13">
        <f>_xll.FDS(G127,"FG_PRICE(12/30/2015)")</f>
        <v>29.4</v>
      </c>
      <c r="I127" s="13">
        <f>_xll.FDS(G127,"FG_PRICE(12/31/2017)")</f>
        <v>40.049999999999997</v>
      </c>
      <c r="J127" s="13">
        <f>I127/H127-1</f>
        <v>0.36224489795918369</v>
      </c>
      <c r="K127" s="13">
        <f>J127-E127</f>
        <v>6.6489431147769285E-2</v>
      </c>
      <c r="L127" s="13">
        <f>_xll.FDS(G127,"FF_ROE(ANN_R,12/30/2015)")</f>
        <v>24.384144054020261</v>
      </c>
      <c r="M127" s="8" t="s">
        <v>2723</v>
      </c>
      <c r="N127" s="4" t="s">
        <v>2724</v>
      </c>
      <c r="O127" s="4" t="s">
        <v>2725</v>
      </c>
      <c r="P127" s="4" t="s">
        <v>106</v>
      </c>
      <c r="Q127" s="4" t="s">
        <v>50</v>
      </c>
      <c r="R127" s="4" t="s">
        <v>61</v>
      </c>
      <c r="S127" s="4" t="s">
        <v>62</v>
      </c>
      <c r="T127" s="6" t="e">
        <v>#N/A</v>
      </c>
      <c r="U127" s="5">
        <v>91</v>
      </c>
      <c r="V127" s="7">
        <v>100</v>
      </c>
      <c r="W127" s="5">
        <v>87</v>
      </c>
      <c r="X127" s="5">
        <v>81</v>
      </c>
      <c r="Y127" s="7">
        <v>100</v>
      </c>
      <c r="Z127" s="7">
        <v>100</v>
      </c>
      <c r="AA127" s="5">
        <v>99.12</v>
      </c>
      <c r="AB127" s="5">
        <v>94.69</v>
      </c>
      <c r="AC127" s="6">
        <v>0.4</v>
      </c>
      <c r="AD127" s="6">
        <v>0.35</v>
      </c>
      <c r="AE127" s="6">
        <v>0.25</v>
      </c>
      <c r="AF127" s="4" t="s">
        <v>6296</v>
      </c>
      <c r="AG127" s="4" t="s">
        <v>6296</v>
      </c>
      <c r="AH127" s="4" t="s">
        <v>6296</v>
      </c>
      <c r="AI127" s="4" t="s">
        <v>6296</v>
      </c>
      <c r="AJ127" s="4" t="s">
        <v>6296</v>
      </c>
      <c r="AK127" s="4" t="s">
        <v>6296</v>
      </c>
      <c r="AL127" s="4" t="s">
        <v>6296</v>
      </c>
      <c r="AM127" s="4" t="s">
        <v>6296</v>
      </c>
      <c r="AN127" s="4" t="s">
        <v>6296</v>
      </c>
      <c r="AO127" s="4" t="s">
        <v>6296</v>
      </c>
      <c r="AP127" s="4" t="s">
        <v>2726</v>
      </c>
      <c r="AQ127" s="4" t="s">
        <v>47</v>
      </c>
    </row>
    <row r="128" spans="1:43" ht="12.6" customHeight="1" x14ac:dyDescent="0.25">
      <c r="A128" s="8" t="s">
        <v>3141</v>
      </c>
      <c r="B128" s="9">
        <v>20151231</v>
      </c>
      <c r="C128" s="12">
        <f>_xll.FDS("SPX","FG_PRICE(12/30/2015)")</f>
        <v>2063.36</v>
      </c>
      <c r="D128" s="12">
        <f>_xll.FDS("SPX","FG_PRICE(12/30/2017)")</f>
        <v>2673.61</v>
      </c>
      <c r="E128" s="15">
        <f>D128/C128-1</f>
        <v>0.2957554668114144</v>
      </c>
      <c r="F128" s="8" t="s">
        <v>3142</v>
      </c>
      <c r="G128" s="8" t="s">
        <v>3143</v>
      </c>
      <c r="H128" s="13">
        <f>_xll.FDS(G128,"FG_PRICE(12/30/2015)")</f>
        <v>20.82</v>
      </c>
      <c r="I128" s="13">
        <f>_xll.FDS(G128,"FG_PRICE(12/31/2017)")</f>
        <v>11.18</v>
      </c>
      <c r="J128" s="13">
        <f>I128/H128-1</f>
        <v>-0.46301633045148893</v>
      </c>
      <c r="K128" s="13">
        <f>J128-E128</f>
        <v>-0.75877179726290334</v>
      </c>
      <c r="L128" s="13">
        <f>_xll.FDS(G128,"FF_ROE(ANN_R,12/30/2015)")</f>
        <v>225.85541025814749</v>
      </c>
      <c r="M128" s="8" t="s">
        <v>3144</v>
      </c>
      <c r="N128" s="4" t="s">
        <v>3144</v>
      </c>
      <c r="O128" s="4" t="s">
        <v>3145</v>
      </c>
      <c r="P128" s="4" t="s">
        <v>96</v>
      </c>
      <c r="Q128" s="4" t="s">
        <v>50</v>
      </c>
      <c r="R128" s="4" t="s">
        <v>61</v>
      </c>
      <c r="S128" s="4" t="s">
        <v>62</v>
      </c>
      <c r="T128" s="6" t="e">
        <v>#N/A</v>
      </c>
      <c r="U128" s="5">
        <v>68</v>
      </c>
      <c r="V128" s="5">
        <v>65</v>
      </c>
      <c r="W128" s="5">
        <v>63</v>
      </c>
      <c r="X128" s="5">
        <v>78</v>
      </c>
      <c r="Y128" s="5">
        <v>77.88</v>
      </c>
      <c r="Z128" s="5">
        <v>70.8</v>
      </c>
      <c r="AA128" s="5">
        <v>75.22</v>
      </c>
      <c r="AB128" s="5">
        <v>88.5</v>
      </c>
      <c r="AC128" s="6">
        <v>0.4</v>
      </c>
      <c r="AD128" s="6">
        <v>0.35</v>
      </c>
      <c r="AE128" s="6">
        <v>0.25</v>
      </c>
      <c r="AF128" s="4" t="s">
        <v>6296</v>
      </c>
      <c r="AG128" s="4" t="s">
        <v>6296</v>
      </c>
      <c r="AH128" s="4" t="s">
        <v>6296</v>
      </c>
      <c r="AI128" s="4" t="s">
        <v>6296</v>
      </c>
      <c r="AJ128" s="4" t="s">
        <v>6296</v>
      </c>
      <c r="AK128" s="4" t="s">
        <v>6296</v>
      </c>
      <c r="AL128" s="4" t="s">
        <v>6296</v>
      </c>
      <c r="AM128" s="4" t="s">
        <v>6296</v>
      </c>
      <c r="AN128" s="4" t="s">
        <v>6296</v>
      </c>
      <c r="AO128" s="4" t="s">
        <v>6296</v>
      </c>
      <c r="AP128" s="4" t="s">
        <v>3146</v>
      </c>
      <c r="AQ128" s="4" t="s">
        <v>47</v>
      </c>
    </row>
    <row r="129" spans="1:43" ht="12.6" customHeight="1" x14ac:dyDescent="0.25">
      <c r="A129" s="8" t="s">
        <v>688</v>
      </c>
      <c r="B129" s="9">
        <v>20151231</v>
      </c>
      <c r="C129" s="12">
        <f>_xll.FDS("SPX","FG_PRICE(12/30/2015)")</f>
        <v>2063.36</v>
      </c>
      <c r="D129" s="12">
        <f>_xll.FDS("SPX","FG_PRICE(12/30/2017)")</f>
        <v>2673.61</v>
      </c>
      <c r="E129" s="15">
        <f>D129/C129-1</f>
        <v>0.2957554668114144</v>
      </c>
      <c r="F129" s="8" t="s">
        <v>689</v>
      </c>
      <c r="G129" s="8" t="s">
        <v>690</v>
      </c>
      <c r="H129" s="13">
        <f>_xll.FDS(G129,"FG_PRICE(12/30/2015)")</f>
        <v>47.52</v>
      </c>
      <c r="I129" s="13">
        <f>_xll.FDS(G129,"FG_PRICE(12/31/2017)")</f>
        <v>55.54</v>
      </c>
      <c r="J129" s="13">
        <f>I129/H129-1</f>
        <v>0.16877104377104368</v>
      </c>
      <c r="K129" s="13">
        <f>J129-E129</f>
        <v>-0.12698442304037072</v>
      </c>
      <c r="L129" s="13">
        <f>_xll.FDS(G129,"FF_ROE(ANN_R,12/30/2015)")</f>
        <v>32.211407101128138</v>
      </c>
      <c r="M129" s="8" t="s">
        <v>691</v>
      </c>
      <c r="N129" s="4" t="s">
        <v>691</v>
      </c>
      <c r="O129" s="4" t="s">
        <v>692</v>
      </c>
      <c r="P129" s="4" t="s">
        <v>96</v>
      </c>
      <c r="Q129" s="4" t="s">
        <v>50</v>
      </c>
      <c r="R129" s="4" t="s">
        <v>61</v>
      </c>
      <c r="S129" s="4" t="s">
        <v>62</v>
      </c>
      <c r="T129" s="6" t="e">
        <v>#N/A</v>
      </c>
      <c r="U129" s="5">
        <v>48</v>
      </c>
      <c r="V129" s="5">
        <v>41</v>
      </c>
      <c r="W129" s="5">
        <v>47</v>
      </c>
      <c r="X129" s="5">
        <v>60</v>
      </c>
      <c r="Y129" s="5">
        <v>17.7</v>
      </c>
      <c r="Z129" s="5">
        <v>22.12</v>
      </c>
      <c r="AA129" s="5">
        <v>23.89</v>
      </c>
      <c r="AB129" s="5">
        <v>15.04</v>
      </c>
      <c r="AC129" s="6">
        <v>0.4</v>
      </c>
      <c r="AD129" s="6">
        <v>0.35</v>
      </c>
      <c r="AE129" s="6">
        <v>0.25</v>
      </c>
      <c r="AF129" s="4" t="s">
        <v>6296</v>
      </c>
      <c r="AG129" s="4" t="s">
        <v>6296</v>
      </c>
      <c r="AH129" s="4" t="s">
        <v>6296</v>
      </c>
      <c r="AI129" s="4" t="s">
        <v>42</v>
      </c>
      <c r="AJ129" s="4" t="s">
        <v>6296</v>
      </c>
      <c r="AK129" s="4" t="s">
        <v>6296</v>
      </c>
      <c r="AL129" s="4" t="s">
        <v>6296</v>
      </c>
      <c r="AM129" s="4" t="s">
        <v>6296</v>
      </c>
      <c r="AN129" s="4" t="s">
        <v>6296</v>
      </c>
      <c r="AO129" s="4" t="s">
        <v>6296</v>
      </c>
      <c r="AP129" s="4" t="s">
        <v>693</v>
      </c>
      <c r="AQ129" s="4" t="s">
        <v>47</v>
      </c>
    </row>
    <row r="130" spans="1:43" ht="12.6" customHeight="1" x14ac:dyDescent="0.25">
      <c r="A130" s="8" t="s">
        <v>3423</v>
      </c>
      <c r="B130" s="9">
        <v>20151231</v>
      </c>
      <c r="C130" s="12">
        <f>_xll.FDS("SPX","FG_PRICE(12/30/2015)")</f>
        <v>2063.36</v>
      </c>
      <c r="D130" s="12">
        <f>_xll.FDS("SPX","FG_PRICE(12/30/2017)")</f>
        <v>2673.61</v>
      </c>
      <c r="E130" s="15">
        <f>D130/C130-1</f>
        <v>0.2957554668114144</v>
      </c>
      <c r="F130" s="8" t="s">
        <v>3424</v>
      </c>
      <c r="G130" s="8" t="s">
        <v>3425</v>
      </c>
      <c r="H130" s="13">
        <f>_xll.FDS(G130,"FG_PRICE(12/30/2015)")</f>
        <v>26.7</v>
      </c>
      <c r="I130" s="13">
        <f>_xll.FDS(G130,"FG_PRICE(12/31/2017)")</f>
        <v>46.53</v>
      </c>
      <c r="J130" s="13">
        <f>I130/H130-1</f>
        <v>0.74269662921348334</v>
      </c>
      <c r="K130" s="13">
        <f>J130-E130</f>
        <v>0.44694116240206894</v>
      </c>
      <c r="L130" s="13">
        <f>_xll.FDS(G130,"FF_ROE(ANN_R,12/30/2015)")</f>
        <v>30.560386977471079</v>
      </c>
      <c r="M130" s="8" t="s">
        <v>3426</v>
      </c>
      <c r="N130" s="4" t="s">
        <v>3427</v>
      </c>
      <c r="O130" s="4" t="s">
        <v>3428</v>
      </c>
      <c r="P130" s="4" t="s">
        <v>96</v>
      </c>
      <c r="Q130" s="4" t="s">
        <v>50</v>
      </c>
      <c r="R130" s="4" t="s">
        <v>61</v>
      </c>
      <c r="S130" s="4" t="s">
        <v>62</v>
      </c>
      <c r="T130" s="6" t="e">
        <v>#N/A</v>
      </c>
      <c r="U130" s="5">
        <v>49</v>
      </c>
      <c r="V130" s="5">
        <v>33</v>
      </c>
      <c r="W130" s="5">
        <v>56</v>
      </c>
      <c r="X130" s="5">
        <v>67</v>
      </c>
      <c r="Y130" s="5">
        <v>20.350000000000001</v>
      </c>
      <c r="Z130" s="6">
        <v>0</v>
      </c>
      <c r="AA130" s="5">
        <v>60.18</v>
      </c>
      <c r="AB130" s="5">
        <v>44.25</v>
      </c>
      <c r="AC130" s="6">
        <v>0.4</v>
      </c>
      <c r="AD130" s="6">
        <v>0.35</v>
      </c>
      <c r="AE130" s="6">
        <v>0.25</v>
      </c>
      <c r="AF130" s="4" t="s">
        <v>6296</v>
      </c>
      <c r="AG130" s="4" t="s">
        <v>6296</v>
      </c>
      <c r="AH130" s="4" t="s">
        <v>6296</v>
      </c>
      <c r="AI130" s="4" t="s">
        <v>6296</v>
      </c>
      <c r="AJ130" s="4" t="s">
        <v>6296</v>
      </c>
      <c r="AK130" s="4" t="s">
        <v>6296</v>
      </c>
      <c r="AL130" s="4" t="s">
        <v>6296</v>
      </c>
      <c r="AM130" s="4" t="s">
        <v>6296</v>
      </c>
      <c r="AN130" s="4" t="s">
        <v>6296</v>
      </c>
      <c r="AO130" s="4" t="s">
        <v>6296</v>
      </c>
      <c r="AP130" s="4" t="s">
        <v>3429</v>
      </c>
      <c r="AQ130" s="4" t="s">
        <v>47</v>
      </c>
    </row>
    <row r="131" spans="1:43" ht="12.6" customHeight="1" x14ac:dyDescent="0.25">
      <c r="A131" s="8" t="s">
        <v>6335</v>
      </c>
      <c r="B131" s="9">
        <v>20151231</v>
      </c>
      <c r="C131" s="12">
        <f>_xll.FDS("SPX","FG_PRICE(12/30/2015)")</f>
        <v>2063.36</v>
      </c>
      <c r="D131" s="12">
        <f>_xll.FDS("SPX","FG_PRICE(12/30/2017)")</f>
        <v>2673.61</v>
      </c>
      <c r="E131" s="15">
        <f>D131/C131-1</f>
        <v>0.2957554668114144</v>
      </c>
      <c r="F131" s="8" t="s">
        <v>6126</v>
      </c>
      <c r="G131" s="8" t="s">
        <v>6127</v>
      </c>
      <c r="H131" s="13">
        <f>_xll.FDS(G131,"FG_PRICE(12/30/2015)")</f>
        <v>20.957204999999998</v>
      </c>
      <c r="I131" s="13">
        <f>_xll.FDS(G131,"FG_PRICE(12/31/2017)")</f>
        <v>9.3000000000000007</v>
      </c>
      <c r="J131" s="13">
        <f>I131/H131-1</f>
        <v>-0.5562385346710117</v>
      </c>
      <c r="K131" s="13">
        <f>J131-E131</f>
        <v>-0.8519940014824261</v>
      </c>
      <c r="L131" s="13">
        <f>_xll.FDS(G131,"FF_ROE(ANN_R,12/30/2015)")</f>
        <v>19.1579634464752</v>
      </c>
      <c r="M131" s="8" t="s">
        <v>6128</v>
      </c>
      <c r="N131" s="4" t="s">
        <v>6128</v>
      </c>
      <c r="O131" s="4" t="s">
        <v>6129</v>
      </c>
      <c r="P131" s="4" t="s">
        <v>106</v>
      </c>
      <c r="Q131" s="4" t="s">
        <v>50</v>
      </c>
      <c r="R131" s="4" t="s">
        <v>61</v>
      </c>
      <c r="S131" s="4" t="s">
        <v>62</v>
      </c>
      <c r="T131" s="6" t="e">
        <v>#N/A</v>
      </c>
      <c r="U131" s="5">
        <v>61</v>
      </c>
      <c r="V131" s="5">
        <v>61</v>
      </c>
      <c r="W131" s="5">
        <v>57</v>
      </c>
      <c r="X131" s="5">
        <v>68</v>
      </c>
      <c r="Y131" s="5">
        <v>60.18</v>
      </c>
      <c r="Z131" s="5">
        <v>59.29</v>
      </c>
      <c r="AA131" s="5">
        <v>62.83</v>
      </c>
      <c r="AB131" s="5">
        <v>53.1</v>
      </c>
      <c r="AC131" s="6">
        <v>0.4</v>
      </c>
      <c r="AD131" s="6">
        <v>0.35</v>
      </c>
      <c r="AE131" s="6">
        <v>0.25</v>
      </c>
      <c r="AF131" s="4" t="s">
        <v>6296</v>
      </c>
      <c r="AG131" s="4" t="s">
        <v>6296</v>
      </c>
      <c r="AH131" s="4" t="s">
        <v>6296</v>
      </c>
      <c r="AI131" s="4" t="s">
        <v>6296</v>
      </c>
      <c r="AJ131" s="4" t="s">
        <v>6296</v>
      </c>
      <c r="AK131" s="4" t="s">
        <v>6296</v>
      </c>
      <c r="AL131" s="4" t="s">
        <v>6296</v>
      </c>
      <c r="AM131" s="4" t="s">
        <v>6296</v>
      </c>
      <c r="AN131" s="4" t="s">
        <v>6296</v>
      </c>
      <c r="AO131" s="4" t="s">
        <v>6296</v>
      </c>
      <c r="AP131" s="4" t="s">
        <v>6336</v>
      </c>
      <c r="AQ131" s="4" t="s">
        <v>47</v>
      </c>
    </row>
    <row r="132" spans="1:43" ht="12.6" customHeight="1" x14ac:dyDescent="0.25">
      <c r="A132" s="8" t="s">
        <v>1309</v>
      </c>
      <c r="B132" s="9">
        <v>20151231</v>
      </c>
      <c r="C132" s="12">
        <f>_xll.FDS("SPX","FG_PRICE(12/30/2015)")</f>
        <v>2063.36</v>
      </c>
      <c r="D132" s="12">
        <f>_xll.FDS("SPX","FG_PRICE(12/30/2017)")</f>
        <v>2673.61</v>
      </c>
      <c r="E132" s="15">
        <f>D132/C132-1</f>
        <v>0.2957554668114144</v>
      </c>
      <c r="F132" s="8" t="s">
        <v>1310</v>
      </c>
      <c r="G132" s="8" t="s">
        <v>1311</v>
      </c>
      <c r="H132" s="13">
        <f>_xll.FDS(G132,"FG_PRICE(12/30/2015)")</f>
        <v>44.54</v>
      </c>
      <c r="I132" s="13">
        <f>_xll.FDS(G132,"FG_PRICE(12/31/2017)")</f>
        <v>67.61</v>
      </c>
      <c r="J132" s="13">
        <f>I132/H132-1</f>
        <v>0.51796138302649308</v>
      </c>
      <c r="K132" s="13">
        <f>J132-E132</f>
        <v>0.22220591621507868</v>
      </c>
      <c r="L132" s="13">
        <f>_xll.FDS(G132,"FF_ROE(ANN_R,12/30/2015)")</f>
        <v>6.9986197024691998</v>
      </c>
      <c r="M132" s="8" t="s">
        <v>1312</v>
      </c>
      <c r="N132" s="4" t="s">
        <v>1313</v>
      </c>
      <c r="O132" s="4" t="s">
        <v>1314</v>
      </c>
      <c r="P132" s="4" t="s">
        <v>96</v>
      </c>
      <c r="Q132" s="4" t="s">
        <v>50</v>
      </c>
      <c r="R132" s="4" t="s">
        <v>61</v>
      </c>
      <c r="S132" s="4" t="s">
        <v>62</v>
      </c>
      <c r="T132" s="6" t="e">
        <v>#N/A</v>
      </c>
      <c r="U132" s="5">
        <v>49</v>
      </c>
      <c r="V132" s="5">
        <v>45</v>
      </c>
      <c r="W132" s="5">
        <v>43</v>
      </c>
      <c r="X132" s="5">
        <v>66</v>
      </c>
      <c r="Y132" s="5">
        <v>20.350000000000001</v>
      </c>
      <c r="Z132" s="5">
        <v>30.97</v>
      </c>
      <c r="AA132" s="6">
        <v>6.19</v>
      </c>
      <c r="AB132" s="5">
        <v>41.59</v>
      </c>
      <c r="AC132" s="6">
        <v>0.4</v>
      </c>
      <c r="AD132" s="6">
        <v>0.35</v>
      </c>
      <c r="AE132" s="6">
        <v>0.25</v>
      </c>
      <c r="AF132" s="4" t="s">
        <v>46</v>
      </c>
      <c r="AG132" s="4" t="s">
        <v>6296</v>
      </c>
      <c r="AH132" s="4" t="s">
        <v>6296</v>
      </c>
      <c r="AI132" s="4" t="s">
        <v>42</v>
      </c>
      <c r="AJ132" s="4" t="s">
        <v>6296</v>
      </c>
      <c r="AK132" s="4" t="s">
        <v>6296</v>
      </c>
      <c r="AL132" s="4" t="s">
        <v>42</v>
      </c>
      <c r="AM132" s="4" t="s">
        <v>6296</v>
      </c>
      <c r="AN132" s="4" t="s">
        <v>6296</v>
      </c>
      <c r="AO132" s="4" t="s">
        <v>6296</v>
      </c>
      <c r="AP132" s="4" t="s">
        <v>1315</v>
      </c>
      <c r="AQ132" s="4" t="s">
        <v>47</v>
      </c>
    </row>
    <row r="133" spans="1:43" ht="12.6" customHeight="1" x14ac:dyDescent="0.25">
      <c r="A133" s="8" t="s">
        <v>3852</v>
      </c>
      <c r="B133" s="9">
        <v>20151231</v>
      </c>
      <c r="C133" s="12">
        <f>_xll.FDS("SPX","FG_PRICE(12/30/2015)")</f>
        <v>2063.36</v>
      </c>
      <c r="D133" s="12">
        <f>_xll.FDS("SPX","FG_PRICE(12/30/2017)")</f>
        <v>2673.61</v>
      </c>
      <c r="E133" s="15">
        <f>D133/C133-1</f>
        <v>0.2957554668114144</v>
      </c>
      <c r="F133" s="8" t="s">
        <v>3853</v>
      </c>
      <c r="G133" s="8" t="s">
        <v>3854</v>
      </c>
      <c r="H133" s="13">
        <f>_xll.FDS(G133,"FG_PRICE(12/30/2015)")</f>
        <v>121.78</v>
      </c>
      <c r="I133" s="13">
        <f>_xll.FDS(G133,"FG_PRICE(12/31/2017)")</f>
        <v>67.989999999999995</v>
      </c>
      <c r="J133" s="13">
        <f>I133/H133-1</f>
        <v>-0.44169814419444908</v>
      </c>
      <c r="K133" s="13">
        <f>J133-E133</f>
        <v>-0.73745361100586349</v>
      </c>
      <c r="L133" s="13">
        <f>_xll.FDS(G133,"FF_ROE(ANN_R,12/30/2015)")</f>
        <v>17.910213571736779</v>
      </c>
      <c r="M133" s="8" t="s">
        <v>3855</v>
      </c>
      <c r="N133" s="4" t="s">
        <v>3856</v>
      </c>
      <c r="O133" s="4" t="s">
        <v>3857</v>
      </c>
      <c r="P133" s="4" t="s">
        <v>106</v>
      </c>
      <c r="Q133" s="4" t="s">
        <v>50</v>
      </c>
      <c r="R133" s="4" t="s">
        <v>61</v>
      </c>
      <c r="S133" s="4" t="s">
        <v>62</v>
      </c>
      <c r="T133" s="6" t="e">
        <v>#N/A</v>
      </c>
      <c r="U133" s="5">
        <v>42</v>
      </c>
      <c r="V133" s="5">
        <v>33</v>
      </c>
      <c r="W133" s="5">
        <v>39</v>
      </c>
      <c r="X133" s="5">
        <v>59</v>
      </c>
      <c r="Y133" s="6">
        <v>0</v>
      </c>
      <c r="Z133" s="6">
        <v>0</v>
      </c>
      <c r="AA133" s="6">
        <v>0.88</v>
      </c>
      <c r="AB133" s="5">
        <v>14.16</v>
      </c>
      <c r="AC133" s="6">
        <v>0.4</v>
      </c>
      <c r="AD133" s="6">
        <v>0.35</v>
      </c>
      <c r="AE133" s="6">
        <v>0.25</v>
      </c>
      <c r="AF133" s="4" t="s">
        <v>46</v>
      </c>
      <c r="AG133" s="4" t="s">
        <v>6296</v>
      </c>
      <c r="AH133" s="4" t="s">
        <v>6296</v>
      </c>
      <c r="AI133" s="4" t="s">
        <v>37</v>
      </c>
      <c r="AJ133" s="4" t="s">
        <v>6296</v>
      </c>
      <c r="AK133" s="4" t="s">
        <v>42</v>
      </c>
      <c r="AL133" s="4" t="s">
        <v>6296</v>
      </c>
      <c r="AM133" s="4" t="s">
        <v>6296</v>
      </c>
      <c r="AN133" s="4" t="s">
        <v>6296</v>
      </c>
      <c r="AO133" s="4" t="s">
        <v>6296</v>
      </c>
      <c r="AP133" s="4" t="s">
        <v>3858</v>
      </c>
      <c r="AQ133" s="4" t="s">
        <v>47</v>
      </c>
    </row>
    <row r="134" spans="1:43" ht="12.6" customHeight="1" x14ac:dyDescent="0.25">
      <c r="A134" s="8" t="s">
        <v>5571</v>
      </c>
      <c r="B134" s="9">
        <v>20151231</v>
      </c>
      <c r="C134" s="12">
        <f>_xll.FDS("SPX","FG_PRICE(12/30/2015)")</f>
        <v>2063.36</v>
      </c>
      <c r="D134" s="12">
        <f>_xll.FDS("SPX","FG_PRICE(12/30/2017)")</f>
        <v>2673.61</v>
      </c>
      <c r="E134" s="15">
        <f>D134/C134-1</f>
        <v>0.2957554668114144</v>
      </c>
      <c r="F134" s="8" t="s">
        <v>5572</v>
      </c>
      <c r="G134" s="8" t="s">
        <v>5573</v>
      </c>
      <c r="H134" s="13">
        <f>_xll.FDS(G134,"FG_PRICE(12/30/2015)")</f>
        <v>19.670000000000002</v>
      </c>
      <c r="I134" s="13">
        <f>_xll.FDS(G134,"FG_PRICE(12/31/2017)")</f>
        <v>25.15</v>
      </c>
      <c r="J134" s="13">
        <f>I134/H134-1</f>
        <v>0.27859684799186568</v>
      </c>
      <c r="K134" s="13">
        <f>J134-E134</f>
        <v>-1.7158618819548721E-2</v>
      </c>
      <c r="L134" s="13">
        <f>_xll.FDS(G134,"FF_ROE(ANN_R,12/30/2015)")</f>
        <v>7.6635785402501604</v>
      </c>
      <c r="M134" s="8" t="s">
        <v>5574</v>
      </c>
      <c r="N134" s="4" t="s">
        <v>5575</v>
      </c>
      <c r="O134" s="4" t="s">
        <v>5576</v>
      </c>
      <c r="P134" s="4" t="s">
        <v>106</v>
      </c>
      <c r="Q134" s="4" t="s">
        <v>50</v>
      </c>
      <c r="R134" s="4" t="s">
        <v>61</v>
      </c>
      <c r="S134" s="4" t="s">
        <v>62</v>
      </c>
      <c r="T134" s="6" t="e">
        <v>#N/A</v>
      </c>
      <c r="U134" s="5">
        <v>56</v>
      </c>
      <c r="V134" s="5">
        <v>66</v>
      </c>
      <c r="W134" s="5">
        <v>43</v>
      </c>
      <c r="X134" s="5">
        <v>57</v>
      </c>
      <c r="Y134" s="5">
        <v>46.02</v>
      </c>
      <c r="Z134" s="5">
        <v>72.569999999999993</v>
      </c>
      <c r="AA134" s="6">
        <v>6.19</v>
      </c>
      <c r="AB134" s="5">
        <v>11.5</v>
      </c>
      <c r="AC134" s="6">
        <v>0.4</v>
      </c>
      <c r="AD134" s="6">
        <v>0.35</v>
      </c>
      <c r="AE134" s="6">
        <v>0.25</v>
      </c>
      <c r="AF134" s="4" t="s">
        <v>6296</v>
      </c>
      <c r="AG134" s="4" t="s">
        <v>6296</v>
      </c>
      <c r="AH134" s="4" t="s">
        <v>6296</v>
      </c>
      <c r="AI134" s="4" t="s">
        <v>6296</v>
      </c>
      <c r="AJ134" s="4" t="s">
        <v>6296</v>
      </c>
      <c r="AK134" s="4" t="s">
        <v>6296</v>
      </c>
      <c r="AL134" s="4" t="s">
        <v>6296</v>
      </c>
      <c r="AM134" s="4" t="s">
        <v>6296</v>
      </c>
      <c r="AN134" s="4" t="s">
        <v>6296</v>
      </c>
      <c r="AO134" s="4" t="s">
        <v>6296</v>
      </c>
      <c r="AP134" s="4" t="s">
        <v>5577</v>
      </c>
      <c r="AQ134" s="4" t="s">
        <v>47</v>
      </c>
    </row>
    <row r="135" spans="1:43" ht="12.6" customHeight="1" x14ac:dyDescent="0.25">
      <c r="A135" s="8" t="s">
        <v>5201</v>
      </c>
      <c r="B135" s="9">
        <v>20151231</v>
      </c>
      <c r="C135" s="12">
        <f>_xll.FDS("SPX","FG_PRICE(12/30/2015)")</f>
        <v>2063.36</v>
      </c>
      <c r="D135" s="12">
        <f>_xll.FDS("SPX","FG_PRICE(12/30/2017)")</f>
        <v>2673.61</v>
      </c>
      <c r="E135" s="15">
        <f>D135/C135-1</f>
        <v>0.2957554668114144</v>
      </c>
      <c r="F135" s="8" t="s">
        <v>5202</v>
      </c>
      <c r="G135" s="8" t="s">
        <v>5203</v>
      </c>
      <c r="H135" s="13">
        <f>_xll.FDS(G135,"FG_PRICE(12/30/2015)")</f>
        <v>77.510000000000005</v>
      </c>
      <c r="I135" s="13">
        <f>_xll.FDS(G135,"FG_PRICE(12/31/2017)")</f>
        <v>96</v>
      </c>
      <c r="J135" s="13">
        <f>I135/H135-1</f>
        <v>0.23854986453360838</v>
      </c>
      <c r="K135" s="13">
        <f>J135-E135</f>
        <v>-5.7205602277806022E-2</v>
      </c>
      <c r="L135" s="13">
        <f>_xll.FDS(G135,"FF_ROE(ANN_R,12/30/2015)")</f>
        <v>97.77204230773286</v>
      </c>
      <c r="M135" s="8" t="s">
        <v>5204</v>
      </c>
      <c r="N135" s="4" t="s">
        <v>5205</v>
      </c>
      <c r="O135" s="4" t="s">
        <v>5206</v>
      </c>
      <c r="P135" s="4" t="s">
        <v>106</v>
      </c>
      <c r="Q135" s="4" t="s">
        <v>50</v>
      </c>
      <c r="R135" s="4" t="s">
        <v>61</v>
      </c>
      <c r="S135" s="4" t="s">
        <v>62</v>
      </c>
      <c r="T135" s="6" t="e">
        <v>#N/A</v>
      </c>
      <c r="U135" s="5">
        <v>45</v>
      </c>
      <c r="V135" s="5">
        <v>38</v>
      </c>
      <c r="W135" s="5">
        <v>42</v>
      </c>
      <c r="X135" s="5">
        <v>62</v>
      </c>
      <c r="Y135" s="6">
        <v>6.19</v>
      </c>
      <c r="Z135" s="5">
        <v>14.16</v>
      </c>
      <c r="AA135" s="6">
        <v>4.42</v>
      </c>
      <c r="AB135" s="5">
        <v>21.24</v>
      </c>
      <c r="AC135" s="6">
        <v>0.4</v>
      </c>
      <c r="AD135" s="6">
        <v>0.35</v>
      </c>
      <c r="AE135" s="6">
        <v>0.25</v>
      </c>
      <c r="AF135" s="4" t="s">
        <v>6296</v>
      </c>
      <c r="AG135" s="4" t="s">
        <v>6296</v>
      </c>
      <c r="AH135" s="4" t="s">
        <v>6296</v>
      </c>
      <c r="AI135" s="4" t="s">
        <v>6296</v>
      </c>
      <c r="AJ135" s="4" t="s">
        <v>6296</v>
      </c>
      <c r="AK135" s="4" t="s">
        <v>6296</v>
      </c>
      <c r="AL135" s="4" t="s">
        <v>6296</v>
      </c>
      <c r="AM135" s="4" t="s">
        <v>42</v>
      </c>
      <c r="AN135" s="4" t="s">
        <v>6296</v>
      </c>
      <c r="AO135" s="4" t="s">
        <v>6296</v>
      </c>
      <c r="AP135" s="4" t="s">
        <v>5207</v>
      </c>
      <c r="AQ135" s="4" t="s">
        <v>47</v>
      </c>
    </row>
    <row r="136" spans="1:43" ht="12.6" customHeight="1" x14ac:dyDescent="0.25">
      <c r="A136" s="8" t="s">
        <v>6331</v>
      </c>
      <c r="B136" s="9">
        <v>20151231</v>
      </c>
      <c r="C136" s="12">
        <f>_xll.FDS("SPX","FG_PRICE(12/30/2015)")</f>
        <v>2063.36</v>
      </c>
      <c r="D136" s="12">
        <f>_xll.FDS("SPX","FG_PRICE(12/30/2017)")</f>
        <v>2673.61</v>
      </c>
      <c r="E136" s="15">
        <f>D136/C136-1</f>
        <v>0.2957554668114144</v>
      </c>
      <c r="F136" s="8" t="s">
        <v>6332</v>
      </c>
      <c r="G136" s="8" t="s">
        <v>6333</v>
      </c>
      <c r="H136" s="13">
        <f>_xll.FDS(G136,"FG_PRICE(12/30/2015)")</f>
        <v>56.74</v>
      </c>
      <c r="I136" s="13" t="e">
        <f>_xll.FDS(G136,"FG_PRICE(12/31/2017)")</f>
        <v>#N/A</v>
      </c>
      <c r="J136" s="13" t="e">
        <f>I136/H136-1</f>
        <v>#N/A</v>
      </c>
      <c r="K136" s="13" t="e">
        <f>J136-E136</f>
        <v>#N/A</v>
      </c>
      <c r="L136" s="13">
        <f>_xll.FDS(G136,"FF_ROE(ANN_R,12/30/2015)")</f>
        <v>10.88787003949882</v>
      </c>
      <c r="M136" s="8" t="s">
        <v>6137</v>
      </c>
      <c r="N136" s="4" t="s">
        <v>6138</v>
      </c>
      <c r="O136" s="4" t="s">
        <v>6139</v>
      </c>
      <c r="P136" s="4" t="s">
        <v>96</v>
      </c>
      <c r="Q136" s="4" t="s">
        <v>50</v>
      </c>
      <c r="R136" s="4" t="s">
        <v>61</v>
      </c>
      <c r="S136" s="4" t="s">
        <v>62</v>
      </c>
      <c r="T136" s="6" t="e">
        <v>#N/A</v>
      </c>
      <c r="U136" s="5">
        <v>48</v>
      </c>
      <c r="V136" s="5">
        <v>44</v>
      </c>
      <c r="W136" s="5">
        <v>41</v>
      </c>
      <c r="X136" s="5">
        <v>64</v>
      </c>
      <c r="Y136" s="5">
        <v>17.7</v>
      </c>
      <c r="Z136" s="5">
        <v>27.43</v>
      </c>
      <c r="AA136" s="6">
        <v>2.65</v>
      </c>
      <c r="AB136" s="5">
        <v>31.86</v>
      </c>
      <c r="AC136" s="6">
        <v>0.4</v>
      </c>
      <c r="AD136" s="6">
        <v>0.35</v>
      </c>
      <c r="AE136" s="6">
        <v>0.25</v>
      </c>
      <c r="AF136" s="4" t="s">
        <v>6296</v>
      </c>
      <c r="AG136" s="4" t="s">
        <v>6296</v>
      </c>
      <c r="AH136" s="4" t="s">
        <v>6296</v>
      </c>
      <c r="AI136" s="4" t="s">
        <v>37</v>
      </c>
      <c r="AJ136" s="4" t="s">
        <v>6296</v>
      </c>
      <c r="AK136" s="4" t="s">
        <v>6296</v>
      </c>
      <c r="AL136" s="4" t="s">
        <v>6296</v>
      </c>
      <c r="AM136" s="4" t="s">
        <v>6296</v>
      </c>
      <c r="AN136" s="4" t="s">
        <v>42</v>
      </c>
      <c r="AO136" s="4" t="s">
        <v>6296</v>
      </c>
      <c r="AP136" s="4" t="s">
        <v>6334</v>
      </c>
      <c r="AQ136" s="4" t="s">
        <v>47</v>
      </c>
    </row>
    <row r="137" spans="1:43" ht="12.6" customHeight="1" x14ac:dyDescent="0.25">
      <c r="A137" s="8" t="s">
        <v>4268</v>
      </c>
      <c r="B137" s="9">
        <v>20151231</v>
      </c>
      <c r="C137" s="12">
        <f>_xll.FDS("SPX","FG_PRICE(12/30/2015)")</f>
        <v>2063.36</v>
      </c>
      <c r="D137" s="12">
        <f>_xll.FDS("SPX","FG_PRICE(12/30/2017)")</f>
        <v>2673.61</v>
      </c>
      <c r="E137" s="15">
        <f>D137/C137-1</f>
        <v>0.2957554668114144</v>
      </c>
      <c r="F137" s="8" t="s">
        <v>4269</v>
      </c>
      <c r="G137" s="8" t="s">
        <v>4270</v>
      </c>
      <c r="H137" s="13">
        <f>_xll.FDS(G137,"FG_PRICE(12/30/2015)")</f>
        <v>53.98</v>
      </c>
      <c r="I137" s="13">
        <f>_xll.FDS(G137,"FG_PRICE(12/31/2017)")</f>
        <v>86.3</v>
      </c>
      <c r="J137" s="13">
        <f>I137/H137-1</f>
        <v>0.5987402741756207</v>
      </c>
      <c r="K137" s="13">
        <f>J137-E137</f>
        <v>0.3029848073642063</v>
      </c>
      <c r="L137" s="13">
        <f>_xll.FDS(G137,"FF_ROE(ANN_R,12/30/2015)")</f>
        <v>22.431521645208679</v>
      </c>
      <c r="M137" s="8" t="s">
        <v>4271</v>
      </c>
      <c r="N137" s="4" t="s">
        <v>4272</v>
      </c>
      <c r="O137" s="4" t="s">
        <v>4273</v>
      </c>
      <c r="P137" s="4" t="s">
        <v>96</v>
      </c>
      <c r="Q137" s="4" t="s">
        <v>50</v>
      </c>
      <c r="R137" s="4" t="s">
        <v>61</v>
      </c>
      <c r="S137" s="4" t="s">
        <v>62</v>
      </c>
      <c r="T137" s="6" t="e">
        <v>#N/A</v>
      </c>
      <c r="U137" s="5">
        <v>66</v>
      </c>
      <c r="V137" s="5">
        <v>67</v>
      </c>
      <c r="W137" s="5">
        <v>57</v>
      </c>
      <c r="X137" s="5">
        <v>76</v>
      </c>
      <c r="Y137" s="5">
        <v>73.45</v>
      </c>
      <c r="Z137" s="5">
        <v>73.45</v>
      </c>
      <c r="AA137" s="5">
        <v>62.83</v>
      </c>
      <c r="AB137" s="5">
        <v>84.96</v>
      </c>
      <c r="AC137" s="6">
        <v>0.4</v>
      </c>
      <c r="AD137" s="6">
        <v>0.35</v>
      </c>
      <c r="AE137" s="6">
        <v>0.25</v>
      </c>
      <c r="AF137" s="4" t="s">
        <v>46</v>
      </c>
      <c r="AG137" s="4" t="s">
        <v>6296</v>
      </c>
      <c r="AH137" s="4" t="s">
        <v>6296</v>
      </c>
      <c r="AI137" s="4" t="s">
        <v>6296</v>
      </c>
      <c r="AJ137" s="4" t="s">
        <v>6296</v>
      </c>
      <c r="AK137" s="4" t="s">
        <v>37</v>
      </c>
      <c r="AL137" s="4" t="s">
        <v>6296</v>
      </c>
      <c r="AM137" s="4" t="s">
        <v>42</v>
      </c>
      <c r="AN137" s="4" t="s">
        <v>6296</v>
      </c>
      <c r="AO137" s="4" t="s">
        <v>6296</v>
      </c>
      <c r="AP137" s="4" t="s">
        <v>4274</v>
      </c>
      <c r="AQ137" s="4" t="s">
        <v>47</v>
      </c>
    </row>
    <row r="138" spans="1:43" ht="12.6" customHeight="1" x14ac:dyDescent="0.25">
      <c r="A138" s="8" t="s">
        <v>4869</v>
      </c>
      <c r="B138" s="9">
        <v>20151231</v>
      </c>
      <c r="C138" s="12">
        <f>_xll.FDS("SPX","FG_PRICE(12/30/2015)")</f>
        <v>2063.36</v>
      </c>
      <c r="D138" s="12">
        <f>_xll.FDS("SPX","FG_PRICE(12/30/2017)")</f>
        <v>2673.61</v>
      </c>
      <c r="E138" s="15">
        <f>D138/C138-1</f>
        <v>0.2957554668114144</v>
      </c>
      <c r="F138" s="8" t="s">
        <v>4870</v>
      </c>
      <c r="G138" s="8" t="s">
        <v>4871</v>
      </c>
      <c r="H138" s="13">
        <f>_xll.FDS(G138,"FG_PRICE(12/30/2015)")</f>
        <v>30.4</v>
      </c>
      <c r="I138" s="13">
        <f>_xll.FDS(G138,"FG_PRICE(12/31/2017)")</f>
        <v>37.15</v>
      </c>
      <c r="J138" s="13">
        <f>I138/H138-1</f>
        <v>0.22203947368421062</v>
      </c>
      <c r="K138" s="13">
        <f>J138-E138</f>
        <v>-7.3715993127203783E-2</v>
      </c>
      <c r="L138" s="13">
        <f>_xll.FDS(G138,"FF_ROE(ANN_R,12/30/2015)")</f>
        <v>-5.5358478727768539</v>
      </c>
      <c r="M138" s="8" t="s">
        <v>4872</v>
      </c>
      <c r="N138" s="4" t="s">
        <v>4872</v>
      </c>
      <c r="O138" s="4" t="s">
        <v>4873</v>
      </c>
      <c r="P138" s="4" t="s">
        <v>96</v>
      </c>
      <c r="Q138" s="4" t="s">
        <v>54</v>
      </c>
      <c r="R138" s="4" t="s">
        <v>61</v>
      </c>
      <c r="S138" s="4" t="s">
        <v>62</v>
      </c>
      <c r="T138" s="6" t="e">
        <v>#N/A</v>
      </c>
      <c r="U138" s="5">
        <v>59</v>
      </c>
      <c r="V138" s="5">
        <v>56</v>
      </c>
      <c r="W138" s="5">
        <v>51</v>
      </c>
      <c r="X138" s="5">
        <v>74</v>
      </c>
      <c r="Y138" s="5">
        <v>46.67</v>
      </c>
      <c r="Z138" s="5">
        <v>60.95</v>
      </c>
      <c r="AA138" s="5">
        <v>25.71</v>
      </c>
      <c r="AB138" s="5">
        <v>74.290000000000006</v>
      </c>
      <c r="AC138" s="6">
        <v>0.3</v>
      </c>
      <c r="AD138" s="6">
        <v>0.4</v>
      </c>
      <c r="AE138" s="6">
        <v>0.3</v>
      </c>
      <c r="AF138" s="4" t="s">
        <v>6296</v>
      </c>
      <c r="AG138" s="4" t="s">
        <v>6296</v>
      </c>
      <c r="AH138" s="4" t="s">
        <v>6296</v>
      </c>
      <c r="AI138" s="4" t="s">
        <v>37</v>
      </c>
      <c r="AJ138" s="4" t="s">
        <v>6296</v>
      </c>
      <c r="AK138" s="4" t="s">
        <v>42</v>
      </c>
      <c r="AL138" s="4" t="s">
        <v>6296</v>
      </c>
      <c r="AM138" s="4" t="s">
        <v>6296</v>
      </c>
      <c r="AN138" s="4" t="s">
        <v>42</v>
      </c>
      <c r="AO138" s="4" t="s">
        <v>6296</v>
      </c>
      <c r="AP138" s="4" t="s">
        <v>4874</v>
      </c>
      <c r="AQ138" s="4" t="s">
        <v>47</v>
      </c>
    </row>
    <row r="139" spans="1:43" ht="12.6" customHeight="1" x14ac:dyDescent="0.25">
      <c r="A139" s="8" t="s">
        <v>6455</v>
      </c>
      <c r="B139" s="9">
        <v>20151231</v>
      </c>
      <c r="C139" s="12">
        <f>_xll.FDS("SPX","FG_PRICE(12/30/2015)")</f>
        <v>2063.36</v>
      </c>
      <c r="D139" s="12">
        <f>_xll.FDS("SPX","FG_PRICE(12/30/2017)")</f>
        <v>2673.61</v>
      </c>
      <c r="E139" s="15">
        <f>D139/C139-1</f>
        <v>0.2957554668114144</v>
      </c>
      <c r="F139" s="8" t="s">
        <v>6456</v>
      </c>
      <c r="G139" s="8" t="s">
        <v>6457</v>
      </c>
      <c r="H139" s="13">
        <f>_xll.FDS(G139,"FG_PRICE(12/30/2015)")</f>
        <v>6.3E-2</v>
      </c>
      <c r="I139" s="13">
        <f>_xll.FDS(G139,"FG_PRICE(12/31/2017)")</f>
        <v>0.01</v>
      </c>
      <c r="J139" s="13">
        <f>I139/H139-1</f>
        <v>-0.84126984126984128</v>
      </c>
      <c r="K139" s="13">
        <f>J139-E139</f>
        <v>-1.1370253080812556</v>
      </c>
      <c r="L139" s="13">
        <f>_xll.FDS(G139,"FF_ROE(ANN_R,12/30/2015)")</f>
        <v>-130.70307448083011</v>
      </c>
      <c r="M139" s="8" t="s">
        <v>6458</v>
      </c>
      <c r="N139" s="4" t="s">
        <v>6458</v>
      </c>
      <c r="O139" s="4" t="s">
        <v>6459</v>
      </c>
      <c r="P139" s="4" t="s">
        <v>4516</v>
      </c>
      <c r="Q139" s="4" t="s">
        <v>54</v>
      </c>
      <c r="R139" s="4" t="s">
        <v>61</v>
      </c>
      <c r="S139" s="4" t="s">
        <v>62</v>
      </c>
      <c r="T139" s="6" t="e">
        <v>#N/A</v>
      </c>
      <c r="U139" s="5">
        <v>61</v>
      </c>
      <c r="V139" s="5">
        <v>48</v>
      </c>
      <c r="W139" s="5">
        <v>61</v>
      </c>
      <c r="X139" s="5">
        <v>74</v>
      </c>
      <c r="Y139" s="5">
        <v>60.95</v>
      </c>
      <c r="Z139" s="5">
        <v>33.33</v>
      </c>
      <c r="AA139" s="5">
        <v>62.86</v>
      </c>
      <c r="AB139" s="5">
        <v>74.290000000000006</v>
      </c>
      <c r="AC139" s="6">
        <v>0.3</v>
      </c>
      <c r="AD139" s="6">
        <v>0.4</v>
      </c>
      <c r="AE139" s="6">
        <v>0.3</v>
      </c>
      <c r="AF139" s="4" t="s">
        <v>6296</v>
      </c>
      <c r="AG139" s="4" t="s">
        <v>6296</v>
      </c>
      <c r="AH139" s="4" t="s">
        <v>6296</v>
      </c>
      <c r="AI139" s="4" t="s">
        <v>6296</v>
      </c>
      <c r="AJ139" s="4" t="s">
        <v>6296</v>
      </c>
      <c r="AK139" s="4" t="s">
        <v>6296</v>
      </c>
      <c r="AL139" s="4" t="s">
        <v>6296</v>
      </c>
      <c r="AM139" s="4" t="s">
        <v>6296</v>
      </c>
      <c r="AN139" s="4" t="s">
        <v>6296</v>
      </c>
      <c r="AO139" s="4" t="s">
        <v>6296</v>
      </c>
      <c r="AP139" s="4" t="s">
        <v>6460</v>
      </c>
      <c r="AQ139" s="4" t="s">
        <v>47</v>
      </c>
    </row>
    <row r="140" spans="1:43" ht="12.6" customHeight="1" x14ac:dyDescent="0.25">
      <c r="A140" s="8" t="s">
        <v>2212</v>
      </c>
      <c r="B140" s="9">
        <v>20151231</v>
      </c>
      <c r="C140" s="12">
        <f>_xll.FDS("SPX","FG_PRICE(12/30/2015)")</f>
        <v>2063.36</v>
      </c>
      <c r="D140" s="12">
        <f>_xll.FDS("SPX","FG_PRICE(12/30/2017)")</f>
        <v>2673.61</v>
      </c>
      <c r="E140" s="15">
        <f>D140/C140-1</f>
        <v>0.2957554668114144</v>
      </c>
      <c r="F140" s="8" t="s">
        <v>2213</v>
      </c>
      <c r="G140" s="8" t="s">
        <v>2214</v>
      </c>
      <c r="H140" s="13">
        <f>_xll.FDS(G140,"FG_PRICE(12/30/2015)")</f>
        <v>48.37</v>
      </c>
      <c r="I140" s="13">
        <f>_xll.FDS(G140,"FG_PRICE(12/31/2017)")</f>
        <v>81.75</v>
      </c>
      <c r="J140" s="13">
        <f>I140/H140-1</f>
        <v>0.69009716766590867</v>
      </c>
      <c r="K140" s="13">
        <f>J140-E140</f>
        <v>0.39434170085449427</v>
      </c>
      <c r="L140" s="13">
        <f>_xll.FDS(G140,"FF_ROE(ANN_R,12/30/2015)")</f>
        <v>12.0289576508581</v>
      </c>
      <c r="M140" s="8" t="s">
        <v>2215</v>
      </c>
      <c r="N140" s="4" t="s">
        <v>2216</v>
      </c>
      <c r="O140" s="4" t="s">
        <v>2217</v>
      </c>
      <c r="P140" s="4" t="s">
        <v>96</v>
      </c>
      <c r="Q140" s="4" t="s">
        <v>54</v>
      </c>
      <c r="R140" s="4" t="s">
        <v>61</v>
      </c>
      <c r="S140" s="4" t="s">
        <v>62</v>
      </c>
      <c r="T140" s="6" t="e">
        <v>#N/A</v>
      </c>
      <c r="U140" s="5">
        <v>56</v>
      </c>
      <c r="V140" s="5">
        <v>40</v>
      </c>
      <c r="W140" s="5">
        <v>52</v>
      </c>
      <c r="X140" s="5">
        <v>76</v>
      </c>
      <c r="Y140" s="5">
        <v>37.14</v>
      </c>
      <c r="Z140" s="6">
        <v>9.52</v>
      </c>
      <c r="AA140" s="5">
        <v>30.48</v>
      </c>
      <c r="AB140" s="5">
        <v>80</v>
      </c>
      <c r="AC140" s="6">
        <v>0.3</v>
      </c>
      <c r="AD140" s="6">
        <v>0.4</v>
      </c>
      <c r="AE140" s="6">
        <v>0.3</v>
      </c>
      <c r="AF140" s="4" t="s">
        <v>6296</v>
      </c>
      <c r="AG140" s="4" t="s">
        <v>6296</v>
      </c>
      <c r="AH140" s="4" t="s">
        <v>6296</v>
      </c>
      <c r="AI140" s="4" t="s">
        <v>6296</v>
      </c>
      <c r="AJ140" s="4" t="s">
        <v>6296</v>
      </c>
      <c r="AK140" s="4" t="s">
        <v>6296</v>
      </c>
      <c r="AL140" s="4" t="s">
        <v>6296</v>
      </c>
      <c r="AM140" s="4" t="s">
        <v>6296</v>
      </c>
      <c r="AN140" s="4" t="s">
        <v>6296</v>
      </c>
      <c r="AO140" s="4" t="s">
        <v>6296</v>
      </c>
      <c r="AP140" s="4" t="s">
        <v>2218</v>
      </c>
      <c r="AQ140" s="4" t="s">
        <v>47</v>
      </c>
    </row>
    <row r="141" spans="1:43" ht="12.6" customHeight="1" x14ac:dyDescent="0.25">
      <c r="A141" s="8" t="s">
        <v>3193</v>
      </c>
      <c r="B141" s="9">
        <v>20151231</v>
      </c>
      <c r="C141" s="12">
        <f>_xll.FDS("SPX","FG_PRICE(12/30/2015)")</f>
        <v>2063.36</v>
      </c>
      <c r="D141" s="12">
        <f>_xll.FDS("SPX","FG_PRICE(12/30/2017)")</f>
        <v>2673.61</v>
      </c>
      <c r="E141" s="15">
        <f>D141/C141-1</f>
        <v>0.2957554668114144</v>
      </c>
      <c r="F141" s="8" t="s">
        <v>3194</v>
      </c>
      <c r="G141" s="8" t="s">
        <v>3195</v>
      </c>
      <c r="H141" s="13">
        <f>_xll.FDS(G141,"FG_PRICE(12/30/2015)")</f>
        <v>47.77</v>
      </c>
      <c r="I141" s="13">
        <f>_xll.FDS(G141,"FG_PRICE(12/31/2017)")</f>
        <v>51.65</v>
      </c>
      <c r="J141" s="13">
        <f>I141/H141-1</f>
        <v>8.1222524597027279E-2</v>
      </c>
      <c r="K141" s="13">
        <f>J141-E141</f>
        <v>-0.21453294221438712</v>
      </c>
      <c r="L141" s="13">
        <f>_xll.FDS(G141,"FF_ROE(ANN_R,12/30/2015)")</f>
        <v>20.83502600082879</v>
      </c>
      <c r="M141" s="8" t="s">
        <v>3196</v>
      </c>
      <c r="N141" s="4" t="s">
        <v>3196</v>
      </c>
      <c r="O141" s="4" t="s">
        <v>3197</v>
      </c>
      <c r="P141" s="4" t="s">
        <v>96</v>
      </c>
      <c r="Q141" s="4" t="s">
        <v>54</v>
      </c>
      <c r="R141" s="4" t="s">
        <v>61</v>
      </c>
      <c r="S141" s="4" t="s">
        <v>62</v>
      </c>
      <c r="T141" s="6" t="e">
        <v>#N/A</v>
      </c>
      <c r="U141" s="5">
        <v>61</v>
      </c>
      <c r="V141" s="5">
        <v>55</v>
      </c>
      <c r="W141" s="5">
        <v>54</v>
      </c>
      <c r="X141" s="5">
        <v>76</v>
      </c>
      <c r="Y141" s="5">
        <v>60.95</v>
      </c>
      <c r="Z141" s="5">
        <v>55.24</v>
      </c>
      <c r="AA141" s="5">
        <v>38.1</v>
      </c>
      <c r="AB141" s="5">
        <v>80</v>
      </c>
      <c r="AC141" s="6">
        <v>0.3</v>
      </c>
      <c r="AD141" s="6">
        <v>0.4</v>
      </c>
      <c r="AE141" s="6">
        <v>0.3</v>
      </c>
      <c r="AF141" s="4" t="s">
        <v>37</v>
      </c>
      <c r="AG141" s="4" t="s">
        <v>6296</v>
      </c>
      <c r="AH141" s="4" t="s">
        <v>6296</v>
      </c>
      <c r="AI141" s="4" t="s">
        <v>46</v>
      </c>
      <c r="AJ141" s="4" t="s">
        <v>6296</v>
      </c>
      <c r="AK141" s="4" t="s">
        <v>6296</v>
      </c>
      <c r="AL141" s="4" t="s">
        <v>6296</v>
      </c>
      <c r="AM141" s="4" t="s">
        <v>6296</v>
      </c>
      <c r="AN141" s="4" t="s">
        <v>6296</v>
      </c>
      <c r="AO141" s="4" t="s">
        <v>42</v>
      </c>
      <c r="AP141" s="4" t="s">
        <v>3198</v>
      </c>
      <c r="AQ141" s="4" t="s">
        <v>47</v>
      </c>
    </row>
    <row r="142" spans="1:43" ht="12.6" customHeight="1" x14ac:dyDescent="0.25">
      <c r="A142" s="8" t="s">
        <v>2174</v>
      </c>
      <c r="B142" s="9">
        <v>20151231</v>
      </c>
      <c r="C142" s="12">
        <f>_xll.FDS("SPX","FG_PRICE(12/30/2015)")</f>
        <v>2063.36</v>
      </c>
      <c r="D142" s="12">
        <f>_xll.FDS("SPX","FG_PRICE(12/30/2017)")</f>
        <v>2673.61</v>
      </c>
      <c r="E142" s="15">
        <f>D142/C142-1</f>
        <v>0.2957554668114144</v>
      </c>
      <c r="F142" s="8" t="s">
        <v>2175</v>
      </c>
      <c r="G142" s="8" t="s">
        <v>2176</v>
      </c>
      <c r="H142" s="13">
        <f>_xll.FDS(G142,"FG_PRICE(12/30/2015)")</f>
        <v>42.42</v>
      </c>
      <c r="I142" s="13">
        <f>_xll.FDS(G142,"FG_PRICE(12/31/2017)")</f>
        <v>65.959999999999994</v>
      </c>
      <c r="J142" s="13">
        <f>I142/H142-1</f>
        <v>0.55492692126355481</v>
      </c>
      <c r="K142" s="13">
        <f>J142-E142</f>
        <v>0.2591714544521404</v>
      </c>
      <c r="L142" s="13">
        <f>_xll.FDS(G142,"FF_ROE(ANN_R,12/30/2015)")</f>
        <v>6.9163565802990528</v>
      </c>
      <c r="M142" s="8" t="s">
        <v>2177</v>
      </c>
      <c r="N142" s="4" t="s">
        <v>2177</v>
      </c>
      <c r="O142" s="4" t="s">
        <v>2178</v>
      </c>
      <c r="P142" s="4" t="s">
        <v>96</v>
      </c>
      <c r="Q142" s="4" t="s">
        <v>54</v>
      </c>
      <c r="R142" s="4" t="s">
        <v>61</v>
      </c>
      <c r="S142" s="4" t="s">
        <v>62</v>
      </c>
      <c r="T142" s="6" t="e">
        <v>#N/A</v>
      </c>
      <c r="U142" s="5">
        <v>60</v>
      </c>
      <c r="V142" s="5">
        <v>51</v>
      </c>
      <c r="W142" s="5">
        <v>61</v>
      </c>
      <c r="X142" s="5">
        <v>68</v>
      </c>
      <c r="Y142" s="5">
        <v>52.38</v>
      </c>
      <c r="Z142" s="5">
        <v>44.76</v>
      </c>
      <c r="AA142" s="5">
        <v>62.86</v>
      </c>
      <c r="AB142" s="5">
        <v>53.33</v>
      </c>
      <c r="AC142" s="6">
        <v>0.3</v>
      </c>
      <c r="AD142" s="6">
        <v>0.4</v>
      </c>
      <c r="AE142" s="6">
        <v>0.3</v>
      </c>
      <c r="AF142" s="4" t="s">
        <v>6296</v>
      </c>
      <c r="AG142" s="4" t="s">
        <v>6296</v>
      </c>
      <c r="AH142" s="4" t="s">
        <v>6296</v>
      </c>
      <c r="AI142" s="4" t="s">
        <v>37</v>
      </c>
      <c r="AJ142" s="4" t="s">
        <v>42</v>
      </c>
      <c r="AK142" s="4" t="s">
        <v>42</v>
      </c>
      <c r="AL142" s="4" t="s">
        <v>6296</v>
      </c>
      <c r="AM142" s="4" t="s">
        <v>6296</v>
      </c>
      <c r="AN142" s="4" t="s">
        <v>6296</v>
      </c>
      <c r="AO142" s="4" t="s">
        <v>6296</v>
      </c>
      <c r="AP142" s="4" t="s">
        <v>2179</v>
      </c>
      <c r="AQ142" s="4" t="s">
        <v>47</v>
      </c>
    </row>
    <row r="143" spans="1:43" ht="12.6" customHeight="1" x14ac:dyDescent="0.25">
      <c r="A143" s="8" t="s">
        <v>4836</v>
      </c>
      <c r="B143" s="9">
        <v>20151231</v>
      </c>
      <c r="C143" s="12">
        <f>_xll.FDS("SPX","FG_PRICE(12/30/2015)")</f>
        <v>2063.36</v>
      </c>
      <c r="D143" s="12">
        <f>_xll.FDS("SPX","FG_PRICE(12/30/2017)")</f>
        <v>2673.61</v>
      </c>
      <c r="E143" s="15">
        <f>D143/C143-1</f>
        <v>0.2957554668114144</v>
      </c>
      <c r="F143" s="8" t="s">
        <v>4837</v>
      </c>
      <c r="G143" s="8" t="s">
        <v>4838</v>
      </c>
      <c r="H143" s="13">
        <f>_xll.FDS(G143,"FG_PRICE(12/30/2015)")</f>
        <v>16.97</v>
      </c>
      <c r="I143" s="13">
        <f>_xll.FDS(G143,"FG_PRICE(12/31/2017)")</f>
        <v>19.829999999999998</v>
      </c>
      <c r="J143" s="13">
        <f>I143/H143-1</f>
        <v>0.16853270477312909</v>
      </c>
      <c r="K143" s="13">
        <f>J143-E143</f>
        <v>-0.12722276203828531</v>
      </c>
      <c r="L143" s="13">
        <f>_xll.FDS(G143,"FF_ROE(ANN_R,12/30/2015)")</f>
        <v>-74.126284875183558</v>
      </c>
      <c r="M143" s="8" t="s">
        <v>4839</v>
      </c>
      <c r="N143" s="4" t="s">
        <v>4840</v>
      </c>
      <c r="O143" s="4" t="s">
        <v>4841</v>
      </c>
      <c r="P143" s="4" t="s">
        <v>96</v>
      </c>
      <c r="Q143" s="4" t="s">
        <v>54</v>
      </c>
      <c r="R143" s="4" t="s">
        <v>61</v>
      </c>
      <c r="S143" s="4" t="s">
        <v>62</v>
      </c>
      <c r="T143" s="6" t="e">
        <v>#N/A</v>
      </c>
      <c r="U143" s="5">
        <v>58</v>
      </c>
      <c r="V143" s="5">
        <v>53</v>
      </c>
      <c r="W143" s="5">
        <v>56</v>
      </c>
      <c r="X143" s="5">
        <v>67</v>
      </c>
      <c r="Y143" s="5">
        <v>43.81</v>
      </c>
      <c r="Z143" s="5">
        <v>49.52</v>
      </c>
      <c r="AA143" s="5">
        <v>41.9</v>
      </c>
      <c r="AB143" s="5">
        <v>47.62</v>
      </c>
      <c r="AC143" s="6">
        <v>0.3</v>
      </c>
      <c r="AD143" s="6">
        <v>0.4</v>
      </c>
      <c r="AE143" s="6">
        <v>0.3</v>
      </c>
      <c r="AF143" s="4" t="s">
        <v>6296</v>
      </c>
      <c r="AG143" s="4" t="s">
        <v>6296</v>
      </c>
      <c r="AH143" s="4" t="s">
        <v>6296</v>
      </c>
      <c r="AI143" s="4" t="s">
        <v>45</v>
      </c>
      <c r="AJ143" s="4" t="s">
        <v>37</v>
      </c>
      <c r="AK143" s="4" t="s">
        <v>37</v>
      </c>
      <c r="AL143" s="4" t="s">
        <v>6296</v>
      </c>
      <c r="AM143" s="4" t="s">
        <v>45</v>
      </c>
      <c r="AN143" s="4" t="s">
        <v>37</v>
      </c>
      <c r="AO143" s="4" t="s">
        <v>6296</v>
      </c>
      <c r="AP143" s="4" t="s">
        <v>4842</v>
      </c>
      <c r="AQ143" s="4" t="s">
        <v>47</v>
      </c>
    </row>
    <row r="144" spans="1:43" ht="12.6" customHeight="1" x14ac:dyDescent="0.25">
      <c r="A144" s="8" t="s">
        <v>827</v>
      </c>
      <c r="B144" s="9">
        <v>20151231</v>
      </c>
      <c r="C144" s="12">
        <f>_xll.FDS("SPX","FG_PRICE(12/30/2015)")</f>
        <v>2063.36</v>
      </c>
      <c r="D144" s="12">
        <f>_xll.FDS("SPX","FG_PRICE(12/30/2017)")</f>
        <v>2673.61</v>
      </c>
      <c r="E144" s="15">
        <f>D144/C144-1</f>
        <v>0.2957554668114144</v>
      </c>
      <c r="F144" s="8" t="s">
        <v>828</v>
      </c>
      <c r="G144" s="8" t="s">
        <v>829</v>
      </c>
      <c r="H144" s="13">
        <f>_xll.FDS(G144,"FG_PRICE(12/30/2015)")</f>
        <v>17.68</v>
      </c>
      <c r="I144" s="13">
        <f>_xll.FDS(G144,"FG_PRICE(12/31/2017)")</f>
        <v>48.95</v>
      </c>
      <c r="J144" s="13">
        <f>I144/H144-1</f>
        <v>1.7686651583710411</v>
      </c>
      <c r="K144" s="13">
        <f>J144-E144</f>
        <v>1.4729096915596267</v>
      </c>
      <c r="L144" s="13">
        <f>_xll.FDS(G144,"FF_ROE(ANN_R,12/30/2015)")</f>
        <v>11.33233013080218</v>
      </c>
      <c r="M144" s="8" t="s">
        <v>830</v>
      </c>
      <c r="N144" s="4" t="s">
        <v>831</v>
      </c>
      <c r="O144" s="4" t="s">
        <v>832</v>
      </c>
      <c r="P144" s="4" t="s">
        <v>96</v>
      </c>
      <c r="Q144" s="4" t="s">
        <v>54</v>
      </c>
      <c r="R144" s="4" t="s">
        <v>61</v>
      </c>
      <c r="S144" s="4" t="s">
        <v>62</v>
      </c>
      <c r="T144" s="6" t="e">
        <v>#N/A</v>
      </c>
      <c r="U144" s="5">
        <v>48</v>
      </c>
      <c r="V144" s="5">
        <v>41</v>
      </c>
      <c r="W144" s="5">
        <v>46</v>
      </c>
      <c r="X144" s="5">
        <v>57</v>
      </c>
      <c r="Y144" s="5">
        <v>13.33</v>
      </c>
      <c r="Z144" s="5">
        <v>12.38</v>
      </c>
      <c r="AA144" s="5">
        <v>13.33</v>
      </c>
      <c r="AB144" s="5">
        <v>23.81</v>
      </c>
      <c r="AC144" s="6">
        <v>0.3</v>
      </c>
      <c r="AD144" s="6">
        <v>0.4</v>
      </c>
      <c r="AE144" s="6">
        <v>0.3</v>
      </c>
      <c r="AF144" s="4" t="s">
        <v>6296</v>
      </c>
      <c r="AG144" s="4" t="s">
        <v>6296</v>
      </c>
      <c r="AH144" s="4" t="s">
        <v>6296</v>
      </c>
      <c r="AI144" s="4" t="s">
        <v>6296</v>
      </c>
      <c r="AJ144" s="4" t="s">
        <v>6296</v>
      </c>
      <c r="AK144" s="4" t="s">
        <v>6296</v>
      </c>
      <c r="AL144" s="4" t="s">
        <v>6296</v>
      </c>
      <c r="AM144" s="4" t="s">
        <v>6296</v>
      </c>
      <c r="AN144" s="4" t="s">
        <v>42</v>
      </c>
      <c r="AO144" s="4" t="s">
        <v>6296</v>
      </c>
      <c r="AP144" s="4" t="s">
        <v>833</v>
      </c>
      <c r="AQ144" s="4" t="s">
        <v>47</v>
      </c>
    </row>
    <row r="145" spans="1:43" ht="12.6" customHeight="1" x14ac:dyDescent="0.25">
      <c r="A145" s="8" t="s">
        <v>820</v>
      </c>
      <c r="B145" s="9">
        <v>20151231</v>
      </c>
      <c r="C145" s="12">
        <f>_xll.FDS("SPX","FG_PRICE(12/30/2015)")</f>
        <v>2063.36</v>
      </c>
      <c r="D145" s="12">
        <f>_xll.FDS("SPX","FG_PRICE(12/30/2017)")</f>
        <v>2673.61</v>
      </c>
      <c r="E145" s="15">
        <f>D145/C145-1</f>
        <v>0.2957554668114144</v>
      </c>
      <c r="F145" s="8" t="s">
        <v>821</v>
      </c>
      <c r="G145" s="8" t="s">
        <v>822</v>
      </c>
      <c r="H145" s="13">
        <f>_xll.FDS(G145,"FG_PRICE(12/30/2015)")</f>
        <v>20.52</v>
      </c>
      <c r="I145" s="13">
        <f>_xll.FDS(G145,"FG_PRICE(12/31/2017)")</f>
        <v>39.11</v>
      </c>
      <c r="J145" s="13">
        <f>I145/H145-1</f>
        <v>0.90594541910331383</v>
      </c>
      <c r="K145" s="13">
        <f>J145-E145</f>
        <v>0.61018995229189943</v>
      </c>
      <c r="L145" s="13">
        <f>_xll.FDS(G145,"FF_ROE(ANN_R,12/30/2015)")</f>
        <v>6.7974059116017864</v>
      </c>
      <c r="M145" s="8" t="s">
        <v>823</v>
      </c>
      <c r="N145" s="4" t="s">
        <v>824</v>
      </c>
      <c r="O145" s="4" t="s">
        <v>825</v>
      </c>
      <c r="P145" s="4" t="s">
        <v>96</v>
      </c>
      <c r="Q145" s="4" t="s">
        <v>54</v>
      </c>
      <c r="R145" s="4" t="s">
        <v>61</v>
      </c>
      <c r="S145" s="4" t="s">
        <v>62</v>
      </c>
      <c r="T145" s="6" t="e">
        <v>#N/A</v>
      </c>
      <c r="U145" s="5">
        <v>52</v>
      </c>
      <c r="V145" s="5">
        <v>42</v>
      </c>
      <c r="W145" s="5">
        <v>49</v>
      </c>
      <c r="X145" s="5">
        <v>65</v>
      </c>
      <c r="Y145" s="5">
        <v>23.81</v>
      </c>
      <c r="Z145" s="5">
        <v>15.24</v>
      </c>
      <c r="AA145" s="5">
        <v>19.05</v>
      </c>
      <c r="AB145" s="5">
        <v>44.76</v>
      </c>
      <c r="AC145" s="6">
        <v>0.3</v>
      </c>
      <c r="AD145" s="6">
        <v>0.4</v>
      </c>
      <c r="AE145" s="6">
        <v>0.3</v>
      </c>
      <c r="AF145" s="4" t="s">
        <v>6296</v>
      </c>
      <c r="AG145" s="4" t="s">
        <v>6296</v>
      </c>
      <c r="AH145" s="4" t="s">
        <v>6296</v>
      </c>
      <c r="AI145" s="4" t="s">
        <v>6296</v>
      </c>
      <c r="AJ145" s="4" t="s">
        <v>6296</v>
      </c>
      <c r="AK145" s="4" t="s">
        <v>6296</v>
      </c>
      <c r="AL145" s="4" t="s">
        <v>6296</v>
      </c>
      <c r="AM145" s="4" t="s">
        <v>6296</v>
      </c>
      <c r="AN145" s="4" t="s">
        <v>6296</v>
      </c>
      <c r="AO145" s="4" t="s">
        <v>6296</v>
      </c>
      <c r="AP145" s="4" t="s">
        <v>826</v>
      </c>
      <c r="AQ145" s="4" t="s">
        <v>47</v>
      </c>
    </row>
    <row r="146" spans="1:43" ht="12.6" customHeight="1" x14ac:dyDescent="0.25">
      <c r="A146" s="8" t="s">
        <v>973</v>
      </c>
      <c r="B146" s="9">
        <v>20151231</v>
      </c>
      <c r="C146" s="12">
        <f>_xll.FDS("SPX","FG_PRICE(12/30/2015)")</f>
        <v>2063.36</v>
      </c>
      <c r="D146" s="12">
        <f>_xll.FDS("SPX","FG_PRICE(12/30/2017)")</f>
        <v>2673.61</v>
      </c>
      <c r="E146" s="15">
        <f>D146/C146-1</f>
        <v>0.2957554668114144</v>
      </c>
      <c r="F146" s="8" t="s">
        <v>974</v>
      </c>
      <c r="G146" s="8" t="s">
        <v>975</v>
      </c>
      <c r="H146" s="13">
        <f>_xll.FDS(G146,"FG_PRICE(12/30/2015)")</f>
        <v>60.11</v>
      </c>
      <c r="I146" s="13">
        <f>_xll.FDS(G146,"FG_PRICE(12/31/2017)")</f>
        <v>113.3</v>
      </c>
      <c r="J146" s="13">
        <f>I146/H146-1</f>
        <v>0.88487772417235067</v>
      </c>
      <c r="K146" s="13">
        <f>J146-E146</f>
        <v>0.58912225736093626</v>
      </c>
      <c r="L146" s="13">
        <f>_xll.FDS(G146,"FF_ROE(ANN_R,12/30/2015)")</f>
        <v>20.28704320956825</v>
      </c>
      <c r="M146" s="8" t="s">
        <v>976</v>
      </c>
      <c r="N146" s="4" t="s">
        <v>976</v>
      </c>
      <c r="O146" s="4" t="s">
        <v>977</v>
      </c>
      <c r="P146" s="4" t="s">
        <v>96</v>
      </c>
      <c r="Q146" s="4" t="s">
        <v>73</v>
      </c>
      <c r="R146" s="4" t="s">
        <v>61</v>
      </c>
      <c r="S146" s="4" t="s">
        <v>62</v>
      </c>
      <c r="T146" s="6" t="e">
        <v>#N/A</v>
      </c>
      <c r="U146" s="5">
        <v>50</v>
      </c>
      <c r="V146" s="5">
        <v>43</v>
      </c>
      <c r="W146" s="5">
        <v>48</v>
      </c>
      <c r="X146" s="5">
        <v>64</v>
      </c>
      <c r="Y146" s="5">
        <v>16</v>
      </c>
      <c r="Z146" s="6">
        <v>8</v>
      </c>
      <c r="AA146" s="5">
        <v>10</v>
      </c>
      <c r="AB146" s="5">
        <v>42</v>
      </c>
      <c r="AC146" s="6">
        <v>0.4</v>
      </c>
      <c r="AD146" s="6">
        <v>0.35</v>
      </c>
      <c r="AE146" s="6">
        <v>0.25</v>
      </c>
      <c r="AF146" s="4" t="s">
        <v>6296</v>
      </c>
      <c r="AG146" s="4" t="s">
        <v>6296</v>
      </c>
      <c r="AH146" s="4" t="s">
        <v>6296</v>
      </c>
      <c r="AI146" s="4" t="s">
        <v>6296</v>
      </c>
      <c r="AJ146" s="4" t="s">
        <v>6296</v>
      </c>
      <c r="AK146" s="4" t="s">
        <v>42</v>
      </c>
      <c r="AL146" s="4" t="s">
        <v>6296</v>
      </c>
      <c r="AM146" s="4" t="s">
        <v>6296</v>
      </c>
      <c r="AN146" s="4" t="s">
        <v>6296</v>
      </c>
      <c r="AO146" s="4" t="s">
        <v>6296</v>
      </c>
      <c r="AP146" s="4" t="s">
        <v>978</v>
      </c>
      <c r="AQ146" s="4" t="s">
        <v>47</v>
      </c>
    </row>
    <row r="147" spans="1:43" ht="12.6" customHeight="1" x14ac:dyDescent="0.25">
      <c r="A147" s="8" t="s">
        <v>2630</v>
      </c>
      <c r="B147" s="9">
        <v>20151231</v>
      </c>
      <c r="C147" s="12">
        <f>_xll.FDS("SPX","FG_PRICE(12/30/2015)")</f>
        <v>2063.36</v>
      </c>
      <c r="D147" s="12">
        <f>_xll.FDS("SPX","FG_PRICE(12/30/2017)")</f>
        <v>2673.61</v>
      </c>
      <c r="E147" s="15">
        <f>D147/C147-1</f>
        <v>0.2957554668114144</v>
      </c>
      <c r="F147" s="8" t="s">
        <v>2631</v>
      </c>
      <c r="G147" s="8" t="s">
        <v>2632</v>
      </c>
      <c r="H147" s="13">
        <f>_xll.FDS(G147,"FG_PRICE(12/30/2015)")</f>
        <v>137.29</v>
      </c>
      <c r="I147" s="13">
        <f>_xll.FDS(G147,"FG_PRICE(12/31/2017)")</f>
        <v>221.04</v>
      </c>
      <c r="J147" s="13">
        <f>I147/H147-1</f>
        <v>0.61002257994027254</v>
      </c>
      <c r="K147" s="13">
        <f>J147-E147</f>
        <v>0.31426711312885813</v>
      </c>
      <c r="L147" s="13">
        <f>_xll.FDS(G147,"FF_ROE(ANN_R,12/30/2015)")</f>
        <v>5.2637075327858884</v>
      </c>
      <c r="M147" s="8" t="s">
        <v>2633</v>
      </c>
      <c r="N147" s="4" t="s">
        <v>2634</v>
      </c>
      <c r="O147" s="4" t="s">
        <v>2635</v>
      </c>
      <c r="P147" s="4" t="s">
        <v>96</v>
      </c>
      <c r="Q147" s="4" t="s">
        <v>73</v>
      </c>
      <c r="R147" s="4" t="s">
        <v>61</v>
      </c>
      <c r="S147" s="4" t="s">
        <v>62</v>
      </c>
      <c r="T147" s="6" t="e">
        <v>#N/A</v>
      </c>
      <c r="U147" s="5">
        <v>51</v>
      </c>
      <c r="V147" s="5">
        <v>45</v>
      </c>
      <c r="W147" s="5">
        <v>50</v>
      </c>
      <c r="X147" s="5">
        <v>61</v>
      </c>
      <c r="Y147" s="5">
        <v>18</v>
      </c>
      <c r="Z147" s="5">
        <v>16</v>
      </c>
      <c r="AA147" s="5">
        <v>18</v>
      </c>
      <c r="AB147" s="5">
        <v>30</v>
      </c>
      <c r="AC147" s="6">
        <v>0.4</v>
      </c>
      <c r="AD147" s="6">
        <v>0.35</v>
      </c>
      <c r="AE147" s="6">
        <v>0.25</v>
      </c>
      <c r="AF147" s="4" t="s">
        <v>6296</v>
      </c>
      <c r="AG147" s="4" t="s">
        <v>6296</v>
      </c>
      <c r="AH147" s="4" t="s">
        <v>6296</v>
      </c>
      <c r="AI147" s="4" t="s">
        <v>6296</v>
      </c>
      <c r="AJ147" s="4" t="s">
        <v>6296</v>
      </c>
      <c r="AK147" s="4" t="s">
        <v>6296</v>
      </c>
      <c r="AL147" s="4" t="s">
        <v>6296</v>
      </c>
      <c r="AM147" s="4" t="s">
        <v>42</v>
      </c>
      <c r="AN147" s="4" t="s">
        <v>37</v>
      </c>
      <c r="AO147" s="4" t="s">
        <v>6296</v>
      </c>
      <c r="AP147" s="4" t="s">
        <v>2636</v>
      </c>
      <c r="AQ147" s="4" t="s">
        <v>47</v>
      </c>
    </row>
    <row r="148" spans="1:43" ht="12.6" customHeight="1" x14ac:dyDescent="0.25">
      <c r="A148" s="8" t="s">
        <v>4231</v>
      </c>
      <c r="B148" s="9">
        <v>20151231</v>
      </c>
      <c r="C148" s="12">
        <f>_xll.FDS("SPX","FG_PRICE(12/30/2015)")</f>
        <v>2063.36</v>
      </c>
      <c r="D148" s="12">
        <f>_xll.FDS("SPX","FG_PRICE(12/30/2017)")</f>
        <v>2673.61</v>
      </c>
      <c r="E148" s="15">
        <f>D148/C148-1</f>
        <v>0.2957554668114144</v>
      </c>
      <c r="F148" s="8" t="s">
        <v>4232</v>
      </c>
      <c r="G148" s="8" t="s">
        <v>4233</v>
      </c>
      <c r="H148" s="13">
        <f>_xll.FDS(G148,"FG_PRICE(12/30/2015)")</f>
        <v>95.59</v>
      </c>
      <c r="I148" s="13">
        <f>_xll.FDS(G148,"FG_PRICE(12/31/2017)")</f>
        <v>128.37</v>
      </c>
      <c r="J148" s="13">
        <f>I148/H148-1</f>
        <v>0.34292289988492519</v>
      </c>
      <c r="K148" s="13">
        <f>J148-E148</f>
        <v>4.7167433073510789E-2</v>
      </c>
      <c r="L148" s="13">
        <f>_xll.FDS(G148,"FF_ROE(ANN_R,12/30/2015)")</f>
        <v>5.105384540971718</v>
      </c>
      <c r="M148" s="8" t="s">
        <v>4234</v>
      </c>
      <c r="N148" s="4" t="s">
        <v>4234</v>
      </c>
      <c r="O148" s="4" t="s">
        <v>4235</v>
      </c>
      <c r="P148" s="4" t="s">
        <v>96</v>
      </c>
      <c r="Q148" s="4" t="s">
        <v>73</v>
      </c>
      <c r="R148" s="4" t="s">
        <v>61</v>
      </c>
      <c r="S148" s="4" t="s">
        <v>62</v>
      </c>
      <c r="T148" s="6" t="e">
        <v>#N/A</v>
      </c>
      <c r="U148" s="5">
        <v>55</v>
      </c>
      <c r="V148" s="5">
        <v>43</v>
      </c>
      <c r="W148" s="5">
        <v>54</v>
      </c>
      <c r="X148" s="5">
        <v>75</v>
      </c>
      <c r="Y148" s="5">
        <v>40</v>
      </c>
      <c r="Z148" s="6">
        <v>8</v>
      </c>
      <c r="AA148" s="5">
        <v>40</v>
      </c>
      <c r="AB148" s="5">
        <v>74</v>
      </c>
      <c r="AC148" s="6">
        <v>0.4</v>
      </c>
      <c r="AD148" s="6">
        <v>0.35</v>
      </c>
      <c r="AE148" s="6">
        <v>0.25</v>
      </c>
      <c r="AF148" s="4" t="s">
        <v>6296</v>
      </c>
      <c r="AG148" s="4" t="s">
        <v>6296</v>
      </c>
      <c r="AH148" s="4" t="s">
        <v>6296</v>
      </c>
      <c r="AI148" s="4" t="s">
        <v>42</v>
      </c>
      <c r="AJ148" s="4" t="s">
        <v>6296</v>
      </c>
      <c r="AK148" s="4" t="s">
        <v>6296</v>
      </c>
      <c r="AL148" s="4" t="s">
        <v>6296</v>
      </c>
      <c r="AM148" s="4" t="s">
        <v>6296</v>
      </c>
      <c r="AN148" s="4" t="s">
        <v>6296</v>
      </c>
      <c r="AO148" s="4" t="s">
        <v>6296</v>
      </c>
      <c r="AP148" s="4" t="s">
        <v>4236</v>
      </c>
      <c r="AQ148" s="4" t="s">
        <v>47</v>
      </c>
    </row>
    <row r="149" spans="1:43" ht="12.6" customHeight="1" x14ac:dyDescent="0.25">
      <c r="A149" s="8" t="s">
        <v>1856</v>
      </c>
      <c r="B149" s="9">
        <v>20151231</v>
      </c>
      <c r="C149" s="12">
        <f>_xll.FDS("SPX","FG_PRICE(12/30/2015)")</f>
        <v>2063.36</v>
      </c>
      <c r="D149" s="12">
        <f>_xll.FDS("SPX","FG_PRICE(12/30/2017)")</f>
        <v>2673.61</v>
      </c>
      <c r="E149" s="15">
        <f>D149/C149-1</f>
        <v>0.2957554668114144</v>
      </c>
      <c r="F149" s="8" t="s">
        <v>1857</v>
      </c>
      <c r="G149" s="8" t="s">
        <v>1858</v>
      </c>
      <c r="H149" s="13">
        <f>_xll.FDS(G149,"FG_PRICE(12/30/2015)")</f>
        <v>94.77</v>
      </c>
      <c r="I149" s="13" t="e">
        <f>_xll.FDS(G149,"FG_PRICE(12/31/2017)")</f>
        <v>#N/A</v>
      </c>
      <c r="J149" s="13" t="e">
        <f>I149/H149-1</f>
        <v>#N/A</v>
      </c>
      <c r="K149" s="13" t="e">
        <f>J149-E149</f>
        <v>#N/A</v>
      </c>
      <c r="L149" s="13">
        <f>_xll.FDS(G149,"FF_ROE(ANN_R,12/30/2015)")</f>
        <v>16.446570363585451</v>
      </c>
      <c r="M149" s="8" t="s">
        <v>1859</v>
      </c>
      <c r="N149" s="4" t="s">
        <v>1860</v>
      </c>
      <c r="O149" s="4" t="s">
        <v>47</v>
      </c>
      <c r="P149" s="4" t="s">
        <v>96</v>
      </c>
      <c r="Q149" s="4" t="s">
        <v>59</v>
      </c>
      <c r="R149" s="4" t="s">
        <v>61</v>
      </c>
      <c r="S149" s="4" t="s">
        <v>62</v>
      </c>
      <c r="T149" s="6" t="e">
        <v>#N/A</v>
      </c>
      <c r="U149" s="5">
        <v>61</v>
      </c>
      <c r="V149" s="5">
        <v>54</v>
      </c>
      <c r="W149" s="5">
        <v>60</v>
      </c>
      <c r="X149" s="5">
        <v>71</v>
      </c>
      <c r="Y149" s="5">
        <v>53.19</v>
      </c>
      <c r="Z149" s="5">
        <v>46.81</v>
      </c>
      <c r="AA149" s="5">
        <v>51.06</v>
      </c>
      <c r="AB149" s="5">
        <v>76.599999999999994</v>
      </c>
      <c r="AC149" s="6">
        <v>0.35</v>
      </c>
      <c r="AD149" s="6">
        <v>0.4</v>
      </c>
      <c r="AE149" s="6">
        <v>0.25</v>
      </c>
      <c r="AF149" s="4" t="s">
        <v>6296</v>
      </c>
      <c r="AG149" s="4" t="s">
        <v>6296</v>
      </c>
      <c r="AH149" s="4" t="s">
        <v>6296</v>
      </c>
      <c r="AI149" s="4" t="s">
        <v>6296</v>
      </c>
      <c r="AJ149" s="4" t="s">
        <v>6296</v>
      </c>
      <c r="AK149" s="4" t="s">
        <v>6296</v>
      </c>
      <c r="AL149" s="4" t="s">
        <v>6296</v>
      </c>
      <c r="AM149" s="4" t="s">
        <v>6296</v>
      </c>
      <c r="AN149" s="4" t="s">
        <v>6296</v>
      </c>
      <c r="AO149" s="4" t="s">
        <v>6296</v>
      </c>
      <c r="AP149" s="4" t="s">
        <v>1861</v>
      </c>
      <c r="AQ149" s="4" t="s">
        <v>47</v>
      </c>
    </row>
    <row r="150" spans="1:43" ht="12.6" customHeight="1" x14ac:dyDescent="0.25">
      <c r="A150" s="8" t="s">
        <v>1888</v>
      </c>
      <c r="B150" s="9">
        <v>20151231</v>
      </c>
      <c r="C150" s="12">
        <f>_xll.FDS("SPX","FG_PRICE(12/30/2015)")</f>
        <v>2063.36</v>
      </c>
      <c r="D150" s="12">
        <f>_xll.FDS("SPX","FG_PRICE(12/30/2017)")</f>
        <v>2673.61</v>
      </c>
      <c r="E150" s="15">
        <f>D150/C150-1</f>
        <v>0.2957554668114144</v>
      </c>
      <c r="F150" s="8" t="s">
        <v>1889</v>
      </c>
      <c r="G150" s="8" t="s">
        <v>1890</v>
      </c>
      <c r="H150" s="13">
        <f>_xll.FDS(G150,"FG_PRICE(12/30/2015)")</f>
        <v>67.5</v>
      </c>
      <c r="I150" s="13">
        <f>_xll.FDS(G150,"FG_PRICE(12/31/2017)")</f>
        <v>90.89</v>
      </c>
      <c r="J150" s="13">
        <f>I150/H150-1</f>
        <v>0.34651851851851845</v>
      </c>
      <c r="K150" s="13">
        <f>J150-E150</f>
        <v>5.0763051707104045E-2</v>
      </c>
      <c r="L150" s="13">
        <f>_xll.FDS(G150,"FF_ROE(ANN_R,12/30/2015)")</f>
        <v>26.424973006730919</v>
      </c>
      <c r="M150" s="8" t="s">
        <v>1891</v>
      </c>
      <c r="N150" s="4" t="s">
        <v>1892</v>
      </c>
      <c r="O150" s="4" t="s">
        <v>82</v>
      </c>
      <c r="P150" s="4" t="s">
        <v>106</v>
      </c>
      <c r="Q150" s="4" t="s">
        <v>59</v>
      </c>
      <c r="R150" s="4" t="s">
        <v>61</v>
      </c>
      <c r="S150" s="4" t="s">
        <v>62</v>
      </c>
      <c r="T150" s="6" t="e">
        <v>#N/A</v>
      </c>
      <c r="U150" s="5">
        <v>71</v>
      </c>
      <c r="V150" s="5">
        <v>71</v>
      </c>
      <c r="W150" s="5">
        <v>74</v>
      </c>
      <c r="X150" s="5">
        <v>65</v>
      </c>
      <c r="Y150" s="5">
        <v>78.72</v>
      </c>
      <c r="Z150" s="5">
        <v>72.34</v>
      </c>
      <c r="AA150" s="5">
        <v>89.36</v>
      </c>
      <c r="AB150" s="5">
        <v>44.68</v>
      </c>
      <c r="AC150" s="6">
        <v>0.35</v>
      </c>
      <c r="AD150" s="6">
        <v>0.4</v>
      </c>
      <c r="AE150" s="6">
        <v>0.25</v>
      </c>
      <c r="AF150" s="4" t="s">
        <v>6296</v>
      </c>
      <c r="AG150" s="4" t="s">
        <v>6296</v>
      </c>
      <c r="AH150" s="4" t="s">
        <v>6296</v>
      </c>
      <c r="AI150" s="4" t="s">
        <v>6296</v>
      </c>
      <c r="AJ150" s="4" t="s">
        <v>42</v>
      </c>
      <c r="AK150" s="4" t="s">
        <v>6296</v>
      </c>
      <c r="AL150" s="4" t="s">
        <v>6296</v>
      </c>
      <c r="AM150" s="4" t="s">
        <v>37</v>
      </c>
      <c r="AN150" s="4" t="s">
        <v>6296</v>
      </c>
      <c r="AO150" s="4" t="s">
        <v>6296</v>
      </c>
      <c r="AP150" s="4" t="s">
        <v>1893</v>
      </c>
      <c r="AQ150" s="4" t="s">
        <v>47</v>
      </c>
    </row>
    <row r="151" spans="1:43" ht="12.6" customHeight="1" x14ac:dyDescent="0.25">
      <c r="A151" s="8" t="s">
        <v>6304</v>
      </c>
      <c r="B151" s="9">
        <v>20151231</v>
      </c>
      <c r="C151" s="12">
        <f>_xll.FDS("SPX","FG_PRICE(12/30/2015)")</f>
        <v>2063.36</v>
      </c>
      <c r="D151" s="12">
        <f>_xll.FDS("SPX","FG_PRICE(12/30/2017)")</f>
        <v>2673.61</v>
      </c>
      <c r="E151" s="15">
        <f>D151/C151-1</f>
        <v>0.2957554668114144</v>
      </c>
      <c r="F151" s="8" t="s">
        <v>6305</v>
      </c>
      <c r="G151" s="8" t="s">
        <v>6306</v>
      </c>
      <c r="H151" s="13">
        <f>_xll.FDS(G151,"FG_PRICE(12/30/2015)")</f>
        <v>56.74</v>
      </c>
      <c r="I151" s="13" t="e">
        <f>_xll.FDS(G151,"FG_PRICE(12/31/2017)")</f>
        <v>#N/A</v>
      </c>
      <c r="J151" s="13" t="e">
        <f>I151/H151-1</f>
        <v>#N/A</v>
      </c>
      <c r="K151" s="13" t="e">
        <f>J151-E151</f>
        <v>#N/A</v>
      </c>
      <c r="L151" s="13">
        <f>_xll.FDS(G151,"FF_ROE(ANN_R,12/30/2015)")</f>
        <v>9.4010467144795502</v>
      </c>
      <c r="M151" s="8" t="s">
        <v>6307</v>
      </c>
      <c r="N151" s="4" t="s">
        <v>5138</v>
      </c>
      <c r="O151" s="4" t="s">
        <v>6308</v>
      </c>
      <c r="P151" s="4" t="s">
        <v>96</v>
      </c>
      <c r="Q151" s="4" t="s">
        <v>59</v>
      </c>
      <c r="R151" s="4" t="s">
        <v>61</v>
      </c>
      <c r="S151" s="4" t="s">
        <v>62</v>
      </c>
      <c r="T151" s="6" t="e">
        <v>#N/A</v>
      </c>
      <c r="U151" s="5">
        <v>55</v>
      </c>
      <c r="V151" s="5">
        <v>47</v>
      </c>
      <c r="W151" s="5">
        <v>56</v>
      </c>
      <c r="X151" s="5">
        <v>65</v>
      </c>
      <c r="Y151" s="5">
        <v>38.299999999999997</v>
      </c>
      <c r="Z151" s="5">
        <v>36.17</v>
      </c>
      <c r="AA151" s="5">
        <v>46.81</v>
      </c>
      <c r="AB151" s="5">
        <v>44.68</v>
      </c>
      <c r="AC151" s="6">
        <v>0.35</v>
      </c>
      <c r="AD151" s="6">
        <v>0.4</v>
      </c>
      <c r="AE151" s="6">
        <v>0.25</v>
      </c>
      <c r="AF151" s="4" t="s">
        <v>6296</v>
      </c>
      <c r="AG151" s="4" t="s">
        <v>6296</v>
      </c>
      <c r="AH151" s="4" t="s">
        <v>6296</v>
      </c>
      <c r="AI151" s="4" t="s">
        <v>6296</v>
      </c>
      <c r="AJ151" s="4" t="s">
        <v>42</v>
      </c>
      <c r="AK151" s="4" t="s">
        <v>6296</v>
      </c>
      <c r="AL151" s="4" t="s">
        <v>6296</v>
      </c>
      <c r="AM151" s="4" t="s">
        <v>6296</v>
      </c>
      <c r="AN151" s="4" t="s">
        <v>6296</v>
      </c>
      <c r="AO151" s="4" t="s">
        <v>6296</v>
      </c>
      <c r="AP151" s="4" t="s">
        <v>6309</v>
      </c>
      <c r="AQ151" s="4" t="s">
        <v>47</v>
      </c>
    </row>
    <row r="152" spans="1:43" ht="12.6" customHeight="1" x14ac:dyDescent="0.25">
      <c r="A152" s="8" t="s">
        <v>2378</v>
      </c>
      <c r="B152" s="9">
        <v>20151231</v>
      </c>
      <c r="C152" s="12">
        <f>_xll.FDS("SPX","FG_PRICE(12/30/2015)")</f>
        <v>2063.36</v>
      </c>
      <c r="D152" s="12">
        <f>_xll.FDS("SPX","FG_PRICE(12/30/2017)")</f>
        <v>2673.61</v>
      </c>
      <c r="E152" s="15">
        <f>D152/C152-1</f>
        <v>0.2957554668114144</v>
      </c>
      <c r="F152" s="8" t="s">
        <v>2379</v>
      </c>
      <c r="G152" s="8" t="s">
        <v>2380</v>
      </c>
      <c r="H152" s="13">
        <f>_xll.FDS(G152,"FG_PRICE(12/30/2015)")</f>
        <v>42.54</v>
      </c>
      <c r="I152" s="13">
        <f>_xll.FDS(G152,"FG_PRICE(12/31/2017)")</f>
        <v>47.73</v>
      </c>
      <c r="J152" s="13">
        <f>I152/H152-1</f>
        <v>0.12200282087447101</v>
      </c>
      <c r="K152" s="13">
        <f>J152-E152</f>
        <v>-0.1737526459369434</v>
      </c>
      <c r="L152" s="13">
        <f>_xll.FDS(G152,"FF_ROE(ANN_R,12/30/2015)")</f>
        <v>17.495468516037509</v>
      </c>
      <c r="M152" s="8" t="s">
        <v>2381</v>
      </c>
      <c r="N152" s="4" t="s">
        <v>2382</v>
      </c>
      <c r="O152" s="4" t="s">
        <v>2383</v>
      </c>
      <c r="P152" s="4" t="s">
        <v>96</v>
      </c>
      <c r="Q152" s="4" t="s">
        <v>59</v>
      </c>
      <c r="R152" s="4" t="s">
        <v>61</v>
      </c>
      <c r="S152" s="4" t="s">
        <v>62</v>
      </c>
      <c r="T152" s="6" t="e">
        <v>#N/A</v>
      </c>
      <c r="U152" s="5">
        <v>48</v>
      </c>
      <c r="V152" s="5">
        <v>39</v>
      </c>
      <c r="W152" s="5">
        <v>50</v>
      </c>
      <c r="X152" s="5">
        <v>60</v>
      </c>
      <c r="Y152" s="5">
        <v>23.4</v>
      </c>
      <c r="Z152" s="5">
        <v>25.53</v>
      </c>
      <c r="AA152" s="5">
        <v>34.04</v>
      </c>
      <c r="AB152" s="5">
        <v>34.04</v>
      </c>
      <c r="AC152" s="6">
        <v>0.35</v>
      </c>
      <c r="AD152" s="6">
        <v>0.4</v>
      </c>
      <c r="AE152" s="6">
        <v>0.25</v>
      </c>
      <c r="AF152" s="4" t="s">
        <v>6296</v>
      </c>
      <c r="AG152" s="4" t="s">
        <v>6296</v>
      </c>
      <c r="AH152" s="4" t="s">
        <v>6296</v>
      </c>
      <c r="AI152" s="4" t="s">
        <v>6296</v>
      </c>
      <c r="AJ152" s="4" t="s">
        <v>6296</v>
      </c>
      <c r="AK152" s="4" t="s">
        <v>42</v>
      </c>
      <c r="AL152" s="4" t="s">
        <v>6296</v>
      </c>
      <c r="AM152" s="4" t="s">
        <v>6296</v>
      </c>
      <c r="AN152" s="4" t="s">
        <v>6296</v>
      </c>
      <c r="AO152" s="4" t="s">
        <v>6296</v>
      </c>
      <c r="AP152" s="4" t="s">
        <v>2384</v>
      </c>
      <c r="AQ152" s="4" t="s">
        <v>47</v>
      </c>
    </row>
    <row r="153" spans="1:43" ht="12.6" customHeight="1" x14ac:dyDescent="0.25">
      <c r="A153" s="8" t="s">
        <v>2637</v>
      </c>
      <c r="B153" s="9">
        <v>20151231</v>
      </c>
      <c r="C153" s="12">
        <f>_xll.FDS("SPX","FG_PRICE(12/30/2015)")</f>
        <v>2063.36</v>
      </c>
      <c r="D153" s="12">
        <f>_xll.FDS("SPX","FG_PRICE(12/30/2017)")</f>
        <v>2673.61</v>
      </c>
      <c r="E153" s="15">
        <f>D153/C153-1</f>
        <v>0.2957554668114144</v>
      </c>
      <c r="F153" s="8" t="s">
        <v>2638</v>
      </c>
      <c r="G153" s="8" t="s">
        <v>2639</v>
      </c>
      <c r="H153" s="13">
        <f>_xll.FDS(G153,"FG_PRICE(12/30/2015)")</f>
        <v>27.44</v>
      </c>
      <c r="I153" s="13">
        <f>_xll.FDS(G153,"FG_PRICE(12/31/2017)")</f>
        <v>15.38</v>
      </c>
      <c r="J153" s="13">
        <f>I153/H153-1</f>
        <v>-0.43950437317784252</v>
      </c>
      <c r="K153" s="13">
        <f>J153-E153</f>
        <v>-0.73525983998925692</v>
      </c>
      <c r="L153" s="13">
        <f>_xll.FDS(G153,"FF_ROE(ANN_R,12/30/2015)")</f>
        <v>15.96115233452085</v>
      </c>
      <c r="M153" s="8" t="s">
        <v>2640</v>
      </c>
      <c r="N153" s="4" t="s">
        <v>2641</v>
      </c>
      <c r="O153" s="4" t="s">
        <v>2642</v>
      </c>
      <c r="P153" s="4" t="s">
        <v>106</v>
      </c>
      <c r="Q153" s="4" t="s">
        <v>59</v>
      </c>
      <c r="R153" s="4" t="s">
        <v>61</v>
      </c>
      <c r="S153" s="4" t="s">
        <v>62</v>
      </c>
      <c r="T153" s="6" t="e">
        <v>#N/A</v>
      </c>
      <c r="U153" s="5">
        <v>58</v>
      </c>
      <c r="V153" s="5">
        <v>48</v>
      </c>
      <c r="W153" s="5">
        <v>63</v>
      </c>
      <c r="X153" s="5">
        <v>65</v>
      </c>
      <c r="Y153" s="5">
        <v>46.81</v>
      </c>
      <c r="Z153" s="5">
        <v>40.43</v>
      </c>
      <c r="AA153" s="5">
        <v>63.83</v>
      </c>
      <c r="AB153" s="5">
        <v>44.68</v>
      </c>
      <c r="AC153" s="6">
        <v>0.35</v>
      </c>
      <c r="AD153" s="6">
        <v>0.4</v>
      </c>
      <c r="AE153" s="6">
        <v>0.25</v>
      </c>
      <c r="AF153" s="4" t="s">
        <v>6296</v>
      </c>
      <c r="AG153" s="4" t="s">
        <v>6296</v>
      </c>
      <c r="AH153" s="4" t="s">
        <v>6296</v>
      </c>
      <c r="AI153" s="4" t="s">
        <v>6296</v>
      </c>
      <c r="AJ153" s="4" t="s">
        <v>42</v>
      </c>
      <c r="AK153" s="4" t="s">
        <v>37</v>
      </c>
      <c r="AL153" s="4" t="s">
        <v>42</v>
      </c>
      <c r="AM153" s="4" t="s">
        <v>37</v>
      </c>
      <c r="AN153" s="4" t="s">
        <v>6296</v>
      </c>
      <c r="AO153" s="4" t="s">
        <v>6296</v>
      </c>
      <c r="AP153" s="4" t="s">
        <v>2643</v>
      </c>
      <c r="AQ153" s="4" t="s">
        <v>47</v>
      </c>
    </row>
    <row r="154" spans="1:43" ht="12.6" customHeight="1" x14ac:dyDescent="0.25">
      <c r="A154" s="8" t="s">
        <v>2733</v>
      </c>
      <c r="B154" s="9">
        <v>20151231</v>
      </c>
      <c r="C154" s="12">
        <f>_xll.FDS("SPX","FG_PRICE(12/30/2015)")</f>
        <v>2063.36</v>
      </c>
      <c r="D154" s="12">
        <f>_xll.FDS("SPX","FG_PRICE(12/30/2017)")</f>
        <v>2673.61</v>
      </c>
      <c r="E154" s="15">
        <f>D154/C154-1</f>
        <v>0.2957554668114144</v>
      </c>
      <c r="F154" s="8" t="s">
        <v>2734</v>
      </c>
      <c r="G154" s="8" t="s">
        <v>2735</v>
      </c>
      <c r="H154" s="13">
        <f>_xll.FDS(G154,"FG_PRICE(12/30/2015)")</f>
        <v>189.89</v>
      </c>
      <c r="I154" s="13">
        <f>_xll.FDS(G154,"FG_PRICE(12/31/2017)")</f>
        <v>275.89999999999998</v>
      </c>
      <c r="J154" s="13">
        <f>I154/H154-1</f>
        <v>0.45294644267733952</v>
      </c>
      <c r="K154" s="13">
        <f>J154-E154</f>
        <v>0.15719097586592512</v>
      </c>
      <c r="L154" s="13">
        <f>_xll.FDS(G154,"FF_ROE(ANN_R,12/30/2015)")</f>
        <v>11.982458058919059</v>
      </c>
      <c r="M154" s="8" t="s">
        <v>2736</v>
      </c>
      <c r="N154" s="4" t="s">
        <v>2737</v>
      </c>
      <c r="O154" s="4" t="s">
        <v>2738</v>
      </c>
      <c r="P154" s="4" t="s">
        <v>96</v>
      </c>
      <c r="Q154" s="4" t="s">
        <v>59</v>
      </c>
      <c r="R154" s="4" t="s">
        <v>61</v>
      </c>
      <c r="S154" s="4" t="s">
        <v>62</v>
      </c>
      <c r="T154" s="6" t="e">
        <v>#N/A</v>
      </c>
      <c r="U154" s="5">
        <v>62</v>
      </c>
      <c r="V154" s="5">
        <v>59</v>
      </c>
      <c r="W154" s="5">
        <v>62</v>
      </c>
      <c r="X154" s="5">
        <v>69</v>
      </c>
      <c r="Y154" s="5">
        <v>59.57</v>
      </c>
      <c r="Z154" s="5">
        <v>63.83</v>
      </c>
      <c r="AA154" s="5">
        <v>57.45</v>
      </c>
      <c r="AB154" s="5">
        <v>63.83</v>
      </c>
      <c r="AC154" s="6">
        <v>0.35</v>
      </c>
      <c r="AD154" s="6">
        <v>0.4</v>
      </c>
      <c r="AE154" s="6">
        <v>0.25</v>
      </c>
      <c r="AF154" s="4" t="s">
        <v>6296</v>
      </c>
      <c r="AG154" s="4" t="s">
        <v>6296</v>
      </c>
      <c r="AH154" s="4" t="s">
        <v>6296</v>
      </c>
      <c r="AI154" s="4" t="s">
        <v>6296</v>
      </c>
      <c r="AJ154" s="4" t="s">
        <v>6296</v>
      </c>
      <c r="AK154" s="4" t="s">
        <v>6296</v>
      </c>
      <c r="AL154" s="4" t="s">
        <v>6296</v>
      </c>
      <c r="AM154" s="4" t="s">
        <v>6296</v>
      </c>
      <c r="AN154" s="4" t="s">
        <v>6296</v>
      </c>
      <c r="AO154" s="4" t="s">
        <v>6296</v>
      </c>
      <c r="AP154" s="4" t="s">
        <v>2739</v>
      </c>
      <c r="AQ154" s="4" t="s">
        <v>47</v>
      </c>
    </row>
    <row r="155" spans="1:43" ht="12.6" customHeight="1" x14ac:dyDescent="0.25">
      <c r="A155" s="8" t="s">
        <v>2865</v>
      </c>
      <c r="B155" s="9">
        <v>20151231</v>
      </c>
      <c r="C155" s="12">
        <f>_xll.FDS("SPX","FG_PRICE(12/30/2015)")</f>
        <v>2063.36</v>
      </c>
      <c r="D155" s="12">
        <f>_xll.FDS("SPX","FG_PRICE(12/30/2017)")</f>
        <v>2673.61</v>
      </c>
      <c r="E155" s="15">
        <f>D155/C155-1</f>
        <v>0.2957554668114144</v>
      </c>
      <c r="F155" s="8" t="s">
        <v>2866</v>
      </c>
      <c r="G155" s="8" t="s">
        <v>2867</v>
      </c>
      <c r="H155" s="13">
        <f>_xll.FDS(G155,"FG_PRICE(12/30/2015)")</f>
        <v>43.75</v>
      </c>
      <c r="I155" s="13">
        <f>_xll.FDS(G155,"FG_PRICE(12/31/2017)")</f>
        <v>30.9</v>
      </c>
      <c r="J155" s="13">
        <f>I155/H155-1</f>
        <v>-0.29371428571428571</v>
      </c>
      <c r="K155" s="13">
        <f>J155-E155</f>
        <v>-0.58946975252570011</v>
      </c>
      <c r="L155" s="13">
        <f>_xll.FDS(G155,"FF_ROE(ANN_R,12/30/2015)")</f>
        <v>19.021642152489228</v>
      </c>
      <c r="M155" s="8" t="s">
        <v>2868</v>
      </c>
      <c r="N155" s="4" t="s">
        <v>2869</v>
      </c>
      <c r="O155" s="4" t="s">
        <v>2870</v>
      </c>
      <c r="P155" s="4" t="s">
        <v>96</v>
      </c>
      <c r="Q155" s="4" t="s">
        <v>59</v>
      </c>
      <c r="R155" s="4" t="s">
        <v>61</v>
      </c>
      <c r="S155" s="4" t="s">
        <v>62</v>
      </c>
      <c r="T155" s="6" t="e">
        <v>#N/A</v>
      </c>
      <c r="U155" s="5">
        <v>62</v>
      </c>
      <c r="V155" s="5">
        <v>56</v>
      </c>
      <c r="W155" s="5">
        <v>62</v>
      </c>
      <c r="X155" s="5">
        <v>70</v>
      </c>
      <c r="Y155" s="5">
        <v>59.57</v>
      </c>
      <c r="Z155" s="5">
        <v>48.94</v>
      </c>
      <c r="AA155" s="5">
        <v>57.45</v>
      </c>
      <c r="AB155" s="5">
        <v>65.959999999999994</v>
      </c>
      <c r="AC155" s="6">
        <v>0.35</v>
      </c>
      <c r="AD155" s="6">
        <v>0.4</v>
      </c>
      <c r="AE155" s="6">
        <v>0.25</v>
      </c>
      <c r="AF155" s="4" t="s">
        <v>6296</v>
      </c>
      <c r="AG155" s="4" t="s">
        <v>6296</v>
      </c>
      <c r="AH155" s="4" t="s">
        <v>6296</v>
      </c>
      <c r="AI155" s="4" t="s">
        <v>6296</v>
      </c>
      <c r="AJ155" s="4" t="s">
        <v>6296</v>
      </c>
      <c r="AK155" s="4" t="s">
        <v>37</v>
      </c>
      <c r="AL155" s="4" t="s">
        <v>6296</v>
      </c>
      <c r="AM155" s="4" t="s">
        <v>6296</v>
      </c>
      <c r="AN155" s="4" t="s">
        <v>6296</v>
      </c>
      <c r="AO155" s="4" t="s">
        <v>6296</v>
      </c>
      <c r="AP155" s="4" t="s">
        <v>2871</v>
      </c>
      <c r="AQ155" s="4" t="s">
        <v>47</v>
      </c>
    </row>
    <row r="156" spans="1:43" ht="12.6" customHeight="1" x14ac:dyDescent="0.25">
      <c r="A156" s="8" t="s">
        <v>3181</v>
      </c>
      <c r="B156" s="9">
        <v>20151231</v>
      </c>
      <c r="C156" s="12">
        <f>_xll.FDS("SPX","FG_PRICE(12/30/2015)")</f>
        <v>2063.36</v>
      </c>
      <c r="D156" s="12">
        <f>_xll.FDS("SPX","FG_PRICE(12/30/2017)")</f>
        <v>2673.61</v>
      </c>
      <c r="E156" s="15">
        <f>D156/C156-1</f>
        <v>0.2957554668114144</v>
      </c>
      <c r="F156" s="8" t="s">
        <v>3182</v>
      </c>
      <c r="G156" s="8" t="s">
        <v>3183</v>
      </c>
      <c r="H156" s="13">
        <f>_xll.FDS(G156,"FG_PRICE(12/30/2015)")</f>
        <v>86.31</v>
      </c>
      <c r="I156" s="13">
        <f>_xll.FDS(G156,"FG_PRICE(12/31/2017)")</f>
        <v>123.99</v>
      </c>
      <c r="J156" s="13">
        <f>I156/H156-1</f>
        <v>0.43656586722280144</v>
      </c>
      <c r="K156" s="13">
        <f>J156-E156</f>
        <v>0.14081040041138704</v>
      </c>
      <c r="L156" s="13">
        <f>_xll.FDS(G156,"FF_ROE(ANN_R,12/30/2015)")</f>
        <v>65.006528873082132</v>
      </c>
      <c r="M156" s="8" t="s">
        <v>3184</v>
      </c>
      <c r="N156" s="4" t="s">
        <v>3184</v>
      </c>
      <c r="O156" s="4" t="s">
        <v>3185</v>
      </c>
      <c r="P156" s="4" t="s">
        <v>96</v>
      </c>
      <c r="Q156" s="4" t="s">
        <v>59</v>
      </c>
      <c r="R156" s="4" t="s">
        <v>61</v>
      </c>
      <c r="S156" s="4" t="s">
        <v>62</v>
      </c>
      <c r="T156" s="6" t="e">
        <v>#N/A</v>
      </c>
      <c r="U156" s="5">
        <v>47</v>
      </c>
      <c r="V156" s="5">
        <v>36</v>
      </c>
      <c r="W156" s="5">
        <v>46</v>
      </c>
      <c r="X156" s="5">
        <v>62</v>
      </c>
      <c r="Y156" s="5">
        <v>21.28</v>
      </c>
      <c r="Z156" s="5">
        <v>17.02</v>
      </c>
      <c r="AA156" s="5">
        <v>23.4</v>
      </c>
      <c r="AB156" s="5">
        <v>40.43</v>
      </c>
      <c r="AC156" s="6">
        <v>0.35</v>
      </c>
      <c r="AD156" s="6">
        <v>0.4</v>
      </c>
      <c r="AE156" s="6">
        <v>0.25</v>
      </c>
      <c r="AF156" s="4" t="s">
        <v>6296</v>
      </c>
      <c r="AG156" s="4" t="s">
        <v>6296</v>
      </c>
      <c r="AH156" s="4" t="s">
        <v>6296</v>
      </c>
      <c r="AI156" s="4" t="s">
        <v>6296</v>
      </c>
      <c r="AJ156" s="4" t="s">
        <v>6296</v>
      </c>
      <c r="AK156" s="4" t="s">
        <v>42</v>
      </c>
      <c r="AL156" s="4" t="s">
        <v>6296</v>
      </c>
      <c r="AM156" s="4" t="s">
        <v>6296</v>
      </c>
      <c r="AN156" s="4" t="s">
        <v>6296</v>
      </c>
      <c r="AO156" s="4" t="s">
        <v>6296</v>
      </c>
      <c r="AP156" s="4" t="s">
        <v>3186</v>
      </c>
      <c r="AQ156" s="4" t="s">
        <v>47</v>
      </c>
    </row>
    <row r="157" spans="1:43" ht="12.6" customHeight="1" x14ac:dyDescent="0.25">
      <c r="A157" s="8" t="s">
        <v>6539</v>
      </c>
      <c r="B157" s="9">
        <v>20151231</v>
      </c>
      <c r="C157" s="12">
        <f>_xll.FDS("SPX","FG_PRICE(12/30/2015)")</f>
        <v>2063.36</v>
      </c>
      <c r="D157" s="12">
        <f>_xll.FDS("SPX","FG_PRICE(12/30/2017)")</f>
        <v>2673.61</v>
      </c>
      <c r="E157" s="15">
        <f>D157/C157-1</f>
        <v>0.2957554668114144</v>
      </c>
      <c r="F157" s="8" t="s">
        <v>6540</v>
      </c>
      <c r="G157" s="8" t="s">
        <v>6541</v>
      </c>
      <c r="H157" s="13">
        <f>_xll.FDS(G157,"FG_PRICE(12/30/2015)")</f>
        <v>13.53</v>
      </c>
      <c r="I157" s="13" t="e">
        <f>_xll.FDS(G157,"FG_PRICE(12/31/2017)")</f>
        <v>#N/A</v>
      </c>
      <c r="J157" s="13" t="e">
        <f>I157/H157-1</f>
        <v>#N/A</v>
      </c>
      <c r="K157" s="13" t="e">
        <f>J157-E157</f>
        <v>#N/A</v>
      </c>
      <c r="L157" s="13">
        <f>_xll.FDS(G157,"FF_ROE(ANN_R,12/30/2015)")</f>
        <v>1.2601981023472291</v>
      </c>
      <c r="M157" s="8" t="s">
        <v>5942</v>
      </c>
      <c r="N157" s="4" t="s">
        <v>5943</v>
      </c>
      <c r="O157" s="4" t="s">
        <v>4523</v>
      </c>
      <c r="P157" s="4" t="s">
        <v>108</v>
      </c>
      <c r="Q157" s="4" t="s">
        <v>59</v>
      </c>
      <c r="R157" s="4" t="s">
        <v>61</v>
      </c>
      <c r="S157" s="4" t="s">
        <v>62</v>
      </c>
      <c r="T157" s="6" t="e">
        <v>#N/A</v>
      </c>
      <c r="U157" s="5">
        <v>48</v>
      </c>
      <c r="V157" s="5">
        <v>34</v>
      </c>
      <c r="W157" s="5">
        <v>44</v>
      </c>
      <c r="X157" s="5">
        <v>75</v>
      </c>
      <c r="Y157" s="5">
        <v>23.4</v>
      </c>
      <c r="Z157" s="6">
        <v>8.51</v>
      </c>
      <c r="AA157" s="5">
        <v>17.02</v>
      </c>
      <c r="AB157" s="5">
        <v>87.23</v>
      </c>
      <c r="AC157" s="6">
        <v>0.35</v>
      </c>
      <c r="AD157" s="6">
        <v>0.4</v>
      </c>
      <c r="AE157" s="6">
        <v>0.25</v>
      </c>
      <c r="AF157" s="4" t="s">
        <v>6296</v>
      </c>
      <c r="AG157" s="4" t="s">
        <v>6296</v>
      </c>
      <c r="AH157" s="4" t="s">
        <v>6296</v>
      </c>
      <c r="AI157" s="4" t="s">
        <v>6296</v>
      </c>
      <c r="AJ157" s="4" t="s">
        <v>6296</v>
      </c>
      <c r="AK157" s="4" t="s">
        <v>6296</v>
      </c>
      <c r="AL157" s="4" t="s">
        <v>6296</v>
      </c>
      <c r="AM157" s="4" t="s">
        <v>6296</v>
      </c>
      <c r="AN157" s="4" t="s">
        <v>6296</v>
      </c>
      <c r="AO157" s="4" t="s">
        <v>6296</v>
      </c>
      <c r="AP157" s="4" t="s">
        <v>5944</v>
      </c>
      <c r="AQ157" s="4" t="s">
        <v>47</v>
      </c>
    </row>
    <row r="158" spans="1:43" ht="12.6" customHeight="1" x14ac:dyDescent="0.25">
      <c r="A158" s="8" t="s">
        <v>1154</v>
      </c>
      <c r="B158" s="9">
        <v>20151231</v>
      </c>
      <c r="C158" s="12">
        <f>_xll.FDS("SPX","FG_PRICE(12/30/2015)")</f>
        <v>2063.36</v>
      </c>
      <c r="D158" s="12">
        <f>_xll.FDS("SPX","FG_PRICE(12/30/2017)")</f>
        <v>2673.61</v>
      </c>
      <c r="E158" s="15">
        <f>D158/C158-1</f>
        <v>0.2957554668114144</v>
      </c>
      <c r="F158" s="8" t="s">
        <v>1155</v>
      </c>
      <c r="G158" s="8" t="s">
        <v>1156</v>
      </c>
      <c r="H158" s="13">
        <f>_xll.FDS(G158,"FG_PRICE(12/30/2015)")</f>
        <v>70.650000000000006</v>
      </c>
      <c r="I158" s="13">
        <f>_xll.FDS(G158,"FG_PRICE(12/31/2017)")</f>
        <v>62.69</v>
      </c>
      <c r="J158" s="13">
        <f>I158/H158-1</f>
        <v>-0.11266808209483381</v>
      </c>
      <c r="K158" s="13">
        <f>J158-E158</f>
        <v>-0.40842354890624821</v>
      </c>
      <c r="L158" s="13">
        <f>_xll.FDS(G158,"FF_ROE(ANN_R,12/30/2015)")</f>
        <v>67.78711484593839</v>
      </c>
      <c r="M158" s="8" t="s">
        <v>1157</v>
      </c>
      <c r="N158" s="4" t="s">
        <v>1158</v>
      </c>
      <c r="O158" s="4" t="s">
        <v>1159</v>
      </c>
      <c r="P158" s="4" t="s">
        <v>96</v>
      </c>
      <c r="Q158" s="4" t="s">
        <v>59</v>
      </c>
      <c r="R158" s="4" t="s">
        <v>61</v>
      </c>
      <c r="S158" s="4" t="s">
        <v>62</v>
      </c>
      <c r="T158" s="6" t="e">
        <v>#N/A</v>
      </c>
      <c r="U158" s="5">
        <v>48</v>
      </c>
      <c r="V158" s="5">
        <v>36</v>
      </c>
      <c r="W158" s="5">
        <v>44</v>
      </c>
      <c r="X158" s="5">
        <v>70</v>
      </c>
      <c r="Y158" s="5">
        <v>23.4</v>
      </c>
      <c r="Z158" s="5">
        <v>17.02</v>
      </c>
      <c r="AA158" s="5">
        <v>17.02</v>
      </c>
      <c r="AB158" s="5">
        <v>65.959999999999994</v>
      </c>
      <c r="AC158" s="6">
        <v>0.35</v>
      </c>
      <c r="AD158" s="6">
        <v>0.4</v>
      </c>
      <c r="AE158" s="6">
        <v>0.25</v>
      </c>
      <c r="AF158" s="4" t="s">
        <v>6296</v>
      </c>
      <c r="AG158" s="4" t="s">
        <v>6296</v>
      </c>
      <c r="AH158" s="4" t="s">
        <v>6296</v>
      </c>
      <c r="AI158" s="4" t="s">
        <v>6296</v>
      </c>
      <c r="AJ158" s="4" t="s">
        <v>6296</v>
      </c>
      <c r="AK158" s="4" t="s">
        <v>6296</v>
      </c>
      <c r="AL158" s="4" t="s">
        <v>6296</v>
      </c>
      <c r="AM158" s="4" t="s">
        <v>6296</v>
      </c>
      <c r="AN158" s="4" t="s">
        <v>37</v>
      </c>
      <c r="AO158" s="4" t="s">
        <v>6296</v>
      </c>
      <c r="AP158" s="4" t="s">
        <v>1160</v>
      </c>
      <c r="AQ158" s="4" t="s">
        <v>47</v>
      </c>
    </row>
    <row r="159" spans="1:43" ht="12.6" customHeight="1" x14ac:dyDescent="0.25">
      <c r="A159" s="8" t="s">
        <v>3919</v>
      </c>
      <c r="B159" s="9">
        <v>20151231</v>
      </c>
      <c r="C159" s="12">
        <f>_xll.FDS("SPX","FG_PRICE(12/30/2015)")</f>
        <v>2063.36</v>
      </c>
      <c r="D159" s="12">
        <f>_xll.FDS("SPX","FG_PRICE(12/30/2017)")</f>
        <v>2673.61</v>
      </c>
      <c r="E159" s="15">
        <f>D159/C159-1</f>
        <v>0.2957554668114144</v>
      </c>
      <c r="F159" s="8" t="s">
        <v>3920</v>
      </c>
      <c r="G159" s="8" t="s">
        <v>3921</v>
      </c>
      <c r="H159" s="13">
        <f>_xll.FDS(G159,"FG_PRICE(12/30/2015)")</f>
        <v>55.78</v>
      </c>
      <c r="I159" s="13">
        <f>_xll.FDS(G159,"FG_PRICE(12/31/2017)")</f>
        <v>62.7</v>
      </c>
      <c r="J159" s="13">
        <f>I159/H159-1</f>
        <v>0.12405880243814993</v>
      </c>
      <c r="K159" s="13">
        <f>J159-E159</f>
        <v>-0.17169666437326447</v>
      </c>
      <c r="L159" s="13">
        <f>_xll.FDS(G159,"FF_ROE(ANN_R,12/30/2015)")</f>
        <v>97.743332573512646</v>
      </c>
      <c r="M159" s="8" t="s">
        <v>3922</v>
      </c>
      <c r="N159" s="4" t="s">
        <v>3922</v>
      </c>
      <c r="O159" s="4" t="s">
        <v>3923</v>
      </c>
      <c r="P159" s="4" t="s">
        <v>96</v>
      </c>
      <c r="Q159" s="4" t="s">
        <v>59</v>
      </c>
      <c r="R159" s="4" t="s">
        <v>61</v>
      </c>
      <c r="S159" s="4" t="s">
        <v>62</v>
      </c>
      <c r="T159" s="6" t="e">
        <v>#N/A</v>
      </c>
      <c r="U159" s="5">
        <v>51</v>
      </c>
      <c r="V159" s="5">
        <v>43</v>
      </c>
      <c r="W159" s="5">
        <v>49</v>
      </c>
      <c r="X159" s="5">
        <v>67</v>
      </c>
      <c r="Y159" s="5">
        <v>31.91</v>
      </c>
      <c r="Z159" s="5">
        <v>27.66</v>
      </c>
      <c r="AA159" s="5">
        <v>31.91</v>
      </c>
      <c r="AB159" s="5">
        <v>55.32</v>
      </c>
      <c r="AC159" s="6">
        <v>0.35</v>
      </c>
      <c r="AD159" s="6">
        <v>0.4</v>
      </c>
      <c r="AE159" s="6">
        <v>0.25</v>
      </c>
      <c r="AF159" s="4" t="s">
        <v>6296</v>
      </c>
      <c r="AG159" s="4" t="s">
        <v>6296</v>
      </c>
      <c r="AH159" s="4" t="s">
        <v>6296</v>
      </c>
      <c r="AI159" s="4" t="s">
        <v>6296</v>
      </c>
      <c r="AJ159" s="4" t="s">
        <v>6296</v>
      </c>
      <c r="AK159" s="4" t="s">
        <v>6296</v>
      </c>
      <c r="AL159" s="4" t="s">
        <v>6296</v>
      </c>
      <c r="AM159" s="4" t="s">
        <v>6296</v>
      </c>
      <c r="AN159" s="4" t="s">
        <v>6296</v>
      </c>
      <c r="AO159" s="4" t="s">
        <v>6296</v>
      </c>
      <c r="AP159" s="4" t="s">
        <v>3924</v>
      </c>
      <c r="AQ159" s="4" t="s">
        <v>47</v>
      </c>
    </row>
    <row r="160" spans="1:43" ht="12.6" customHeight="1" x14ac:dyDescent="0.25">
      <c r="A160" s="8" t="s">
        <v>4340</v>
      </c>
      <c r="B160" s="9">
        <v>20151231</v>
      </c>
      <c r="C160" s="12">
        <f>_xll.FDS("SPX","FG_PRICE(12/30/2015)")</f>
        <v>2063.36</v>
      </c>
      <c r="D160" s="12">
        <f>_xll.FDS("SPX","FG_PRICE(12/30/2017)")</f>
        <v>2673.61</v>
      </c>
      <c r="E160" s="15">
        <f>D160/C160-1</f>
        <v>0.2957554668114144</v>
      </c>
      <c r="F160" s="8" t="s">
        <v>4341</v>
      </c>
      <c r="G160" s="8" t="s">
        <v>4342</v>
      </c>
      <c r="H160" s="13">
        <f>_xll.FDS(G160,"FG_PRICE(12/30/2015)")</f>
        <v>148.57</v>
      </c>
      <c r="I160" s="13">
        <f>_xll.FDS(G160,"FG_PRICE(12/31/2017)")</f>
        <v>168.64</v>
      </c>
      <c r="J160" s="13">
        <f>I160/H160-1</f>
        <v>0.13508783738305175</v>
      </c>
      <c r="K160" s="13">
        <f>J160-E160</f>
        <v>-0.16066762942836266</v>
      </c>
      <c r="L160" s="13">
        <f>_xll.FDS(G160,"FF_ROE(ANN_R,12/30/2015)")</f>
        <v>13.25313487613416</v>
      </c>
      <c r="M160" s="8" t="s">
        <v>4343</v>
      </c>
      <c r="N160" s="4" t="s">
        <v>4343</v>
      </c>
      <c r="O160" s="4" t="s">
        <v>4344</v>
      </c>
      <c r="P160" s="4" t="s">
        <v>96</v>
      </c>
      <c r="Q160" s="4" t="s">
        <v>59</v>
      </c>
      <c r="R160" s="4" t="s">
        <v>61</v>
      </c>
      <c r="S160" s="4" t="s">
        <v>62</v>
      </c>
      <c r="T160" s="6" t="e">
        <v>#N/A</v>
      </c>
      <c r="U160" s="5">
        <v>61</v>
      </c>
      <c r="V160" s="5">
        <v>56</v>
      </c>
      <c r="W160" s="5">
        <v>63</v>
      </c>
      <c r="X160" s="5">
        <v>64</v>
      </c>
      <c r="Y160" s="5">
        <v>53.19</v>
      </c>
      <c r="Z160" s="5">
        <v>48.94</v>
      </c>
      <c r="AA160" s="5">
        <v>63.83</v>
      </c>
      <c r="AB160" s="5">
        <v>42.55</v>
      </c>
      <c r="AC160" s="6">
        <v>0.35</v>
      </c>
      <c r="AD160" s="6">
        <v>0.4</v>
      </c>
      <c r="AE160" s="6">
        <v>0.25</v>
      </c>
      <c r="AF160" s="4" t="s">
        <v>46</v>
      </c>
      <c r="AG160" s="4" t="s">
        <v>6296</v>
      </c>
      <c r="AH160" s="4" t="s">
        <v>6296</v>
      </c>
      <c r="AI160" s="4" t="s">
        <v>37</v>
      </c>
      <c r="AJ160" s="4" t="s">
        <v>6296</v>
      </c>
      <c r="AK160" s="4" t="s">
        <v>37</v>
      </c>
      <c r="AL160" s="4" t="s">
        <v>6296</v>
      </c>
      <c r="AM160" s="4" t="s">
        <v>6296</v>
      </c>
      <c r="AN160" s="4" t="s">
        <v>6296</v>
      </c>
      <c r="AO160" s="4" t="s">
        <v>6296</v>
      </c>
      <c r="AP160" s="4" t="s">
        <v>4345</v>
      </c>
      <c r="AQ160" s="4" t="s">
        <v>47</v>
      </c>
    </row>
    <row r="161" spans="1:43" ht="12.6" customHeight="1" x14ac:dyDescent="0.25">
      <c r="A161" s="8" t="s">
        <v>321</v>
      </c>
      <c r="B161" s="9">
        <v>20151231</v>
      </c>
      <c r="C161" s="12">
        <f>_xll.FDS("SPX","FG_PRICE(12/30/2015)")</f>
        <v>2063.36</v>
      </c>
      <c r="D161" s="12">
        <f>_xll.FDS("SPX","FG_PRICE(12/30/2017)")</f>
        <v>2673.61</v>
      </c>
      <c r="E161" s="15">
        <f>D161/C161-1</f>
        <v>0.2957554668114144</v>
      </c>
      <c r="F161" s="8" t="s">
        <v>322</v>
      </c>
      <c r="G161" s="8" t="s">
        <v>323</v>
      </c>
      <c r="H161" s="13">
        <f>_xll.FDS(G161,"FG_PRICE(12/30/2015)")</f>
        <v>7.91</v>
      </c>
      <c r="I161" s="13" t="e">
        <f>_xll.FDS(G161,"FG_PRICE(12/31/2017)")</f>
        <v>#N/A</v>
      </c>
      <c r="J161" s="13" t="e">
        <f>I161/H161-1</f>
        <v>#N/A</v>
      </c>
      <c r="K161" s="13" t="e">
        <f>J161-E161</f>
        <v>#N/A</v>
      </c>
      <c r="L161" s="13">
        <f>_xll.FDS(G161,"FF_ROE(ANN_R,12/30/2015)")</f>
        <v>4.5545975280941402</v>
      </c>
      <c r="M161" s="8" t="s">
        <v>324</v>
      </c>
      <c r="N161" s="4" t="s">
        <v>325</v>
      </c>
      <c r="O161" s="4" t="s">
        <v>47</v>
      </c>
      <c r="P161" s="4" t="s">
        <v>106</v>
      </c>
      <c r="Q161" s="4" t="s">
        <v>69</v>
      </c>
      <c r="R161" s="4" t="s">
        <v>61</v>
      </c>
      <c r="S161" s="4" t="s">
        <v>62</v>
      </c>
      <c r="T161" s="6" t="e">
        <v>#N/A</v>
      </c>
      <c r="U161" s="5">
        <v>65</v>
      </c>
      <c r="V161" s="5">
        <v>62</v>
      </c>
      <c r="W161" s="5">
        <v>66</v>
      </c>
      <c r="X161" s="5">
        <v>67</v>
      </c>
      <c r="Y161" s="5">
        <v>86.51</v>
      </c>
      <c r="Z161" s="5">
        <v>88.1</v>
      </c>
      <c r="AA161" s="5">
        <v>86.51</v>
      </c>
      <c r="AB161" s="5">
        <v>61.11</v>
      </c>
      <c r="AC161" s="6">
        <v>0.4</v>
      </c>
      <c r="AD161" s="6">
        <v>0.35</v>
      </c>
      <c r="AE161" s="6">
        <v>0.25</v>
      </c>
      <c r="AF161" s="4" t="s">
        <v>6296</v>
      </c>
      <c r="AG161" s="4" t="s">
        <v>6296</v>
      </c>
      <c r="AH161" s="4" t="s">
        <v>6296</v>
      </c>
      <c r="AI161" s="4" t="s">
        <v>6296</v>
      </c>
      <c r="AJ161" s="4" t="s">
        <v>6296</v>
      </c>
      <c r="AK161" s="4" t="s">
        <v>42</v>
      </c>
      <c r="AL161" s="4" t="s">
        <v>6296</v>
      </c>
      <c r="AM161" s="4" t="s">
        <v>37</v>
      </c>
      <c r="AN161" s="4" t="s">
        <v>42</v>
      </c>
      <c r="AO161" s="4" t="s">
        <v>6296</v>
      </c>
      <c r="AP161" s="4" t="s">
        <v>326</v>
      </c>
      <c r="AQ161" s="4" t="s">
        <v>47</v>
      </c>
    </row>
    <row r="162" spans="1:43" ht="12.6" customHeight="1" x14ac:dyDescent="0.25">
      <c r="A162" s="8" t="s">
        <v>5846</v>
      </c>
      <c r="B162" s="9">
        <v>20151231</v>
      </c>
      <c r="C162" s="12">
        <f>_xll.FDS("SPX","FG_PRICE(12/30/2015)")</f>
        <v>2063.36</v>
      </c>
      <c r="D162" s="12">
        <f>_xll.FDS("SPX","FG_PRICE(12/30/2017)")</f>
        <v>2673.61</v>
      </c>
      <c r="E162" s="15">
        <f>D162/C162-1</f>
        <v>0.2957554668114144</v>
      </c>
      <c r="F162" s="8" t="s">
        <v>5847</v>
      </c>
      <c r="G162" s="8" t="s">
        <v>5848</v>
      </c>
      <c r="H162" s="13">
        <f>_xll.FDS(G162,"FG_PRICE(12/30/2015)")</f>
        <v>32.39</v>
      </c>
      <c r="I162" s="13">
        <f>_xll.FDS(G162,"FG_PRICE(12/31/2017)")</f>
        <v>42.74</v>
      </c>
      <c r="J162" s="13">
        <f>I162/H162-1</f>
        <v>0.31954306884840999</v>
      </c>
      <c r="K162" s="13">
        <f>J162-E162</f>
        <v>2.3787602036995592E-2</v>
      </c>
      <c r="L162" s="13">
        <f>_xll.FDS(G162,"FF_ROE(ANN_R,12/30/2015)")</f>
        <v>13.103033685557961</v>
      </c>
      <c r="M162" s="8" t="s">
        <v>5849</v>
      </c>
      <c r="N162" s="4" t="s">
        <v>5849</v>
      </c>
      <c r="O162" s="4" t="s">
        <v>5850</v>
      </c>
      <c r="P162" s="4" t="s">
        <v>96</v>
      </c>
      <c r="Q162" s="4" t="s">
        <v>69</v>
      </c>
      <c r="R162" s="4" t="s">
        <v>61</v>
      </c>
      <c r="S162" s="4" t="s">
        <v>62</v>
      </c>
      <c r="T162" s="6" t="e">
        <v>#N/A</v>
      </c>
      <c r="U162" s="5">
        <v>52</v>
      </c>
      <c r="V162" s="5">
        <v>45</v>
      </c>
      <c r="W162" s="5">
        <v>55</v>
      </c>
      <c r="X162" s="5">
        <v>60</v>
      </c>
      <c r="Y162" s="5">
        <v>30.16</v>
      </c>
      <c r="Z162" s="5">
        <v>52.38</v>
      </c>
      <c r="AA162" s="5">
        <v>34.130000000000003</v>
      </c>
      <c r="AB162" s="5">
        <v>24.6</v>
      </c>
      <c r="AC162" s="6">
        <v>0.4</v>
      </c>
      <c r="AD162" s="6">
        <v>0.35</v>
      </c>
      <c r="AE162" s="6">
        <v>0.25</v>
      </c>
      <c r="AF162" s="4" t="s">
        <v>6296</v>
      </c>
      <c r="AG162" s="4" t="s">
        <v>6296</v>
      </c>
      <c r="AH162" s="4" t="s">
        <v>6296</v>
      </c>
      <c r="AI162" s="4" t="s">
        <v>42</v>
      </c>
      <c r="AJ162" s="4" t="s">
        <v>6296</v>
      </c>
      <c r="AK162" s="4" t="s">
        <v>37</v>
      </c>
      <c r="AL162" s="4" t="s">
        <v>6296</v>
      </c>
      <c r="AM162" s="4" t="s">
        <v>42</v>
      </c>
      <c r="AN162" s="4" t="s">
        <v>6296</v>
      </c>
      <c r="AO162" s="4" t="s">
        <v>6296</v>
      </c>
      <c r="AP162" s="4" t="s">
        <v>5851</v>
      </c>
      <c r="AQ162" s="4" t="s">
        <v>47</v>
      </c>
    </row>
    <row r="163" spans="1:43" ht="12.6" customHeight="1" x14ac:dyDescent="0.25">
      <c r="A163" s="8" t="s">
        <v>1322</v>
      </c>
      <c r="B163" s="9">
        <v>20151231</v>
      </c>
      <c r="C163" s="12">
        <f>_xll.FDS("SPX","FG_PRICE(12/30/2015)")</f>
        <v>2063.36</v>
      </c>
      <c r="D163" s="12">
        <f>_xll.FDS("SPX","FG_PRICE(12/30/2017)")</f>
        <v>2673.61</v>
      </c>
      <c r="E163" s="15">
        <f>D163/C163-1</f>
        <v>0.2957554668114144</v>
      </c>
      <c r="F163" s="8" t="s">
        <v>1323</v>
      </c>
      <c r="G163" s="8" t="s">
        <v>1324</v>
      </c>
      <c r="H163" s="13">
        <f>_xll.FDS(G163,"FG_PRICE(12/30/2015)")</f>
        <v>25.73</v>
      </c>
      <c r="I163" s="13">
        <f>_xll.FDS(G163,"FG_PRICE(12/31/2017)")</f>
        <v>42.05</v>
      </c>
      <c r="J163" s="13">
        <f>I163/H163-1</f>
        <v>0.63427905169063337</v>
      </c>
      <c r="K163" s="13">
        <f>J163-E163</f>
        <v>0.33852358487921896</v>
      </c>
      <c r="L163" s="13">
        <f>_xll.FDS(G163,"FF_ROE(ANN_R,12/30/2015)")</f>
        <v>8.6154108632439907</v>
      </c>
      <c r="M163" s="8" t="s">
        <v>1325</v>
      </c>
      <c r="N163" s="4" t="s">
        <v>1326</v>
      </c>
      <c r="O163" s="4" t="s">
        <v>1327</v>
      </c>
      <c r="P163" s="4" t="s">
        <v>96</v>
      </c>
      <c r="Q163" s="4" t="s">
        <v>69</v>
      </c>
      <c r="R163" s="4" t="s">
        <v>61</v>
      </c>
      <c r="S163" s="4" t="s">
        <v>62</v>
      </c>
      <c r="T163" s="6" t="e">
        <v>#N/A</v>
      </c>
      <c r="U163" s="5">
        <v>56</v>
      </c>
      <c r="V163" s="5">
        <v>44</v>
      </c>
      <c r="W163" s="5">
        <v>65</v>
      </c>
      <c r="X163" s="5">
        <v>63</v>
      </c>
      <c r="Y163" s="5">
        <v>57.14</v>
      </c>
      <c r="Z163" s="5">
        <v>46.83</v>
      </c>
      <c r="AA163" s="5">
        <v>84.13</v>
      </c>
      <c r="AB163" s="5">
        <v>38.1</v>
      </c>
      <c r="AC163" s="6">
        <v>0.4</v>
      </c>
      <c r="AD163" s="6">
        <v>0.35</v>
      </c>
      <c r="AE163" s="6">
        <v>0.25</v>
      </c>
      <c r="AF163" s="4" t="s">
        <v>6296</v>
      </c>
      <c r="AG163" s="4" t="s">
        <v>6296</v>
      </c>
      <c r="AH163" s="4" t="s">
        <v>6296</v>
      </c>
      <c r="AI163" s="4" t="s">
        <v>6296</v>
      </c>
      <c r="AJ163" s="4" t="s">
        <v>6296</v>
      </c>
      <c r="AK163" s="4" t="s">
        <v>6296</v>
      </c>
      <c r="AL163" s="4" t="s">
        <v>6296</v>
      </c>
      <c r="AM163" s="4" t="s">
        <v>42</v>
      </c>
      <c r="AN163" s="4" t="s">
        <v>6296</v>
      </c>
      <c r="AO163" s="4" t="s">
        <v>6296</v>
      </c>
      <c r="AP163" s="4" t="s">
        <v>1328</v>
      </c>
      <c r="AQ163" s="4" t="s">
        <v>47</v>
      </c>
    </row>
    <row r="164" spans="1:43" ht="12.6" customHeight="1" x14ac:dyDescent="0.25">
      <c r="A164" s="8" t="s">
        <v>3720</v>
      </c>
      <c r="B164" s="9">
        <v>20151231</v>
      </c>
      <c r="C164" s="12">
        <f>_xll.FDS("SPX","FG_PRICE(12/30/2015)")</f>
        <v>2063.36</v>
      </c>
      <c r="D164" s="12">
        <f>_xll.FDS("SPX","FG_PRICE(12/30/2017)")</f>
        <v>2673.61</v>
      </c>
      <c r="E164" s="15">
        <f>D164/C164-1</f>
        <v>0.2957554668114144</v>
      </c>
      <c r="F164" s="8" t="s">
        <v>3721</v>
      </c>
      <c r="G164" s="8" t="s">
        <v>3722</v>
      </c>
      <c r="H164" s="13">
        <f>_xll.FDS(G164,"FG_PRICE(12/30/2015)")</f>
        <v>25.9</v>
      </c>
      <c r="I164" s="13">
        <f>_xll.FDS(G164,"FG_PRICE(12/31/2017)")</f>
        <v>51.6</v>
      </c>
      <c r="J164" s="13">
        <f>I164/H164-1</f>
        <v>0.99227799227799252</v>
      </c>
      <c r="K164" s="13">
        <f>J164-E164</f>
        <v>0.69652252546657811</v>
      </c>
      <c r="L164" s="13">
        <f>_xll.FDS(G164,"FF_ROE(ANN_R,12/30/2015)")</f>
        <v>11.57631450435421</v>
      </c>
      <c r="M164" s="8" t="s">
        <v>3723</v>
      </c>
      <c r="N164" s="4" t="s">
        <v>3724</v>
      </c>
      <c r="O164" s="4" t="s">
        <v>3725</v>
      </c>
      <c r="P164" s="4" t="s">
        <v>96</v>
      </c>
      <c r="Q164" s="4" t="s">
        <v>69</v>
      </c>
      <c r="R164" s="4" t="s">
        <v>61</v>
      </c>
      <c r="S164" s="4" t="s">
        <v>62</v>
      </c>
      <c r="T164" s="6" t="e">
        <v>#N/A</v>
      </c>
      <c r="U164" s="5">
        <v>46</v>
      </c>
      <c r="V164" s="5">
        <v>34</v>
      </c>
      <c r="W164" s="5">
        <v>50</v>
      </c>
      <c r="X164" s="5">
        <v>60</v>
      </c>
      <c r="Y164" s="6">
        <v>3.97</v>
      </c>
      <c r="Z164" s="6">
        <v>0</v>
      </c>
      <c r="AA164" s="6">
        <v>2.38</v>
      </c>
      <c r="AB164" s="5">
        <v>24.6</v>
      </c>
      <c r="AC164" s="6">
        <v>0.4</v>
      </c>
      <c r="AD164" s="6">
        <v>0.35</v>
      </c>
      <c r="AE164" s="6">
        <v>0.25</v>
      </c>
      <c r="AF164" s="4" t="s">
        <v>6296</v>
      </c>
      <c r="AG164" s="4" t="s">
        <v>6296</v>
      </c>
      <c r="AH164" s="4" t="s">
        <v>6296</v>
      </c>
      <c r="AI164" s="4" t="s">
        <v>42</v>
      </c>
      <c r="AJ164" s="4" t="s">
        <v>6296</v>
      </c>
      <c r="AK164" s="4" t="s">
        <v>6296</v>
      </c>
      <c r="AL164" s="4" t="s">
        <v>37</v>
      </c>
      <c r="AM164" s="4" t="s">
        <v>42</v>
      </c>
      <c r="AN164" s="4" t="s">
        <v>37</v>
      </c>
      <c r="AO164" s="4" t="s">
        <v>6296</v>
      </c>
      <c r="AP164" s="4" t="s">
        <v>3726</v>
      </c>
      <c r="AQ164" s="4" t="s">
        <v>47</v>
      </c>
    </row>
    <row r="165" spans="1:43" ht="12.6" customHeight="1" x14ac:dyDescent="0.25">
      <c r="A165" s="8" t="s">
        <v>727</v>
      </c>
      <c r="B165" s="9">
        <v>20151231</v>
      </c>
      <c r="C165" s="12">
        <f>_xll.FDS("SPX","FG_PRICE(12/30/2015)")</f>
        <v>2063.36</v>
      </c>
      <c r="D165" s="12">
        <f>_xll.FDS("SPX","FG_PRICE(12/30/2017)")</f>
        <v>2673.61</v>
      </c>
      <c r="E165" s="15">
        <f>D165/C165-1</f>
        <v>0.2957554668114144</v>
      </c>
      <c r="F165" s="8" t="s">
        <v>728</v>
      </c>
      <c r="G165" s="8" t="s">
        <v>729</v>
      </c>
      <c r="H165" s="13">
        <f>_xll.FDS(G165,"FG_PRICE(12/30/2015)")</f>
        <v>19.920000000000002</v>
      </c>
      <c r="I165" s="13">
        <f>_xll.FDS(G165,"FG_PRICE(12/31/2017)")</f>
        <v>35.049999999999997</v>
      </c>
      <c r="J165" s="13">
        <f>I165/H165-1</f>
        <v>0.75953815261044144</v>
      </c>
      <c r="K165" s="13">
        <f>J165-E165</f>
        <v>0.46378268579902704</v>
      </c>
      <c r="L165" s="13">
        <f>_xll.FDS(G165,"FF_ROE(ANN_R,12/30/2015)")</f>
        <v>-11.682730852929</v>
      </c>
      <c r="M165" s="8" t="s">
        <v>730</v>
      </c>
      <c r="N165" s="4" t="s">
        <v>731</v>
      </c>
      <c r="O165" s="4" t="s">
        <v>732</v>
      </c>
      <c r="P165" s="4" t="s">
        <v>96</v>
      </c>
      <c r="Q165" s="4" t="s">
        <v>69</v>
      </c>
      <c r="R165" s="4" t="s">
        <v>61</v>
      </c>
      <c r="S165" s="4" t="s">
        <v>62</v>
      </c>
      <c r="T165" s="6" t="e">
        <v>#N/A</v>
      </c>
      <c r="U165" s="5">
        <v>49</v>
      </c>
      <c r="V165" s="5">
        <v>39</v>
      </c>
      <c r="W165" s="5">
        <v>51</v>
      </c>
      <c r="X165" s="5">
        <v>60</v>
      </c>
      <c r="Y165" s="5">
        <v>15.87</v>
      </c>
      <c r="Z165" s="5">
        <v>30.16</v>
      </c>
      <c r="AA165" s="6">
        <v>3.97</v>
      </c>
      <c r="AB165" s="5">
        <v>24.6</v>
      </c>
      <c r="AC165" s="6">
        <v>0.4</v>
      </c>
      <c r="AD165" s="6">
        <v>0.35</v>
      </c>
      <c r="AE165" s="6">
        <v>0.25</v>
      </c>
      <c r="AF165" s="4" t="s">
        <v>6296</v>
      </c>
      <c r="AG165" s="4" t="s">
        <v>6296</v>
      </c>
      <c r="AH165" s="4" t="s">
        <v>6296</v>
      </c>
      <c r="AI165" s="4" t="s">
        <v>37</v>
      </c>
      <c r="AJ165" s="4" t="s">
        <v>6296</v>
      </c>
      <c r="AK165" s="4" t="s">
        <v>42</v>
      </c>
      <c r="AL165" s="4" t="s">
        <v>6296</v>
      </c>
      <c r="AM165" s="4" t="s">
        <v>42</v>
      </c>
      <c r="AN165" s="4" t="s">
        <v>6296</v>
      </c>
      <c r="AO165" s="4" t="s">
        <v>6296</v>
      </c>
      <c r="AP165" s="4" t="s">
        <v>733</v>
      </c>
      <c r="AQ165" s="4" t="s">
        <v>47</v>
      </c>
    </row>
    <row r="166" spans="1:43" ht="12.6" customHeight="1" x14ac:dyDescent="0.25">
      <c r="A166" s="8" t="s">
        <v>2474</v>
      </c>
      <c r="B166" s="9">
        <v>20151231</v>
      </c>
      <c r="C166" s="12">
        <f>_xll.FDS("SPX","FG_PRICE(12/30/2015)")</f>
        <v>2063.36</v>
      </c>
      <c r="D166" s="12">
        <f>_xll.FDS("SPX","FG_PRICE(12/30/2017)")</f>
        <v>2673.61</v>
      </c>
      <c r="E166" s="15">
        <f>D166/C166-1</f>
        <v>0.2957554668114144</v>
      </c>
      <c r="F166" s="8" t="s">
        <v>2475</v>
      </c>
      <c r="G166" s="8" t="s">
        <v>2476</v>
      </c>
      <c r="H166" s="13">
        <f>_xll.FDS(G166,"FG_PRICE(12/30/2015)")</f>
        <v>55.04</v>
      </c>
      <c r="I166" s="13">
        <f>_xll.FDS(G166,"FG_PRICE(12/31/2017)")</f>
        <v>66.37</v>
      </c>
      <c r="J166" s="13">
        <f>I166/H166-1</f>
        <v>0.20585029069767447</v>
      </c>
      <c r="K166" s="13">
        <f>J166-E166</f>
        <v>-8.9905176113739937E-2</v>
      </c>
      <c r="L166" s="13">
        <f>_xll.FDS(G166,"FF_ROE(ANN_R,12/30/2015)")</f>
        <v>7.3118458561351671</v>
      </c>
      <c r="M166" s="8" t="s">
        <v>2477</v>
      </c>
      <c r="N166" s="4" t="s">
        <v>2477</v>
      </c>
      <c r="O166" s="4" t="s">
        <v>2478</v>
      </c>
      <c r="P166" s="4" t="s">
        <v>96</v>
      </c>
      <c r="Q166" s="4" t="s">
        <v>69</v>
      </c>
      <c r="R166" s="4" t="s">
        <v>61</v>
      </c>
      <c r="S166" s="4" t="s">
        <v>62</v>
      </c>
      <c r="T166" s="6" t="e">
        <v>#N/A</v>
      </c>
      <c r="U166" s="5">
        <v>60</v>
      </c>
      <c r="V166" s="5">
        <v>57</v>
      </c>
      <c r="W166" s="5">
        <v>54</v>
      </c>
      <c r="X166" s="5">
        <v>74</v>
      </c>
      <c r="Y166" s="5">
        <v>73.02</v>
      </c>
      <c r="Z166" s="5">
        <v>76.98</v>
      </c>
      <c r="AA166" s="5">
        <v>23.81</v>
      </c>
      <c r="AB166" s="5">
        <v>85.71</v>
      </c>
      <c r="AC166" s="6">
        <v>0.4</v>
      </c>
      <c r="AD166" s="6">
        <v>0.35</v>
      </c>
      <c r="AE166" s="6">
        <v>0.25</v>
      </c>
      <c r="AF166" s="4" t="s">
        <v>37</v>
      </c>
      <c r="AG166" s="4" t="s">
        <v>6296</v>
      </c>
      <c r="AH166" s="4" t="s">
        <v>6296</v>
      </c>
      <c r="AI166" s="4" t="s">
        <v>42</v>
      </c>
      <c r="AJ166" s="4" t="s">
        <v>6296</v>
      </c>
      <c r="AK166" s="4" t="s">
        <v>45</v>
      </c>
      <c r="AL166" s="4" t="s">
        <v>37</v>
      </c>
      <c r="AM166" s="4" t="s">
        <v>42</v>
      </c>
      <c r="AN166" s="4" t="s">
        <v>6296</v>
      </c>
      <c r="AO166" s="4" t="s">
        <v>6296</v>
      </c>
      <c r="AP166" s="4" t="s">
        <v>2479</v>
      </c>
      <c r="AQ166" s="4" t="s">
        <v>47</v>
      </c>
    </row>
    <row r="167" spans="1:43" ht="12.6" customHeight="1" x14ac:dyDescent="0.25">
      <c r="A167" s="8" t="s">
        <v>800</v>
      </c>
      <c r="B167" s="9">
        <v>20151231</v>
      </c>
      <c r="C167" s="12">
        <f>_xll.FDS("SPX","FG_PRICE(12/30/2015)")</f>
        <v>2063.36</v>
      </c>
      <c r="D167" s="12">
        <f>_xll.FDS("SPX","FG_PRICE(12/30/2017)")</f>
        <v>2673.61</v>
      </c>
      <c r="E167" s="15">
        <f>D167/C167-1</f>
        <v>0.2957554668114144</v>
      </c>
      <c r="F167" s="8" t="s">
        <v>801</v>
      </c>
      <c r="G167" s="8" t="s">
        <v>802</v>
      </c>
      <c r="H167" s="13">
        <f>_xll.FDS(G167,"FG_PRICE(12/30/2015)")</f>
        <v>3.74</v>
      </c>
      <c r="I167" s="13">
        <f>_xll.FDS(G167,"FG_PRICE(12/31/2017)")</f>
        <v>12.08</v>
      </c>
      <c r="J167" s="13">
        <f>I167/H167-1</f>
        <v>2.2299465240641712</v>
      </c>
      <c r="K167" s="13">
        <f>J167-E167</f>
        <v>1.9341910572527568</v>
      </c>
      <c r="L167" s="13">
        <f>_xll.FDS(G167,"FF_ROE(ANN_R,12/30/2015)")</f>
        <v>-20.680385777080961</v>
      </c>
      <c r="M167" s="8" t="s">
        <v>803</v>
      </c>
      <c r="N167" s="4" t="s">
        <v>803</v>
      </c>
      <c r="O167" s="4" t="s">
        <v>804</v>
      </c>
      <c r="P167" s="4" t="s">
        <v>106</v>
      </c>
      <c r="Q167" s="4" t="s">
        <v>69</v>
      </c>
      <c r="R167" s="4" t="s">
        <v>61</v>
      </c>
      <c r="S167" s="4" t="s">
        <v>62</v>
      </c>
      <c r="T167" s="6" t="e">
        <v>#N/A</v>
      </c>
      <c r="U167" s="5">
        <v>51</v>
      </c>
      <c r="V167" s="5">
        <v>37</v>
      </c>
      <c r="W167" s="5">
        <v>58</v>
      </c>
      <c r="X167" s="5">
        <v>64</v>
      </c>
      <c r="Y167" s="5">
        <v>26.19</v>
      </c>
      <c r="Z167" s="5">
        <v>19.05</v>
      </c>
      <c r="AA167" s="5">
        <v>49.21</v>
      </c>
      <c r="AB167" s="5">
        <v>42.06</v>
      </c>
      <c r="AC167" s="6">
        <v>0.4</v>
      </c>
      <c r="AD167" s="6">
        <v>0.35</v>
      </c>
      <c r="AE167" s="6">
        <v>0.25</v>
      </c>
      <c r="AF167" s="4" t="s">
        <v>6296</v>
      </c>
      <c r="AG167" s="4" t="s">
        <v>6296</v>
      </c>
      <c r="AH167" s="4" t="s">
        <v>6296</v>
      </c>
      <c r="AI167" s="4" t="s">
        <v>6296</v>
      </c>
      <c r="AJ167" s="4" t="s">
        <v>6296</v>
      </c>
      <c r="AK167" s="4" t="s">
        <v>46</v>
      </c>
      <c r="AL167" s="4" t="s">
        <v>6296</v>
      </c>
      <c r="AM167" s="4" t="s">
        <v>6296</v>
      </c>
      <c r="AN167" s="4" t="s">
        <v>6296</v>
      </c>
      <c r="AO167" s="4" t="s">
        <v>6296</v>
      </c>
      <c r="AP167" s="4" t="s">
        <v>805</v>
      </c>
      <c r="AQ167" s="4" t="s">
        <v>47</v>
      </c>
    </row>
    <row r="168" spans="1:43" ht="12.6" customHeight="1" x14ac:dyDescent="0.25">
      <c r="A168" s="8" t="s">
        <v>668</v>
      </c>
      <c r="B168" s="9">
        <v>20151231</v>
      </c>
      <c r="C168" s="12">
        <f>_xll.FDS("SPX","FG_PRICE(12/30/2015)")</f>
        <v>2063.36</v>
      </c>
      <c r="D168" s="12">
        <f>_xll.FDS("SPX","FG_PRICE(12/30/2017)")</f>
        <v>2673.61</v>
      </c>
      <c r="E168" s="15">
        <f>D168/C168-1</f>
        <v>0.2957554668114144</v>
      </c>
      <c r="F168" s="8" t="s">
        <v>669</v>
      </c>
      <c r="G168" s="8" t="s">
        <v>670</v>
      </c>
      <c r="H168" s="13">
        <f>_xll.FDS(G168,"FG_PRICE(12/30/2015)")</f>
        <v>50.6</v>
      </c>
      <c r="I168" s="13">
        <f>_xll.FDS(G168,"FG_PRICE(12/31/2017)")</f>
        <v>77.599999999999994</v>
      </c>
      <c r="J168" s="13">
        <f>I168/H168-1</f>
        <v>0.53359683794466384</v>
      </c>
      <c r="K168" s="13">
        <f>J168-E168</f>
        <v>0.23784137113324944</v>
      </c>
      <c r="L168" s="13" t="e">
        <f>_xll.FDS(G168,"FF_ROE(ANN_R,12/30/2015)")</f>
        <v>#N/A</v>
      </c>
      <c r="M168" s="8" t="s">
        <v>671</v>
      </c>
      <c r="N168" s="4" t="s">
        <v>672</v>
      </c>
      <c r="O168" s="4" t="s">
        <v>673</v>
      </c>
      <c r="P168" s="4" t="s">
        <v>96</v>
      </c>
      <c r="Q168" s="4" t="s">
        <v>69</v>
      </c>
      <c r="R168" s="4" t="s">
        <v>61</v>
      </c>
      <c r="S168" s="4" t="s">
        <v>62</v>
      </c>
      <c r="T168" s="6" t="e">
        <v>#N/A</v>
      </c>
      <c r="U168" s="5">
        <v>54</v>
      </c>
      <c r="V168" s="5">
        <v>35</v>
      </c>
      <c r="W168" s="5">
        <v>59</v>
      </c>
      <c r="X168" s="5">
        <v>75</v>
      </c>
      <c r="Y168" s="5">
        <v>43.65</v>
      </c>
      <c r="Z168" s="5">
        <v>12.7</v>
      </c>
      <c r="AA168" s="5">
        <v>53.17</v>
      </c>
      <c r="AB168" s="5">
        <v>86.51</v>
      </c>
      <c r="AC168" s="6">
        <v>0.4</v>
      </c>
      <c r="AD168" s="6">
        <v>0.35</v>
      </c>
      <c r="AE168" s="6">
        <v>0.25</v>
      </c>
      <c r="AF168" s="4" t="s">
        <v>6296</v>
      </c>
      <c r="AG168" s="4" t="s">
        <v>6296</v>
      </c>
      <c r="AH168" s="4" t="s">
        <v>6296</v>
      </c>
      <c r="AI168" s="4" t="s">
        <v>42</v>
      </c>
      <c r="AJ168" s="4" t="s">
        <v>6296</v>
      </c>
      <c r="AK168" s="4" t="s">
        <v>6296</v>
      </c>
      <c r="AL168" s="4" t="s">
        <v>6296</v>
      </c>
      <c r="AM168" s="4" t="s">
        <v>6296</v>
      </c>
      <c r="AN168" s="4" t="s">
        <v>6296</v>
      </c>
      <c r="AO168" s="4" t="s">
        <v>6296</v>
      </c>
      <c r="AP168" s="4" t="s">
        <v>674</v>
      </c>
      <c r="AQ168" s="4" t="s">
        <v>47</v>
      </c>
    </row>
    <row r="169" spans="1:43" ht="12.6" customHeight="1" x14ac:dyDescent="0.25">
      <c r="A169" s="8" t="s">
        <v>4734</v>
      </c>
      <c r="B169" s="9">
        <v>20151231</v>
      </c>
      <c r="C169" s="12">
        <f>_xll.FDS("SPX","FG_PRICE(12/30/2015)")</f>
        <v>2063.36</v>
      </c>
      <c r="D169" s="12">
        <f>_xll.FDS("SPX","FG_PRICE(12/30/2017)")</f>
        <v>2673.61</v>
      </c>
      <c r="E169" s="15">
        <f>D169/C169-1</f>
        <v>0.2957554668114144</v>
      </c>
      <c r="F169" s="8" t="s">
        <v>4735</v>
      </c>
      <c r="G169" s="8" t="s">
        <v>4736</v>
      </c>
      <c r="H169" s="13">
        <f>_xll.FDS(G169,"FG_PRICE(12/30/2015)")</f>
        <v>485.79</v>
      </c>
      <c r="I169" s="13">
        <f>_xll.FDS(G169,"FG_PRICE(12/31/2017)")</f>
        <v>289.02999999999997</v>
      </c>
      <c r="J169" s="13">
        <f>I169/H169-1</f>
        <v>-0.40503098046481001</v>
      </c>
      <c r="K169" s="13">
        <f>J169-E169</f>
        <v>-0.70078644727622441</v>
      </c>
      <c r="L169" s="13">
        <f>_xll.FDS(G169,"FF_ROE(ANN_R,12/30/2015)")</f>
        <v>25.08685012379399</v>
      </c>
      <c r="M169" s="8" t="s">
        <v>4737</v>
      </c>
      <c r="N169" s="4" t="s">
        <v>4738</v>
      </c>
      <c r="O169" s="4" t="s">
        <v>1181</v>
      </c>
      <c r="P169" s="4" t="s">
        <v>96</v>
      </c>
      <c r="Q169" s="4" t="s">
        <v>69</v>
      </c>
      <c r="R169" s="4" t="s">
        <v>61</v>
      </c>
      <c r="S169" s="4" t="s">
        <v>62</v>
      </c>
      <c r="T169" s="6" t="e">
        <v>#N/A</v>
      </c>
      <c r="U169" s="5">
        <v>57</v>
      </c>
      <c r="V169" s="5">
        <v>50</v>
      </c>
      <c r="W169" s="5">
        <v>55</v>
      </c>
      <c r="X169" s="5">
        <v>70</v>
      </c>
      <c r="Y169" s="5">
        <v>61.11</v>
      </c>
      <c r="Z169" s="5">
        <v>61.11</v>
      </c>
      <c r="AA169" s="5">
        <v>34.130000000000003</v>
      </c>
      <c r="AB169" s="5">
        <v>69.05</v>
      </c>
      <c r="AC169" s="6">
        <v>0.4</v>
      </c>
      <c r="AD169" s="6">
        <v>0.35</v>
      </c>
      <c r="AE169" s="6">
        <v>0.25</v>
      </c>
      <c r="AF169" s="4" t="s">
        <v>6296</v>
      </c>
      <c r="AG169" s="4" t="s">
        <v>6296</v>
      </c>
      <c r="AH169" s="4" t="s">
        <v>6296</v>
      </c>
      <c r="AI169" s="4" t="s">
        <v>37</v>
      </c>
      <c r="AJ169" s="4" t="s">
        <v>37</v>
      </c>
      <c r="AK169" s="4" t="s">
        <v>37</v>
      </c>
      <c r="AL169" s="4" t="s">
        <v>6296</v>
      </c>
      <c r="AM169" s="4" t="s">
        <v>6296</v>
      </c>
      <c r="AN169" s="4" t="s">
        <v>42</v>
      </c>
      <c r="AO169" s="4" t="s">
        <v>6296</v>
      </c>
      <c r="AP169" s="4" t="s">
        <v>4739</v>
      </c>
      <c r="AQ169" s="4" t="s">
        <v>47</v>
      </c>
    </row>
    <row r="170" spans="1:43" ht="12.6" customHeight="1" x14ac:dyDescent="0.25">
      <c r="A170" s="8" t="s">
        <v>5071</v>
      </c>
      <c r="B170" s="9">
        <v>20151231</v>
      </c>
      <c r="C170" s="12">
        <f>_xll.FDS("SPX","FG_PRICE(12/30/2015)")</f>
        <v>2063.36</v>
      </c>
      <c r="D170" s="12">
        <f>_xll.FDS("SPX","FG_PRICE(12/30/2017)")</f>
        <v>2673.61</v>
      </c>
      <c r="E170" s="15">
        <f>D170/C170-1</f>
        <v>0.2957554668114144</v>
      </c>
      <c r="F170" s="8" t="s">
        <v>5072</v>
      </c>
      <c r="G170" s="8" t="s">
        <v>5073</v>
      </c>
      <c r="H170" s="13">
        <f>_xll.FDS(G170,"FG_PRICE(12/30/2015)")</f>
        <v>42.67</v>
      </c>
      <c r="I170" s="13">
        <f>_xll.FDS(G170,"FG_PRICE(12/31/2017)")</f>
        <v>64.47</v>
      </c>
      <c r="J170" s="13">
        <f>I170/H170-1</f>
        <v>0.51089758612608382</v>
      </c>
      <c r="K170" s="13">
        <f>J170-E170</f>
        <v>0.21514211931466942</v>
      </c>
      <c r="L170" s="13">
        <f>_xll.FDS(G170,"FF_ROE(ANN_R,12/30/2015)")</f>
        <v>45.492875817246357</v>
      </c>
      <c r="M170" s="8" t="s">
        <v>5074</v>
      </c>
      <c r="N170" s="4" t="s">
        <v>5075</v>
      </c>
      <c r="O170" s="4" t="s">
        <v>5076</v>
      </c>
      <c r="P170" s="4" t="s">
        <v>106</v>
      </c>
      <c r="Q170" s="4" t="s">
        <v>69</v>
      </c>
      <c r="R170" s="4" t="s">
        <v>61</v>
      </c>
      <c r="S170" s="4" t="s">
        <v>62</v>
      </c>
      <c r="T170" s="6" t="e">
        <v>#N/A</v>
      </c>
      <c r="U170" s="5">
        <v>57</v>
      </c>
      <c r="V170" s="5">
        <v>42</v>
      </c>
      <c r="W170" s="5">
        <v>63</v>
      </c>
      <c r="X170" s="5">
        <v>71</v>
      </c>
      <c r="Y170" s="5">
        <v>61.11</v>
      </c>
      <c r="Z170" s="5">
        <v>38.89</v>
      </c>
      <c r="AA170" s="5">
        <v>75.400000000000006</v>
      </c>
      <c r="AB170" s="5">
        <v>75.400000000000006</v>
      </c>
      <c r="AC170" s="6">
        <v>0.4</v>
      </c>
      <c r="AD170" s="6">
        <v>0.35</v>
      </c>
      <c r="AE170" s="6">
        <v>0.25</v>
      </c>
      <c r="AF170" s="4" t="s">
        <v>6296</v>
      </c>
      <c r="AG170" s="4" t="s">
        <v>42</v>
      </c>
      <c r="AH170" s="4" t="s">
        <v>6296</v>
      </c>
      <c r="AI170" s="4" t="s">
        <v>42</v>
      </c>
      <c r="AJ170" s="4" t="s">
        <v>6296</v>
      </c>
      <c r="AK170" s="4" t="s">
        <v>42</v>
      </c>
      <c r="AL170" s="4" t="s">
        <v>6296</v>
      </c>
      <c r="AM170" s="4" t="s">
        <v>42</v>
      </c>
      <c r="AN170" s="4" t="s">
        <v>6296</v>
      </c>
      <c r="AO170" s="4" t="s">
        <v>6296</v>
      </c>
      <c r="AP170" s="4" t="s">
        <v>5077</v>
      </c>
      <c r="AQ170" s="4" t="s">
        <v>47</v>
      </c>
    </row>
    <row r="171" spans="1:43" ht="12.6" customHeight="1" x14ac:dyDescent="0.25">
      <c r="A171" s="8" t="s">
        <v>1413</v>
      </c>
      <c r="B171" s="9">
        <v>20151231</v>
      </c>
      <c r="C171" s="12">
        <f>_xll.FDS("SPX","FG_PRICE(12/30/2015)")</f>
        <v>2063.36</v>
      </c>
      <c r="D171" s="12">
        <f>_xll.FDS("SPX","FG_PRICE(12/30/2017)")</f>
        <v>2673.61</v>
      </c>
      <c r="E171" s="15">
        <f>D171/C171-1</f>
        <v>0.2957554668114144</v>
      </c>
      <c r="F171" s="8" t="s">
        <v>1414</v>
      </c>
      <c r="G171" s="8" t="s">
        <v>1415</v>
      </c>
      <c r="H171" s="13">
        <f>_xll.FDS(G171,"FG_PRICE(12/30/2015)")</f>
        <v>64.290000000000006</v>
      </c>
      <c r="I171" s="13">
        <f>_xll.FDS(G171,"FG_PRICE(12/31/2017)")</f>
        <v>96.02</v>
      </c>
      <c r="J171" s="13">
        <f>I171/H171-1</f>
        <v>0.49354487478612508</v>
      </c>
      <c r="K171" s="13">
        <f>J171-E171</f>
        <v>0.19778940797471067</v>
      </c>
      <c r="L171" s="13">
        <f>_xll.FDS(G171,"FF_ROE(ANN_R,12/30/2015)")</f>
        <v>8.7475503295920181</v>
      </c>
      <c r="M171" s="8" t="s">
        <v>1416</v>
      </c>
      <c r="N171" s="4" t="s">
        <v>1417</v>
      </c>
      <c r="O171" s="4" t="s">
        <v>1418</v>
      </c>
      <c r="P171" s="4" t="s">
        <v>96</v>
      </c>
      <c r="Q171" s="4" t="s">
        <v>69</v>
      </c>
      <c r="R171" s="4" t="s">
        <v>61</v>
      </c>
      <c r="S171" s="4" t="s">
        <v>62</v>
      </c>
      <c r="T171" s="6" t="e">
        <v>#N/A</v>
      </c>
      <c r="U171" s="5">
        <v>59</v>
      </c>
      <c r="V171" s="5">
        <v>57</v>
      </c>
      <c r="W171" s="5">
        <v>55</v>
      </c>
      <c r="X171" s="5">
        <v>69</v>
      </c>
      <c r="Y171" s="5">
        <v>70.63</v>
      </c>
      <c r="Z171" s="5">
        <v>76.98</v>
      </c>
      <c r="AA171" s="5">
        <v>34.130000000000003</v>
      </c>
      <c r="AB171" s="5">
        <v>66.67</v>
      </c>
      <c r="AC171" s="6">
        <v>0.4</v>
      </c>
      <c r="AD171" s="6">
        <v>0.35</v>
      </c>
      <c r="AE171" s="6">
        <v>0.25</v>
      </c>
      <c r="AF171" s="4" t="s">
        <v>6296</v>
      </c>
      <c r="AG171" s="4" t="s">
        <v>6296</v>
      </c>
      <c r="AH171" s="4" t="s">
        <v>6296</v>
      </c>
      <c r="AI171" s="4" t="s">
        <v>42</v>
      </c>
      <c r="AJ171" s="4" t="s">
        <v>37</v>
      </c>
      <c r="AK171" s="4" t="s">
        <v>37</v>
      </c>
      <c r="AL171" s="4" t="s">
        <v>6296</v>
      </c>
      <c r="AM171" s="4" t="s">
        <v>42</v>
      </c>
      <c r="AN171" s="4" t="s">
        <v>42</v>
      </c>
      <c r="AO171" s="4" t="s">
        <v>6296</v>
      </c>
      <c r="AP171" s="4" t="s">
        <v>1419</v>
      </c>
      <c r="AQ171" s="4" t="s">
        <v>47</v>
      </c>
    </row>
    <row r="172" spans="1:43" ht="12.6" customHeight="1" x14ac:dyDescent="0.25">
      <c r="A172" s="8" t="s">
        <v>984</v>
      </c>
      <c r="B172" s="9">
        <v>20151231</v>
      </c>
      <c r="C172" s="12">
        <f>_xll.FDS("SPX","FG_PRICE(12/30/2015)")</f>
        <v>2063.36</v>
      </c>
      <c r="D172" s="12">
        <f>_xll.FDS("SPX","FG_PRICE(12/30/2017)")</f>
        <v>2673.61</v>
      </c>
      <c r="E172" s="15">
        <f>D172/C172-1</f>
        <v>0.2957554668114144</v>
      </c>
      <c r="F172" s="8" t="s">
        <v>985</v>
      </c>
      <c r="G172" s="8" t="s">
        <v>986</v>
      </c>
      <c r="H172" s="13">
        <f>_xll.FDS(G172,"FG_PRICE(12/30/2015)")</f>
        <v>48.06</v>
      </c>
      <c r="I172" s="13">
        <f>_xll.FDS(G172,"FG_PRICE(12/31/2017)")</f>
        <v>38.840000000000003</v>
      </c>
      <c r="J172" s="13">
        <f>I172/H172-1</f>
        <v>-0.1918435289221806</v>
      </c>
      <c r="K172" s="13">
        <f>J172-E172</f>
        <v>-0.487598995733595</v>
      </c>
      <c r="L172" s="13" t="e">
        <f>_xll.FDS(G172,"FF_ROE(ANN_R,12/30/2015)")</f>
        <v>#N/A</v>
      </c>
      <c r="M172" s="8" t="s">
        <v>987</v>
      </c>
      <c r="N172" s="4" t="s">
        <v>988</v>
      </c>
      <c r="O172" s="4" t="s">
        <v>989</v>
      </c>
      <c r="P172" s="4" t="s">
        <v>96</v>
      </c>
      <c r="Q172" s="4" t="s">
        <v>69</v>
      </c>
      <c r="R172" s="4" t="s">
        <v>61</v>
      </c>
      <c r="S172" s="4" t="s">
        <v>62</v>
      </c>
      <c r="T172" s="6" t="e">
        <v>#N/A</v>
      </c>
      <c r="U172" s="5">
        <v>50</v>
      </c>
      <c r="V172" s="5">
        <v>34</v>
      </c>
      <c r="W172" s="5">
        <v>57</v>
      </c>
      <c r="X172" s="5">
        <v>66</v>
      </c>
      <c r="Y172" s="5">
        <v>22.22</v>
      </c>
      <c r="Z172" s="6">
        <v>0</v>
      </c>
      <c r="AA172" s="5">
        <v>45.24</v>
      </c>
      <c r="AB172" s="5">
        <v>52.38</v>
      </c>
      <c r="AC172" s="6">
        <v>0.4</v>
      </c>
      <c r="AD172" s="6">
        <v>0.35</v>
      </c>
      <c r="AE172" s="6">
        <v>0.25</v>
      </c>
      <c r="AF172" s="4" t="s">
        <v>6296</v>
      </c>
      <c r="AG172" s="4" t="s">
        <v>6296</v>
      </c>
      <c r="AH172" s="4" t="s">
        <v>6296</v>
      </c>
      <c r="AI172" s="4" t="s">
        <v>6296</v>
      </c>
      <c r="AJ172" s="4" t="s">
        <v>6296</v>
      </c>
      <c r="AK172" s="4" t="s">
        <v>6296</v>
      </c>
      <c r="AL172" s="4" t="s">
        <v>6296</v>
      </c>
      <c r="AM172" s="4" t="s">
        <v>6296</v>
      </c>
      <c r="AN172" s="4" t="s">
        <v>6296</v>
      </c>
      <c r="AO172" s="4" t="s">
        <v>6296</v>
      </c>
      <c r="AP172" s="4" t="s">
        <v>990</v>
      </c>
      <c r="AQ172" s="4" t="s">
        <v>47</v>
      </c>
    </row>
    <row r="173" spans="1:43" ht="12.6" customHeight="1" x14ac:dyDescent="0.25">
      <c r="A173" s="8" t="s">
        <v>6499</v>
      </c>
      <c r="B173" s="9">
        <v>20151231</v>
      </c>
      <c r="C173" s="12">
        <f>_xll.FDS("SPX","FG_PRICE(12/30/2015)")</f>
        <v>2063.36</v>
      </c>
      <c r="D173" s="12">
        <f>_xll.FDS("SPX","FG_PRICE(12/30/2017)")</f>
        <v>2673.61</v>
      </c>
      <c r="E173" s="15">
        <f>D173/C173-1</f>
        <v>0.2957554668114144</v>
      </c>
      <c r="F173" s="8" t="s">
        <v>6500</v>
      </c>
      <c r="G173" s="8" t="s">
        <v>6501</v>
      </c>
      <c r="H173" s="13">
        <f>_xll.FDS(G173,"FG_PRICE(12/30/2015)")</f>
        <v>8.5000000000000006E-2</v>
      </c>
      <c r="I173" s="13">
        <f>_xll.FDS(G173,"FG_PRICE(12/31/2017)")</f>
        <v>3.5000000000000001E-3</v>
      </c>
      <c r="J173" s="13">
        <f>I173/H173-1</f>
        <v>-0.95882352941176474</v>
      </c>
      <c r="K173" s="13">
        <f>J173-E173</f>
        <v>-1.254578996223179</v>
      </c>
      <c r="L173" s="13" t="e">
        <f>_xll.FDS(G173,"FF_ROE(ANN_R,12/30/2015)")</f>
        <v>#N/A</v>
      </c>
      <c r="M173" s="8" t="s">
        <v>6502</v>
      </c>
      <c r="N173" s="4" t="s">
        <v>6502</v>
      </c>
      <c r="O173" s="4" t="s">
        <v>6503</v>
      </c>
      <c r="P173" s="4" t="s">
        <v>320</v>
      </c>
      <c r="Q173" s="4" t="s">
        <v>69</v>
      </c>
      <c r="R173" s="4" t="s">
        <v>61</v>
      </c>
      <c r="S173" s="4" t="s">
        <v>62</v>
      </c>
      <c r="T173" s="6" t="e">
        <v>#N/A</v>
      </c>
      <c r="U173" s="5">
        <v>47</v>
      </c>
      <c r="V173" s="5">
        <v>37</v>
      </c>
      <c r="W173" s="5">
        <v>62</v>
      </c>
      <c r="X173" s="5">
        <v>44</v>
      </c>
      <c r="Y173" s="6">
        <v>7.94</v>
      </c>
      <c r="Z173" s="5">
        <v>19.05</v>
      </c>
      <c r="AA173" s="5">
        <v>69.84</v>
      </c>
      <c r="AB173" s="6">
        <v>0</v>
      </c>
      <c r="AC173" s="6">
        <v>0.4</v>
      </c>
      <c r="AD173" s="6">
        <v>0.35</v>
      </c>
      <c r="AE173" s="6">
        <v>0.25</v>
      </c>
      <c r="AF173" s="4" t="s">
        <v>6296</v>
      </c>
      <c r="AG173" s="4" t="s">
        <v>6296</v>
      </c>
      <c r="AH173" s="4" t="s">
        <v>6296</v>
      </c>
      <c r="AI173" s="4" t="s">
        <v>6296</v>
      </c>
      <c r="AJ173" s="4" t="s">
        <v>6296</v>
      </c>
      <c r="AK173" s="4" t="s">
        <v>42</v>
      </c>
      <c r="AL173" s="4" t="s">
        <v>6296</v>
      </c>
      <c r="AM173" s="4" t="s">
        <v>46</v>
      </c>
      <c r="AN173" s="4" t="s">
        <v>37</v>
      </c>
      <c r="AO173" s="4" t="s">
        <v>6296</v>
      </c>
      <c r="AP173" s="4" t="s">
        <v>6504</v>
      </c>
      <c r="AQ173" s="4" t="s">
        <v>47</v>
      </c>
    </row>
    <row r="174" spans="1:43" ht="12.6" customHeight="1" x14ac:dyDescent="0.25">
      <c r="A174" s="8" t="s">
        <v>2091</v>
      </c>
      <c r="B174" s="9">
        <v>20151231</v>
      </c>
      <c r="C174" s="12">
        <f>_xll.FDS("SPX","FG_PRICE(12/30/2015)")</f>
        <v>2063.36</v>
      </c>
      <c r="D174" s="12">
        <f>_xll.FDS("SPX","FG_PRICE(12/30/2017)")</f>
        <v>2673.61</v>
      </c>
      <c r="E174" s="15">
        <f>D174/C174-1</f>
        <v>0.2957554668114144</v>
      </c>
      <c r="F174" s="8" t="s">
        <v>2092</v>
      </c>
      <c r="G174" s="8" t="s">
        <v>2093</v>
      </c>
      <c r="H174" s="13">
        <f>_xll.FDS(G174,"FG_PRICE(12/30/2015)")</f>
        <v>3.84</v>
      </c>
      <c r="I174" s="13">
        <f>_xll.FDS(G174,"FG_PRICE(12/31/2017)")</f>
        <v>2.0000000000000001E-4</v>
      </c>
      <c r="J174" s="13">
        <f>I174/H174-1</f>
        <v>-0.99994791666666671</v>
      </c>
      <c r="K174" s="13">
        <f>J174-E174</f>
        <v>-1.2957033834780811</v>
      </c>
      <c r="L174" s="13">
        <f>_xll.FDS(G174,"FF_ROE(ANN_R,12/30/2015)")</f>
        <v>18.09730014977611</v>
      </c>
      <c r="M174" s="8" t="s">
        <v>2094</v>
      </c>
      <c r="N174" s="4" t="s">
        <v>2095</v>
      </c>
      <c r="O174" s="4" t="s">
        <v>2096</v>
      </c>
      <c r="P174" s="4" t="s">
        <v>96</v>
      </c>
      <c r="Q174" s="4" t="s">
        <v>69</v>
      </c>
      <c r="R174" s="4" t="s">
        <v>61</v>
      </c>
      <c r="S174" s="4" t="s">
        <v>62</v>
      </c>
      <c r="T174" s="6" t="e">
        <v>#N/A</v>
      </c>
      <c r="U174" s="5">
        <v>48</v>
      </c>
      <c r="V174" s="5">
        <v>34</v>
      </c>
      <c r="W174" s="5">
        <v>50</v>
      </c>
      <c r="X174" s="5">
        <v>66</v>
      </c>
      <c r="Y174" s="5">
        <v>11.9</v>
      </c>
      <c r="Z174" s="6">
        <v>0</v>
      </c>
      <c r="AA174" s="6">
        <v>2.38</v>
      </c>
      <c r="AB174" s="5">
        <v>52.38</v>
      </c>
      <c r="AC174" s="6">
        <v>0.4</v>
      </c>
      <c r="AD174" s="6">
        <v>0.35</v>
      </c>
      <c r="AE174" s="6">
        <v>0.25</v>
      </c>
      <c r="AF174" s="4" t="s">
        <v>6296</v>
      </c>
      <c r="AG174" s="4" t="s">
        <v>6296</v>
      </c>
      <c r="AH174" s="4" t="s">
        <v>6296</v>
      </c>
      <c r="AI174" s="4" t="s">
        <v>6296</v>
      </c>
      <c r="AJ174" s="4" t="s">
        <v>6296</v>
      </c>
      <c r="AK174" s="4" t="s">
        <v>6296</v>
      </c>
      <c r="AL174" s="4" t="s">
        <v>6296</v>
      </c>
      <c r="AM174" s="4" t="s">
        <v>37</v>
      </c>
      <c r="AN174" s="4" t="s">
        <v>6296</v>
      </c>
      <c r="AO174" s="4" t="s">
        <v>6296</v>
      </c>
      <c r="AP174" s="4" t="s">
        <v>2097</v>
      </c>
      <c r="AQ174" s="4" t="s">
        <v>47</v>
      </c>
    </row>
    <row r="175" spans="1:43" ht="12.6" customHeight="1" x14ac:dyDescent="0.25">
      <c r="A175" s="8" t="s">
        <v>5840</v>
      </c>
      <c r="B175" s="9">
        <v>20151231</v>
      </c>
      <c r="C175" s="12">
        <f>_xll.FDS("SPX","FG_PRICE(12/30/2015)")</f>
        <v>2063.36</v>
      </c>
      <c r="D175" s="12">
        <f>_xll.FDS("SPX","FG_PRICE(12/30/2017)")</f>
        <v>2673.61</v>
      </c>
      <c r="E175" s="15">
        <f>D175/C175-1</f>
        <v>0.2957554668114144</v>
      </c>
      <c r="F175" s="8" t="s">
        <v>5841</v>
      </c>
      <c r="G175" s="8" t="s">
        <v>5842</v>
      </c>
      <c r="H175" s="13">
        <f>_xll.FDS(G175,"FG_PRICE(12/30/2015)")</f>
        <v>493.54</v>
      </c>
      <c r="I175" s="13">
        <f>_xll.FDS(G175,"FG_PRICE(12/31/2017)")</f>
        <v>558.35</v>
      </c>
      <c r="J175" s="13">
        <f>I175/H175-1</f>
        <v>0.13131661060906907</v>
      </c>
      <c r="K175" s="13">
        <f>J175-E175</f>
        <v>-0.16443885620234533</v>
      </c>
      <c r="L175" s="13">
        <f>_xll.FDS(G175,"FF_ROE(ANN_R,12/30/2015)")</f>
        <v>23.670235939073979</v>
      </c>
      <c r="M175" s="8" t="s">
        <v>5843</v>
      </c>
      <c r="N175" s="4" t="s">
        <v>5844</v>
      </c>
      <c r="O175" s="4" t="s">
        <v>5436</v>
      </c>
      <c r="P175" s="4" t="s">
        <v>96</v>
      </c>
      <c r="Q175" s="4" t="s">
        <v>69</v>
      </c>
      <c r="R175" s="4" t="s">
        <v>61</v>
      </c>
      <c r="S175" s="4" t="s">
        <v>62</v>
      </c>
      <c r="T175" s="6" t="e">
        <v>#N/A</v>
      </c>
      <c r="U175" s="5">
        <v>53</v>
      </c>
      <c r="V175" s="5">
        <v>42</v>
      </c>
      <c r="W175" s="5">
        <v>58</v>
      </c>
      <c r="X175" s="5">
        <v>63</v>
      </c>
      <c r="Y175" s="5">
        <v>38.89</v>
      </c>
      <c r="Z175" s="5">
        <v>38.89</v>
      </c>
      <c r="AA175" s="5">
        <v>49.21</v>
      </c>
      <c r="AB175" s="5">
        <v>38.1</v>
      </c>
      <c r="AC175" s="6">
        <v>0.4</v>
      </c>
      <c r="AD175" s="6">
        <v>0.35</v>
      </c>
      <c r="AE175" s="6">
        <v>0.25</v>
      </c>
      <c r="AF175" s="4" t="s">
        <v>6296</v>
      </c>
      <c r="AG175" s="4" t="s">
        <v>6296</v>
      </c>
      <c r="AH175" s="4" t="s">
        <v>6296</v>
      </c>
      <c r="AI175" s="4" t="s">
        <v>6296</v>
      </c>
      <c r="AJ175" s="4" t="s">
        <v>6296</v>
      </c>
      <c r="AK175" s="4" t="s">
        <v>37</v>
      </c>
      <c r="AL175" s="4" t="s">
        <v>6296</v>
      </c>
      <c r="AM175" s="4" t="s">
        <v>6296</v>
      </c>
      <c r="AN175" s="4" t="s">
        <v>6296</v>
      </c>
      <c r="AO175" s="4" t="s">
        <v>6296</v>
      </c>
      <c r="AP175" s="4" t="s">
        <v>5845</v>
      </c>
      <c r="AQ175" s="4" t="s">
        <v>47</v>
      </c>
    </row>
    <row r="176" spans="1:43" ht="12.6" customHeight="1" x14ac:dyDescent="0.25">
      <c r="A176" s="8" t="s">
        <v>5009</v>
      </c>
      <c r="B176" s="9">
        <v>20151231</v>
      </c>
      <c r="C176" s="12">
        <f>_xll.FDS("SPX","FG_PRICE(12/30/2015)")</f>
        <v>2063.36</v>
      </c>
      <c r="D176" s="12">
        <f>_xll.FDS("SPX","FG_PRICE(12/30/2017)")</f>
        <v>2673.61</v>
      </c>
      <c r="E176" s="15">
        <f>D176/C176-1</f>
        <v>0.2957554668114144</v>
      </c>
      <c r="F176" s="8" t="s">
        <v>5010</v>
      </c>
      <c r="G176" s="8" t="s">
        <v>5011</v>
      </c>
      <c r="H176" s="13">
        <f>_xll.FDS(G176,"FG_PRICE(12/30/2015)")</f>
        <v>30.06</v>
      </c>
      <c r="I176" s="13">
        <f>_xll.FDS(G176,"FG_PRICE(12/31/2017)")</f>
        <v>44.7</v>
      </c>
      <c r="J176" s="13">
        <f>I176/H176-1</f>
        <v>0.48702594810379263</v>
      </c>
      <c r="K176" s="13">
        <f>J176-E176</f>
        <v>0.19127048129237822</v>
      </c>
      <c r="L176" s="13">
        <f>_xll.FDS(G176,"FF_ROE(ANN_R,12/30/2015)")</f>
        <v>18.923050789876001</v>
      </c>
      <c r="M176" s="8" t="s">
        <v>5012</v>
      </c>
      <c r="N176" s="4" t="s">
        <v>5013</v>
      </c>
      <c r="O176" s="4" t="s">
        <v>5014</v>
      </c>
      <c r="P176" s="4" t="s">
        <v>96</v>
      </c>
      <c r="Q176" s="4" t="s">
        <v>69</v>
      </c>
      <c r="R176" s="4" t="s">
        <v>61</v>
      </c>
      <c r="S176" s="4" t="s">
        <v>62</v>
      </c>
      <c r="T176" s="6" t="e">
        <v>#N/A</v>
      </c>
      <c r="U176" s="5">
        <v>52</v>
      </c>
      <c r="V176" s="5">
        <v>34</v>
      </c>
      <c r="W176" s="5">
        <v>56</v>
      </c>
      <c r="X176" s="5">
        <v>77</v>
      </c>
      <c r="Y176" s="5">
        <v>30.16</v>
      </c>
      <c r="Z176" s="6">
        <v>0</v>
      </c>
      <c r="AA176" s="5">
        <v>40.479999999999997</v>
      </c>
      <c r="AB176" s="5">
        <v>91.27</v>
      </c>
      <c r="AC176" s="6">
        <v>0.4</v>
      </c>
      <c r="AD176" s="6">
        <v>0.35</v>
      </c>
      <c r="AE176" s="6">
        <v>0.25</v>
      </c>
      <c r="AF176" s="4" t="s">
        <v>6296</v>
      </c>
      <c r="AG176" s="4" t="s">
        <v>6296</v>
      </c>
      <c r="AH176" s="4" t="s">
        <v>6296</v>
      </c>
      <c r="AI176" s="4" t="s">
        <v>6296</v>
      </c>
      <c r="AJ176" s="4" t="s">
        <v>6296</v>
      </c>
      <c r="AK176" s="4" t="s">
        <v>6296</v>
      </c>
      <c r="AL176" s="4" t="s">
        <v>6296</v>
      </c>
      <c r="AM176" s="4" t="s">
        <v>6296</v>
      </c>
      <c r="AN176" s="4" t="s">
        <v>6296</v>
      </c>
      <c r="AO176" s="4" t="s">
        <v>6296</v>
      </c>
      <c r="AP176" s="4" t="s">
        <v>5015</v>
      </c>
      <c r="AQ176" s="4" t="s">
        <v>47</v>
      </c>
    </row>
    <row r="177" spans="1:43" ht="12.6" customHeight="1" x14ac:dyDescent="0.25">
      <c r="A177" s="8" t="s">
        <v>6537</v>
      </c>
      <c r="B177" s="9">
        <v>20151231</v>
      </c>
      <c r="C177" s="12">
        <f>_xll.FDS("SPX","FG_PRICE(12/30/2015)")</f>
        <v>2063.36</v>
      </c>
      <c r="D177" s="12">
        <f>_xll.FDS("SPX","FG_PRICE(12/30/2017)")</f>
        <v>2673.61</v>
      </c>
      <c r="E177" s="15">
        <f>D177/C177-1</f>
        <v>0.2957554668114144</v>
      </c>
      <c r="F177" s="8" t="s">
        <v>6174</v>
      </c>
      <c r="G177" s="8" t="s">
        <v>6175</v>
      </c>
      <c r="H177" s="13">
        <f>_xll.FDS(G177,"FG_PRICE(12/30/2015)")</f>
        <v>44.316673000000002</v>
      </c>
      <c r="I177" s="13">
        <f>_xll.FDS(G177,"FG_PRICE(12/31/2017)")</f>
        <v>79.86</v>
      </c>
      <c r="J177" s="13">
        <f>I177/H177-1</f>
        <v>0.8020305811313948</v>
      </c>
      <c r="K177" s="13">
        <f>J177-E177</f>
        <v>0.5062751143199804</v>
      </c>
      <c r="L177" s="13">
        <f>_xll.FDS(G177,"FF_ROE(ANN_R,12/30/2015)")</f>
        <v>14.76686780032913</v>
      </c>
      <c r="M177" s="8" t="s">
        <v>6176</v>
      </c>
      <c r="N177" s="4" t="s">
        <v>6177</v>
      </c>
      <c r="O177" s="4" t="s">
        <v>6178</v>
      </c>
      <c r="P177" s="4" t="s">
        <v>96</v>
      </c>
      <c r="Q177" s="4" t="s">
        <v>69</v>
      </c>
      <c r="R177" s="4" t="s">
        <v>61</v>
      </c>
      <c r="S177" s="4" t="s">
        <v>62</v>
      </c>
      <c r="T177" s="6" t="e">
        <v>#N/A</v>
      </c>
      <c r="U177" s="5">
        <v>67</v>
      </c>
      <c r="V177" s="5">
        <v>70</v>
      </c>
      <c r="W177" s="5">
        <v>64</v>
      </c>
      <c r="X177" s="5">
        <v>65</v>
      </c>
      <c r="Y177" s="5">
        <v>91.27</v>
      </c>
      <c r="Z177" s="5">
        <v>94.44</v>
      </c>
      <c r="AA177" s="5">
        <v>79.37</v>
      </c>
      <c r="AB177" s="5">
        <v>48.41</v>
      </c>
      <c r="AC177" s="6">
        <v>0.4</v>
      </c>
      <c r="AD177" s="6">
        <v>0.35</v>
      </c>
      <c r="AE177" s="6">
        <v>0.25</v>
      </c>
      <c r="AF177" s="4" t="s">
        <v>6296</v>
      </c>
      <c r="AG177" s="4" t="s">
        <v>6296</v>
      </c>
      <c r="AH177" s="4" t="s">
        <v>6296</v>
      </c>
      <c r="AI177" s="4" t="s">
        <v>42</v>
      </c>
      <c r="AJ177" s="4" t="s">
        <v>6296</v>
      </c>
      <c r="AK177" s="4" t="s">
        <v>37</v>
      </c>
      <c r="AL177" s="4" t="s">
        <v>6296</v>
      </c>
      <c r="AM177" s="4" t="s">
        <v>42</v>
      </c>
      <c r="AN177" s="4" t="s">
        <v>6296</v>
      </c>
      <c r="AO177" s="4" t="s">
        <v>6296</v>
      </c>
      <c r="AP177" s="4" t="s">
        <v>6538</v>
      </c>
      <c r="AQ177" s="4" t="s">
        <v>47</v>
      </c>
    </row>
    <row r="178" spans="1:43" ht="12.6" customHeight="1" x14ac:dyDescent="0.25">
      <c r="A178" s="8" t="s">
        <v>6447</v>
      </c>
      <c r="B178" s="9">
        <v>20151231</v>
      </c>
      <c r="C178" s="12">
        <f>_xll.FDS("SPX","FG_PRICE(12/30/2015)")</f>
        <v>2063.36</v>
      </c>
      <c r="D178" s="12">
        <f>_xll.FDS("SPX","FG_PRICE(12/30/2017)")</f>
        <v>2673.61</v>
      </c>
      <c r="E178" s="15">
        <f>D178/C178-1</f>
        <v>0.2957554668114144</v>
      </c>
      <c r="F178" s="8" t="s">
        <v>6448</v>
      </c>
      <c r="G178" s="8" t="s">
        <v>6449</v>
      </c>
      <c r="H178" s="13">
        <f>_xll.FDS(G178,"FG_PRICE(12/30/2015)")</f>
        <v>64.901809999999998</v>
      </c>
      <c r="I178" s="13" t="e">
        <f>_xll.FDS(G178,"FG_PRICE(12/31/2017)")</f>
        <v>#N/A</v>
      </c>
      <c r="J178" s="13" t="e">
        <f>I178/H178-1</f>
        <v>#N/A</v>
      </c>
      <c r="K178" s="13" t="e">
        <f>J178-E178</f>
        <v>#N/A</v>
      </c>
      <c r="L178" s="13">
        <f>_xll.FDS(G178,"FF_ROE(ANN_R,12/30/2015)")</f>
        <v>26.325486182190382</v>
      </c>
      <c r="M178" s="8" t="s">
        <v>6450</v>
      </c>
      <c r="N178" s="4" t="s">
        <v>6451</v>
      </c>
      <c r="O178" s="4" t="s">
        <v>4497</v>
      </c>
      <c r="P178" s="4" t="s">
        <v>96</v>
      </c>
      <c r="Q178" s="4" t="s">
        <v>69</v>
      </c>
      <c r="R178" s="4" t="s">
        <v>61</v>
      </c>
      <c r="S178" s="4" t="s">
        <v>62</v>
      </c>
      <c r="T178" s="6" t="e">
        <v>#N/A</v>
      </c>
      <c r="U178" s="5">
        <v>63</v>
      </c>
      <c r="V178" s="5">
        <v>62</v>
      </c>
      <c r="W178" s="5">
        <v>62</v>
      </c>
      <c r="X178" s="5">
        <v>65</v>
      </c>
      <c r="Y178" s="5">
        <v>81.75</v>
      </c>
      <c r="Z178" s="5">
        <v>88.1</v>
      </c>
      <c r="AA178" s="5">
        <v>69.84</v>
      </c>
      <c r="AB178" s="5">
        <v>48.41</v>
      </c>
      <c r="AC178" s="6">
        <v>0.4</v>
      </c>
      <c r="AD178" s="6">
        <v>0.35</v>
      </c>
      <c r="AE178" s="6">
        <v>0.25</v>
      </c>
      <c r="AF178" s="4" t="s">
        <v>6296</v>
      </c>
      <c r="AG178" s="4" t="s">
        <v>6296</v>
      </c>
      <c r="AH178" s="4" t="s">
        <v>6296</v>
      </c>
      <c r="AI178" s="4" t="s">
        <v>42</v>
      </c>
      <c r="AJ178" s="4" t="s">
        <v>6296</v>
      </c>
      <c r="AK178" s="4" t="s">
        <v>37</v>
      </c>
      <c r="AL178" s="4" t="s">
        <v>6296</v>
      </c>
      <c r="AM178" s="4" t="s">
        <v>6296</v>
      </c>
      <c r="AN178" s="4" t="s">
        <v>6296</v>
      </c>
      <c r="AO178" s="4" t="s">
        <v>6296</v>
      </c>
      <c r="AP178" s="4" t="s">
        <v>6452</v>
      </c>
      <c r="AQ178" s="4" t="s">
        <v>47</v>
      </c>
    </row>
    <row r="179" spans="1:43" ht="12.6" customHeight="1" x14ac:dyDescent="0.25">
      <c r="A179" s="8" t="s">
        <v>661</v>
      </c>
      <c r="B179" s="9">
        <v>20151231</v>
      </c>
      <c r="C179" s="12">
        <f>_xll.FDS("SPX","FG_PRICE(12/30/2015)")</f>
        <v>2063.36</v>
      </c>
      <c r="D179" s="12">
        <f>_xll.FDS("SPX","FG_PRICE(12/30/2017)")</f>
        <v>2673.61</v>
      </c>
      <c r="E179" s="15">
        <f>D179/C179-1</f>
        <v>0.2957554668114144</v>
      </c>
      <c r="F179" s="8" t="s">
        <v>662</v>
      </c>
      <c r="G179" s="8" t="s">
        <v>663</v>
      </c>
      <c r="H179" s="13">
        <f>_xll.FDS(G179,"FG_PRICE(12/30/2015)")</f>
        <v>33.42</v>
      </c>
      <c r="I179" s="13">
        <f>_xll.FDS(G179,"FG_PRICE(12/31/2017)")</f>
        <v>26.22</v>
      </c>
      <c r="J179" s="13">
        <f>I179/H179-1</f>
        <v>-0.21543985637342911</v>
      </c>
      <c r="K179" s="13">
        <f>J179-E179</f>
        <v>-0.51119532318484351</v>
      </c>
      <c r="L179" s="13">
        <f>_xll.FDS(G179,"FF_ROE(ANN_R,12/30/2015)")</f>
        <v>28.675042734941869</v>
      </c>
      <c r="M179" s="8" t="s">
        <v>664</v>
      </c>
      <c r="N179" s="4" t="s">
        <v>665</v>
      </c>
      <c r="O179" s="4" t="s">
        <v>666</v>
      </c>
      <c r="P179" s="4" t="s">
        <v>96</v>
      </c>
      <c r="Q179" s="4" t="s">
        <v>69</v>
      </c>
      <c r="R179" s="4" t="s">
        <v>61</v>
      </c>
      <c r="S179" s="4" t="s">
        <v>62</v>
      </c>
      <c r="T179" s="6" t="e">
        <v>#N/A</v>
      </c>
      <c r="U179" s="5">
        <v>52</v>
      </c>
      <c r="V179" s="5">
        <v>41</v>
      </c>
      <c r="W179" s="5">
        <v>52</v>
      </c>
      <c r="X179" s="5">
        <v>70</v>
      </c>
      <c r="Y179" s="5">
        <v>30.16</v>
      </c>
      <c r="Z179" s="5">
        <v>33.33</v>
      </c>
      <c r="AA179" s="5">
        <v>14.29</v>
      </c>
      <c r="AB179" s="5">
        <v>69.05</v>
      </c>
      <c r="AC179" s="6">
        <v>0.4</v>
      </c>
      <c r="AD179" s="6">
        <v>0.35</v>
      </c>
      <c r="AE179" s="6">
        <v>0.25</v>
      </c>
      <c r="AF179" s="4" t="s">
        <v>6296</v>
      </c>
      <c r="AG179" s="4" t="s">
        <v>6296</v>
      </c>
      <c r="AH179" s="4" t="s">
        <v>6296</v>
      </c>
      <c r="AI179" s="4" t="s">
        <v>37</v>
      </c>
      <c r="AJ179" s="4" t="s">
        <v>6296</v>
      </c>
      <c r="AK179" s="4" t="s">
        <v>37</v>
      </c>
      <c r="AL179" s="4" t="s">
        <v>6296</v>
      </c>
      <c r="AM179" s="4" t="s">
        <v>42</v>
      </c>
      <c r="AN179" s="4" t="s">
        <v>6296</v>
      </c>
      <c r="AO179" s="4" t="s">
        <v>6296</v>
      </c>
      <c r="AP179" s="4" t="s">
        <v>667</v>
      </c>
      <c r="AQ179" s="4" t="s">
        <v>47</v>
      </c>
    </row>
    <row r="180" spans="1:43" ht="12.6" customHeight="1" x14ac:dyDescent="0.25">
      <c r="A180" s="8" t="s">
        <v>5301</v>
      </c>
      <c r="B180" s="9">
        <v>20151231</v>
      </c>
      <c r="C180" s="12">
        <f>_xll.FDS("SPX","FG_PRICE(12/30/2015)")</f>
        <v>2063.36</v>
      </c>
      <c r="D180" s="12">
        <f>_xll.FDS("SPX","FG_PRICE(12/30/2017)")</f>
        <v>2673.61</v>
      </c>
      <c r="E180" s="15">
        <f>D180/C180-1</f>
        <v>0.2957554668114144</v>
      </c>
      <c r="F180" s="8" t="s">
        <v>5302</v>
      </c>
      <c r="G180" s="8" t="s">
        <v>5303</v>
      </c>
      <c r="H180" s="13">
        <f>_xll.FDS(G180,"FG_PRICE(12/30/2015)")</f>
        <v>47.99</v>
      </c>
      <c r="I180" s="13">
        <f>_xll.FDS(G180,"FG_PRICE(12/31/2017)")</f>
        <v>73.540000000000006</v>
      </c>
      <c r="J180" s="13">
        <f>I180/H180-1</f>
        <v>0.53240258387163997</v>
      </c>
      <c r="K180" s="13">
        <f>J180-E180</f>
        <v>0.23664711706022556</v>
      </c>
      <c r="L180" s="13">
        <f>_xll.FDS(G180,"FF_ROE(ANN_R,12/30/2015)")</f>
        <v>7.3222647935291612</v>
      </c>
      <c r="M180" s="8" t="s">
        <v>5304</v>
      </c>
      <c r="N180" s="4" t="s">
        <v>5305</v>
      </c>
      <c r="O180" s="4" t="s">
        <v>5306</v>
      </c>
      <c r="P180" s="4" t="s">
        <v>96</v>
      </c>
      <c r="Q180" s="4" t="s">
        <v>69</v>
      </c>
      <c r="R180" s="4" t="s">
        <v>61</v>
      </c>
      <c r="S180" s="4" t="s">
        <v>62</v>
      </c>
      <c r="T180" s="6" t="e">
        <v>#N/A</v>
      </c>
      <c r="U180" s="5">
        <v>62</v>
      </c>
      <c r="V180" s="5">
        <v>59</v>
      </c>
      <c r="W180" s="5">
        <v>63</v>
      </c>
      <c r="X180" s="5">
        <v>66</v>
      </c>
      <c r="Y180" s="5">
        <v>79.37</v>
      </c>
      <c r="Z180" s="5">
        <v>80.95</v>
      </c>
      <c r="AA180" s="5">
        <v>75.400000000000006</v>
      </c>
      <c r="AB180" s="5">
        <v>52.38</v>
      </c>
      <c r="AC180" s="6">
        <v>0.4</v>
      </c>
      <c r="AD180" s="6">
        <v>0.35</v>
      </c>
      <c r="AE180" s="6">
        <v>0.25</v>
      </c>
      <c r="AF180" s="4" t="s">
        <v>6296</v>
      </c>
      <c r="AG180" s="4" t="s">
        <v>6296</v>
      </c>
      <c r="AH180" s="4" t="s">
        <v>6296</v>
      </c>
      <c r="AI180" s="4" t="s">
        <v>37</v>
      </c>
      <c r="AJ180" s="4" t="s">
        <v>6296</v>
      </c>
      <c r="AK180" s="4" t="s">
        <v>6296</v>
      </c>
      <c r="AL180" s="4" t="s">
        <v>6296</v>
      </c>
      <c r="AM180" s="4" t="s">
        <v>6296</v>
      </c>
      <c r="AN180" s="4" t="s">
        <v>6296</v>
      </c>
      <c r="AO180" s="4" t="s">
        <v>6296</v>
      </c>
      <c r="AP180" s="4" t="s">
        <v>5307</v>
      </c>
      <c r="AQ180" s="4" t="s">
        <v>47</v>
      </c>
    </row>
    <row r="181" spans="1:43" ht="12.6" customHeight="1" x14ac:dyDescent="0.25">
      <c r="A181" s="8" t="s">
        <v>2232</v>
      </c>
      <c r="B181" s="9">
        <v>20151231</v>
      </c>
      <c r="C181" s="12">
        <f>_xll.FDS("SPX","FG_PRICE(12/30/2015)")</f>
        <v>2063.36</v>
      </c>
      <c r="D181" s="12">
        <f>_xll.FDS("SPX","FG_PRICE(12/30/2017)")</f>
        <v>2673.61</v>
      </c>
      <c r="E181" s="15">
        <f>D181/C181-1</f>
        <v>0.2957554668114144</v>
      </c>
      <c r="F181" s="8" t="s">
        <v>2233</v>
      </c>
      <c r="G181" s="8" t="s">
        <v>2234</v>
      </c>
      <c r="H181" s="13">
        <f>_xll.FDS(G181,"FG_PRICE(12/30/2015)")</f>
        <v>34.49</v>
      </c>
      <c r="I181" s="13">
        <f>_xll.FDS(G181,"FG_PRICE(12/31/2017)")</f>
        <v>39.85</v>
      </c>
      <c r="J181" s="13">
        <f>I181/H181-1</f>
        <v>0.15540736445346481</v>
      </c>
      <c r="K181" s="13">
        <f>J181-E181</f>
        <v>-0.14034810235794959</v>
      </c>
      <c r="L181" s="13">
        <f>_xll.FDS(G181,"FF_ROE(ANN_R,12/30/2015)")</f>
        <v>4.134401256804253</v>
      </c>
      <c r="M181" s="8" t="s">
        <v>2235</v>
      </c>
      <c r="N181" s="4" t="s">
        <v>2236</v>
      </c>
      <c r="O181" s="4" t="s">
        <v>2237</v>
      </c>
      <c r="P181" s="4" t="s">
        <v>106</v>
      </c>
      <c r="Q181" s="4" t="s">
        <v>69</v>
      </c>
      <c r="R181" s="4" t="s">
        <v>61</v>
      </c>
      <c r="S181" s="4" t="s">
        <v>62</v>
      </c>
      <c r="T181" s="6" t="e">
        <v>#N/A</v>
      </c>
      <c r="U181" s="5">
        <v>46</v>
      </c>
      <c r="V181" s="5">
        <v>35</v>
      </c>
      <c r="W181" s="5">
        <v>51</v>
      </c>
      <c r="X181" s="5">
        <v>54</v>
      </c>
      <c r="Y181" s="6">
        <v>3.97</v>
      </c>
      <c r="Z181" s="5">
        <v>12.7</v>
      </c>
      <c r="AA181" s="6">
        <v>3.97</v>
      </c>
      <c r="AB181" s="5">
        <v>11.11</v>
      </c>
      <c r="AC181" s="6">
        <v>0.4</v>
      </c>
      <c r="AD181" s="6">
        <v>0.35</v>
      </c>
      <c r="AE181" s="6">
        <v>0.25</v>
      </c>
      <c r="AF181" s="4" t="s">
        <v>6296</v>
      </c>
      <c r="AG181" s="4" t="s">
        <v>6296</v>
      </c>
      <c r="AH181" s="4" t="s">
        <v>6296</v>
      </c>
      <c r="AI181" s="4" t="s">
        <v>6296</v>
      </c>
      <c r="AJ181" s="4" t="s">
        <v>6296</v>
      </c>
      <c r="AK181" s="4" t="s">
        <v>6296</v>
      </c>
      <c r="AL181" s="4" t="s">
        <v>6296</v>
      </c>
      <c r="AM181" s="4" t="s">
        <v>6296</v>
      </c>
      <c r="AN181" s="4" t="s">
        <v>6296</v>
      </c>
      <c r="AO181" s="4" t="s">
        <v>6296</v>
      </c>
      <c r="AP181" s="4" t="s">
        <v>2238</v>
      </c>
      <c r="AQ181" s="4" t="s">
        <v>47</v>
      </c>
    </row>
    <row r="182" spans="1:43" ht="12.6" customHeight="1" x14ac:dyDescent="0.25">
      <c r="A182" s="8" t="s">
        <v>4577</v>
      </c>
      <c r="B182" s="9">
        <v>20151231</v>
      </c>
      <c r="C182" s="12">
        <f>_xll.FDS("SPX","FG_PRICE(12/30/2015)")</f>
        <v>2063.36</v>
      </c>
      <c r="D182" s="12">
        <f>_xll.FDS("SPX","FG_PRICE(12/30/2017)")</f>
        <v>2673.61</v>
      </c>
      <c r="E182" s="15">
        <f>D182/C182-1</f>
        <v>0.2957554668114144</v>
      </c>
      <c r="F182" s="8" t="s">
        <v>4578</v>
      </c>
      <c r="G182" s="8" t="s">
        <v>4579</v>
      </c>
      <c r="H182" s="13">
        <f>_xll.FDS(G182,"FG_PRICE(12/30/2015)")</f>
        <v>43.99</v>
      </c>
      <c r="I182" s="13">
        <f>_xll.FDS(G182,"FG_PRICE(12/31/2017)")</f>
        <v>69.489999999999995</v>
      </c>
      <c r="J182" s="13">
        <f>I182/H182-1</f>
        <v>0.57967719936349149</v>
      </c>
      <c r="K182" s="13">
        <f>J182-E182</f>
        <v>0.28392173255207709</v>
      </c>
      <c r="L182" s="13">
        <f>_xll.FDS(G182,"FF_ROE(ANN_R,12/30/2015)")</f>
        <v>38.182858079935052</v>
      </c>
      <c r="M182" s="8" t="s">
        <v>4580</v>
      </c>
      <c r="N182" s="4" t="s">
        <v>4580</v>
      </c>
      <c r="O182" s="4" t="s">
        <v>4581</v>
      </c>
      <c r="P182" s="4" t="s">
        <v>96</v>
      </c>
      <c r="Q182" s="4" t="s">
        <v>69</v>
      </c>
      <c r="R182" s="4" t="s">
        <v>61</v>
      </c>
      <c r="S182" s="4" t="s">
        <v>62</v>
      </c>
      <c r="T182" s="6" t="e">
        <v>#N/A</v>
      </c>
      <c r="U182" s="5">
        <v>60</v>
      </c>
      <c r="V182" s="5">
        <v>61</v>
      </c>
      <c r="W182" s="5">
        <v>59</v>
      </c>
      <c r="X182" s="5">
        <v>60</v>
      </c>
      <c r="Y182" s="5">
        <v>73.02</v>
      </c>
      <c r="Z182" s="5">
        <v>85.71</v>
      </c>
      <c r="AA182" s="5">
        <v>53.17</v>
      </c>
      <c r="AB182" s="5">
        <v>24.6</v>
      </c>
      <c r="AC182" s="6">
        <v>0.4</v>
      </c>
      <c r="AD182" s="6">
        <v>0.35</v>
      </c>
      <c r="AE182" s="6">
        <v>0.25</v>
      </c>
      <c r="AF182" s="4" t="s">
        <v>6296</v>
      </c>
      <c r="AG182" s="4" t="s">
        <v>6296</v>
      </c>
      <c r="AH182" s="4" t="s">
        <v>6296</v>
      </c>
      <c r="AI182" s="4" t="s">
        <v>42</v>
      </c>
      <c r="AJ182" s="4" t="s">
        <v>6296</v>
      </c>
      <c r="AK182" s="4" t="s">
        <v>42</v>
      </c>
      <c r="AL182" s="4" t="s">
        <v>6296</v>
      </c>
      <c r="AM182" s="4" t="s">
        <v>37</v>
      </c>
      <c r="AN182" s="4" t="s">
        <v>6296</v>
      </c>
      <c r="AO182" s="4" t="s">
        <v>6296</v>
      </c>
      <c r="AP182" s="4" t="s">
        <v>4582</v>
      </c>
      <c r="AQ182" s="4" t="s">
        <v>47</v>
      </c>
    </row>
    <row r="183" spans="1:43" ht="12.6" customHeight="1" x14ac:dyDescent="0.25">
      <c r="A183" s="8" t="s">
        <v>1093</v>
      </c>
      <c r="B183" s="9">
        <v>20151231</v>
      </c>
      <c r="C183" s="12">
        <f>_xll.FDS("SPX","FG_PRICE(12/30/2015)")</f>
        <v>2063.36</v>
      </c>
      <c r="D183" s="12">
        <f>_xll.FDS("SPX","FG_PRICE(12/30/2017)")</f>
        <v>2673.61</v>
      </c>
      <c r="E183" s="15">
        <f>D183/C183-1</f>
        <v>0.2957554668114144</v>
      </c>
      <c r="F183" s="8" t="s">
        <v>1094</v>
      </c>
      <c r="G183" s="8" t="s">
        <v>1095</v>
      </c>
      <c r="H183" s="13">
        <f>_xll.FDS(G183,"FG_PRICE(12/30/2015)")</f>
        <v>68.02</v>
      </c>
      <c r="I183" s="13">
        <f>_xll.FDS(G183,"FG_PRICE(12/31/2017)")</f>
        <v>135.72999999999999</v>
      </c>
      <c r="J183" s="13">
        <f>I183/H183-1</f>
        <v>0.9954425169067922</v>
      </c>
      <c r="K183" s="13">
        <f>J183-E183</f>
        <v>0.69968705009537779</v>
      </c>
      <c r="L183" s="13" t="e">
        <f>_xll.FDS(G183,"FF_ROE(ANN_R,12/30/2015)")</f>
        <v>#N/A</v>
      </c>
      <c r="M183" s="8" t="s">
        <v>1096</v>
      </c>
      <c r="N183" s="4" t="s">
        <v>1097</v>
      </c>
      <c r="O183" s="4" t="s">
        <v>1098</v>
      </c>
      <c r="P183" s="4" t="s">
        <v>106</v>
      </c>
      <c r="Q183" s="4" t="s">
        <v>69</v>
      </c>
      <c r="R183" s="4" t="s">
        <v>61</v>
      </c>
      <c r="S183" s="4" t="s">
        <v>62</v>
      </c>
      <c r="T183" s="6" t="e">
        <v>#N/A</v>
      </c>
      <c r="U183" s="5">
        <v>62</v>
      </c>
      <c r="V183" s="5">
        <v>58</v>
      </c>
      <c r="W183" s="5">
        <v>62</v>
      </c>
      <c r="X183" s="5">
        <v>71</v>
      </c>
      <c r="Y183" s="5">
        <v>79.37</v>
      </c>
      <c r="Z183" s="5">
        <v>80.16</v>
      </c>
      <c r="AA183" s="5">
        <v>69.84</v>
      </c>
      <c r="AB183" s="5">
        <v>75.400000000000006</v>
      </c>
      <c r="AC183" s="6">
        <v>0.4</v>
      </c>
      <c r="AD183" s="6">
        <v>0.35</v>
      </c>
      <c r="AE183" s="6">
        <v>0.25</v>
      </c>
      <c r="AF183" s="4" t="s">
        <v>6296</v>
      </c>
      <c r="AG183" s="4" t="s">
        <v>6296</v>
      </c>
      <c r="AH183" s="4" t="s">
        <v>42</v>
      </c>
      <c r="AI183" s="4" t="s">
        <v>42</v>
      </c>
      <c r="AJ183" s="4" t="s">
        <v>6296</v>
      </c>
      <c r="AK183" s="4" t="s">
        <v>37</v>
      </c>
      <c r="AL183" s="4" t="s">
        <v>6296</v>
      </c>
      <c r="AM183" s="4" t="s">
        <v>42</v>
      </c>
      <c r="AN183" s="4" t="s">
        <v>6296</v>
      </c>
      <c r="AO183" s="4" t="s">
        <v>6296</v>
      </c>
      <c r="AP183" s="4" t="s">
        <v>1099</v>
      </c>
      <c r="AQ183" s="4" t="s">
        <v>47</v>
      </c>
    </row>
    <row r="184" spans="1:43" ht="12.6" customHeight="1" x14ac:dyDescent="0.25">
      <c r="A184" s="8" t="s">
        <v>2551</v>
      </c>
      <c r="B184" s="9">
        <v>20151231</v>
      </c>
      <c r="C184" s="12">
        <f>_xll.FDS("SPX","FG_PRICE(12/30/2015)")</f>
        <v>2063.36</v>
      </c>
      <c r="D184" s="12">
        <f>_xll.FDS("SPX","FG_PRICE(12/30/2017)")</f>
        <v>2673.61</v>
      </c>
      <c r="E184" s="15">
        <f>D184/C184-1</f>
        <v>0.2957554668114144</v>
      </c>
      <c r="F184" s="8" t="s">
        <v>2552</v>
      </c>
      <c r="G184" s="8" t="s">
        <v>2553</v>
      </c>
      <c r="H184" s="13">
        <f>_xll.FDS(G184,"FG_PRICE(12/30/2015)")</f>
        <v>119.43</v>
      </c>
      <c r="I184" s="13">
        <f>_xll.FDS(G184,"FG_PRICE(12/31/2017)")</f>
        <v>172.12</v>
      </c>
      <c r="J184" s="13">
        <f>I184/H184-1</f>
        <v>0.44117893326634849</v>
      </c>
      <c r="K184" s="13">
        <f>J184-E184</f>
        <v>0.14542346645493409</v>
      </c>
      <c r="L184" s="13">
        <f>_xll.FDS(G184,"FF_ROE(ANN_R,12/30/2015)")</f>
        <v>32.968045705416259</v>
      </c>
      <c r="M184" s="8" t="s">
        <v>2554</v>
      </c>
      <c r="N184" s="4" t="s">
        <v>2555</v>
      </c>
      <c r="O184" s="4" t="s">
        <v>2556</v>
      </c>
      <c r="P184" s="4" t="s">
        <v>96</v>
      </c>
      <c r="Q184" s="4" t="s">
        <v>69</v>
      </c>
      <c r="R184" s="4" t="s">
        <v>61</v>
      </c>
      <c r="S184" s="4" t="s">
        <v>62</v>
      </c>
      <c r="T184" s="6" t="e">
        <v>#N/A</v>
      </c>
      <c r="U184" s="5">
        <v>57</v>
      </c>
      <c r="V184" s="5">
        <v>59</v>
      </c>
      <c r="W184" s="5">
        <v>56</v>
      </c>
      <c r="X184" s="5">
        <v>53</v>
      </c>
      <c r="Y184" s="5">
        <v>61.11</v>
      </c>
      <c r="Z184" s="5">
        <v>80.95</v>
      </c>
      <c r="AA184" s="5">
        <v>40.479999999999997</v>
      </c>
      <c r="AB184" s="6">
        <v>9.52</v>
      </c>
      <c r="AC184" s="6">
        <v>0.4</v>
      </c>
      <c r="AD184" s="6">
        <v>0.35</v>
      </c>
      <c r="AE184" s="6">
        <v>0.25</v>
      </c>
      <c r="AF184" s="4" t="s">
        <v>42</v>
      </c>
      <c r="AG184" s="4" t="s">
        <v>6296</v>
      </c>
      <c r="AH184" s="4" t="s">
        <v>6296</v>
      </c>
      <c r="AI184" s="4" t="s">
        <v>46</v>
      </c>
      <c r="AJ184" s="4" t="s">
        <v>46</v>
      </c>
      <c r="AK184" s="4" t="s">
        <v>37</v>
      </c>
      <c r="AL184" s="4" t="s">
        <v>37</v>
      </c>
      <c r="AM184" s="4" t="s">
        <v>46</v>
      </c>
      <c r="AN184" s="4" t="s">
        <v>46</v>
      </c>
      <c r="AO184" s="4" t="s">
        <v>42</v>
      </c>
      <c r="AP184" s="4" t="s">
        <v>2557</v>
      </c>
      <c r="AQ184" s="4" t="s">
        <v>47</v>
      </c>
    </row>
    <row r="185" spans="1:43" ht="12.6" customHeight="1" x14ac:dyDescent="0.25">
      <c r="A185" s="8" t="s">
        <v>2531</v>
      </c>
      <c r="B185" s="9">
        <v>20151231</v>
      </c>
      <c r="C185" s="12">
        <f>_xll.FDS("SPX","FG_PRICE(12/30/2015)")</f>
        <v>2063.36</v>
      </c>
      <c r="D185" s="12">
        <f>_xll.FDS("SPX","FG_PRICE(12/30/2017)")</f>
        <v>2673.61</v>
      </c>
      <c r="E185" s="15">
        <f>D185/C185-1</f>
        <v>0.2957554668114144</v>
      </c>
      <c r="F185" s="8" t="s">
        <v>2532</v>
      </c>
      <c r="G185" s="8" t="s">
        <v>2533</v>
      </c>
      <c r="H185" s="13">
        <f>_xll.FDS(G185,"FG_PRICE(12/30/2015)")</f>
        <v>22.52</v>
      </c>
      <c r="I185" s="13">
        <f>_xll.FDS(G185,"FG_PRICE(12/31/2017)")</f>
        <v>33.39</v>
      </c>
      <c r="J185" s="13">
        <f>I185/H185-1</f>
        <v>0.48268206039076378</v>
      </c>
      <c r="K185" s="13">
        <f>J185-E185</f>
        <v>0.18692659357934938</v>
      </c>
      <c r="L185" s="13">
        <f>_xll.FDS(G185,"FF_ROE(ANN_R,12/30/2015)")</f>
        <v>-3.601808967356301</v>
      </c>
      <c r="M185" s="8" t="s">
        <v>2534</v>
      </c>
      <c r="N185" s="4" t="s">
        <v>2534</v>
      </c>
      <c r="O185" s="4" t="s">
        <v>2535</v>
      </c>
      <c r="P185" s="4" t="s">
        <v>96</v>
      </c>
      <c r="Q185" s="4" t="s">
        <v>69</v>
      </c>
      <c r="R185" s="4" t="s">
        <v>61</v>
      </c>
      <c r="S185" s="4" t="s">
        <v>62</v>
      </c>
      <c r="T185" s="6" t="e">
        <v>#N/A</v>
      </c>
      <c r="U185" s="5">
        <v>58</v>
      </c>
      <c r="V185" s="5">
        <v>53</v>
      </c>
      <c r="W185" s="5">
        <v>60</v>
      </c>
      <c r="X185" s="5">
        <v>63</v>
      </c>
      <c r="Y185" s="5">
        <v>68.25</v>
      </c>
      <c r="Z185" s="5">
        <v>67.459999999999994</v>
      </c>
      <c r="AA185" s="5">
        <v>59.52</v>
      </c>
      <c r="AB185" s="5">
        <v>38.1</v>
      </c>
      <c r="AC185" s="6">
        <v>0.4</v>
      </c>
      <c r="AD185" s="6">
        <v>0.35</v>
      </c>
      <c r="AE185" s="6">
        <v>0.25</v>
      </c>
      <c r="AF185" s="4" t="s">
        <v>6296</v>
      </c>
      <c r="AG185" s="4" t="s">
        <v>6296</v>
      </c>
      <c r="AH185" s="4" t="s">
        <v>6296</v>
      </c>
      <c r="AI185" s="4" t="s">
        <v>42</v>
      </c>
      <c r="AJ185" s="4" t="s">
        <v>6296</v>
      </c>
      <c r="AK185" s="4" t="s">
        <v>42</v>
      </c>
      <c r="AL185" s="4" t="s">
        <v>6296</v>
      </c>
      <c r="AM185" s="4" t="s">
        <v>42</v>
      </c>
      <c r="AN185" s="4" t="s">
        <v>37</v>
      </c>
      <c r="AO185" s="4" t="s">
        <v>6296</v>
      </c>
      <c r="AP185" s="4" t="s">
        <v>2536</v>
      </c>
      <c r="AQ185" s="4" t="s">
        <v>47</v>
      </c>
    </row>
    <row r="186" spans="1:43" ht="12.6" customHeight="1" x14ac:dyDescent="0.25">
      <c r="A186" s="8" t="s">
        <v>5667</v>
      </c>
      <c r="B186" s="9">
        <v>20151231</v>
      </c>
      <c r="C186" s="12">
        <f>_xll.FDS("SPX","FG_PRICE(12/30/2015)")</f>
        <v>2063.36</v>
      </c>
      <c r="D186" s="12">
        <f>_xll.FDS("SPX","FG_PRICE(12/30/2017)")</f>
        <v>2673.61</v>
      </c>
      <c r="E186" s="15">
        <f>D186/C186-1</f>
        <v>0.2957554668114144</v>
      </c>
      <c r="F186" s="8" t="s">
        <v>5668</v>
      </c>
      <c r="G186" s="8" t="s">
        <v>5669</v>
      </c>
      <c r="H186" s="13">
        <f>_xll.FDS(G186,"FG_PRICE(12/30/2015)")</f>
        <v>59.51</v>
      </c>
      <c r="I186" s="13">
        <f>_xll.FDS(G186,"FG_PRICE(12/31/2017)")</f>
        <v>53.25</v>
      </c>
      <c r="J186" s="13">
        <f>I186/H186-1</f>
        <v>-0.10519240463787594</v>
      </c>
      <c r="K186" s="13">
        <f>J186-E186</f>
        <v>-0.40094787144929034</v>
      </c>
      <c r="L186" s="13">
        <f>_xll.FDS(G186,"FF_ROE(ANN_R,12/30/2015)")</f>
        <v>11.04332263169292</v>
      </c>
      <c r="M186" s="8" t="s">
        <v>5670</v>
      </c>
      <c r="N186" s="4" t="s">
        <v>5670</v>
      </c>
      <c r="O186" s="4" t="s">
        <v>5671</v>
      </c>
      <c r="P186" s="4" t="s">
        <v>106</v>
      </c>
      <c r="Q186" s="4" t="s">
        <v>69</v>
      </c>
      <c r="R186" s="4" t="s">
        <v>61</v>
      </c>
      <c r="S186" s="4" t="s">
        <v>62</v>
      </c>
      <c r="T186" s="6" t="e">
        <v>#N/A</v>
      </c>
      <c r="U186" s="5">
        <v>51</v>
      </c>
      <c r="V186" s="5">
        <v>44</v>
      </c>
      <c r="W186" s="5">
        <v>53</v>
      </c>
      <c r="X186" s="5">
        <v>58</v>
      </c>
      <c r="Y186" s="5">
        <v>26.19</v>
      </c>
      <c r="Z186" s="5">
        <v>46.83</v>
      </c>
      <c r="AA186" s="5">
        <v>15.87</v>
      </c>
      <c r="AB186" s="5">
        <v>19.84</v>
      </c>
      <c r="AC186" s="6">
        <v>0.4</v>
      </c>
      <c r="AD186" s="6">
        <v>0.35</v>
      </c>
      <c r="AE186" s="6">
        <v>0.25</v>
      </c>
      <c r="AF186" s="4" t="s">
        <v>42</v>
      </c>
      <c r="AG186" s="4" t="s">
        <v>6296</v>
      </c>
      <c r="AH186" s="4" t="s">
        <v>6296</v>
      </c>
      <c r="AI186" s="4" t="s">
        <v>6296</v>
      </c>
      <c r="AJ186" s="4" t="s">
        <v>6296</v>
      </c>
      <c r="AK186" s="4" t="s">
        <v>6296</v>
      </c>
      <c r="AL186" s="4" t="s">
        <v>6296</v>
      </c>
      <c r="AM186" s="4" t="s">
        <v>6296</v>
      </c>
      <c r="AN186" s="4" t="s">
        <v>6296</v>
      </c>
      <c r="AO186" s="4" t="s">
        <v>6296</v>
      </c>
      <c r="AP186" s="4" t="s">
        <v>5672</v>
      </c>
      <c r="AQ186" s="4" t="s">
        <v>47</v>
      </c>
    </row>
    <row r="187" spans="1:43" ht="12.6" customHeight="1" x14ac:dyDescent="0.25">
      <c r="A187" s="8" t="s">
        <v>3109</v>
      </c>
      <c r="B187" s="9">
        <v>20151231</v>
      </c>
      <c r="C187" s="12">
        <f>_xll.FDS("SPX","FG_PRICE(12/30/2015)")</f>
        <v>2063.36</v>
      </c>
      <c r="D187" s="12">
        <f>_xll.FDS("SPX","FG_PRICE(12/30/2017)")</f>
        <v>2673.61</v>
      </c>
      <c r="E187" s="15">
        <f>D187/C187-1</f>
        <v>0.2957554668114144</v>
      </c>
      <c r="F187" s="8" t="s">
        <v>3110</v>
      </c>
      <c r="G187" s="8" t="s">
        <v>3111</v>
      </c>
      <c r="H187" s="13">
        <f>_xll.FDS(G187,"FG_PRICE(12/30/2015)")</f>
        <v>16.23</v>
      </c>
      <c r="I187" s="13">
        <f>_xll.FDS(G187,"FG_PRICE(12/31/2017)")</f>
        <v>31.33</v>
      </c>
      <c r="J187" s="13">
        <f>I187/H187-1</f>
        <v>0.93037584719654953</v>
      </c>
      <c r="K187" s="13">
        <f>J187-E187</f>
        <v>0.63462038038513513</v>
      </c>
      <c r="L187" s="13" t="e">
        <f>_xll.FDS(G187,"FF_ROE(ANN_R,12/30/2015)")</f>
        <v>#N/A</v>
      </c>
      <c r="M187" s="8" t="s">
        <v>3112</v>
      </c>
      <c r="N187" s="4" t="s">
        <v>3113</v>
      </c>
      <c r="O187" s="4" t="s">
        <v>3114</v>
      </c>
      <c r="P187" s="4" t="s">
        <v>106</v>
      </c>
      <c r="Q187" s="4" t="s">
        <v>69</v>
      </c>
      <c r="R187" s="4" t="s">
        <v>61</v>
      </c>
      <c r="S187" s="4" t="s">
        <v>62</v>
      </c>
      <c r="T187" s="6" t="e">
        <v>#N/A</v>
      </c>
      <c r="U187" s="5">
        <v>47</v>
      </c>
      <c r="V187" s="5">
        <v>34</v>
      </c>
      <c r="W187" s="5">
        <v>51</v>
      </c>
      <c r="X187" s="5">
        <v>64</v>
      </c>
      <c r="Y187" s="6">
        <v>7.94</v>
      </c>
      <c r="Z187" s="6">
        <v>0</v>
      </c>
      <c r="AA187" s="6">
        <v>3.97</v>
      </c>
      <c r="AB187" s="5">
        <v>42.06</v>
      </c>
      <c r="AC187" s="6">
        <v>0.4</v>
      </c>
      <c r="AD187" s="6">
        <v>0.35</v>
      </c>
      <c r="AE187" s="6">
        <v>0.25</v>
      </c>
      <c r="AF187" s="4" t="s">
        <v>6296</v>
      </c>
      <c r="AG187" s="4" t="s">
        <v>6296</v>
      </c>
      <c r="AH187" s="4" t="s">
        <v>6296</v>
      </c>
      <c r="AI187" s="4" t="s">
        <v>6296</v>
      </c>
      <c r="AJ187" s="4" t="s">
        <v>6296</v>
      </c>
      <c r="AK187" s="4" t="s">
        <v>6296</v>
      </c>
      <c r="AL187" s="4" t="s">
        <v>6296</v>
      </c>
      <c r="AM187" s="4" t="s">
        <v>42</v>
      </c>
      <c r="AN187" s="4" t="s">
        <v>6296</v>
      </c>
      <c r="AO187" s="4" t="s">
        <v>6296</v>
      </c>
      <c r="AP187" s="4" t="s">
        <v>3115</v>
      </c>
      <c r="AQ187" s="4" t="s">
        <v>47</v>
      </c>
    </row>
    <row r="188" spans="1:43" ht="12.6" customHeight="1" x14ac:dyDescent="0.25">
      <c r="A188" s="8" t="s">
        <v>457</v>
      </c>
      <c r="B188" s="9">
        <v>20151231</v>
      </c>
      <c r="C188" s="12">
        <f>_xll.FDS("SPX","FG_PRICE(12/30/2015)")</f>
        <v>2063.36</v>
      </c>
      <c r="D188" s="12">
        <f>_xll.FDS("SPX","FG_PRICE(12/30/2017)")</f>
        <v>2673.61</v>
      </c>
      <c r="E188" s="15">
        <f>D188/C188-1</f>
        <v>0.2957554668114144</v>
      </c>
      <c r="F188" s="8" t="s">
        <v>458</v>
      </c>
      <c r="G188" s="8" t="s">
        <v>459</v>
      </c>
      <c r="H188" s="13">
        <f>_xll.FDS(G188,"FG_PRICE(12/30/2015)")</f>
        <v>195.19</v>
      </c>
      <c r="I188" s="13" t="e">
        <f>_xll.FDS(G188,"FG_PRICE(12/31/2017)")</f>
        <v>#N/A</v>
      </c>
      <c r="J188" s="13" t="e">
        <f>I188/H188-1</f>
        <v>#N/A</v>
      </c>
      <c r="K188" s="13" t="e">
        <f>J188-E188</f>
        <v>#N/A</v>
      </c>
      <c r="L188" s="13">
        <f>_xll.FDS(G188,"FF_ROE(ANN_R,12/30/2015)")</f>
        <v>24.969848392424911</v>
      </c>
      <c r="M188" s="8" t="s">
        <v>460</v>
      </c>
      <c r="N188" s="4" t="s">
        <v>461</v>
      </c>
      <c r="O188" s="4" t="s">
        <v>462</v>
      </c>
      <c r="P188" s="4" t="s">
        <v>106</v>
      </c>
      <c r="Q188" s="4" t="s">
        <v>69</v>
      </c>
      <c r="R188" s="4" t="s">
        <v>61</v>
      </c>
      <c r="S188" s="4" t="s">
        <v>62</v>
      </c>
      <c r="T188" s="6" t="e">
        <v>#N/A</v>
      </c>
      <c r="U188" s="5">
        <v>49</v>
      </c>
      <c r="V188" s="5">
        <v>37</v>
      </c>
      <c r="W188" s="5">
        <v>53</v>
      </c>
      <c r="X188" s="5">
        <v>64</v>
      </c>
      <c r="Y188" s="5">
        <v>15.87</v>
      </c>
      <c r="Z188" s="5">
        <v>19.05</v>
      </c>
      <c r="AA188" s="5">
        <v>15.87</v>
      </c>
      <c r="AB188" s="5">
        <v>42.06</v>
      </c>
      <c r="AC188" s="6">
        <v>0.4</v>
      </c>
      <c r="AD188" s="6">
        <v>0.35</v>
      </c>
      <c r="AE188" s="6">
        <v>0.25</v>
      </c>
      <c r="AF188" s="4" t="s">
        <v>6296</v>
      </c>
      <c r="AG188" s="4" t="s">
        <v>6296</v>
      </c>
      <c r="AH188" s="4" t="s">
        <v>6296</v>
      </c>
      <c r="AI188" s="4" t="s">
        <v>42</v>
      </c>
      <c r="AJ188" s="4" t="s">
        <v>6296</v>
      </c>
      <c r="AK188" s="4" t="s">
        <v>6296</v>
      </c>
      <c r="AL188" s="4" t="s">
        <v>6296</v>
      </c>
      <c r="AM188" s="4" t="s">
        <v>6296</v>
      </c>
      <c r="AN188" s="4" t="s">
        <v>6296</v>
      </c>
      <c r="AO188" s="4" t="s">
        <v>6296</v>
      </c>
      <c r="AP188" s="4" t="s">
        <v>463</v>
      </c>
      <c r="AQ188" s="4" t="s">
        <v>47</v>
      </c>
    </row>
    <row r="189" spans="1:43" ht="12.6" customHeight="1" x14ac:dyDescent="0.25">
      <c r="A189" s="8" t="s">
        <v>3444</v>
      </c>
      <c r="B189" s="9">
        <v>20151231</v>
      </c>
      <c r="C189" s="12">
        <f>_xll.FDS("SPX","FG_PRICE(12/30/2015)")</f>
        <v>2063.36</v>
      </c>
      <c r="D189" s="12">
        <f>_xll.FDS("SPX","FG_PRICE(12/30/2017)")</f>
        <v>2673.61</v>
      </c>
      <c r="E189" s="15">
        <f>D189/C189-1</f>
        <v>0.2957554668114144</v>
      </c>
      <c r="F189" s="8" t="s">
        <v>3445</v>
      </c>
      <c r="G189" s="8" t="s">
        <v>3446</v>
      </c>
      <c r="H189" s="13">
        <f>_xll.FDS(G189,"FG_PRICE(12/30/2015)")</f>
        <v>102.73</v>
      </c>
      <c r="I189" s="13">
        <f>_xll.FDS(G189,"FG_PRICE(12/31/2017)")</f>
        <v>119.28</v>
      </c>
      <c r="J189" s="13">
        <f>I189/H189-1</f>
        <v>0.16110191764820403</v>
      </c>
      <c r="K189" s="13">
        <f>J189-E189</f>
        <v>-0.13465354916321037</v>
      </c>
      <c r="L189" s="13">
        <f>_xll.FDS(G189,"FF_ROE(ANN_R,12/30/2015)")</f>
        <v>8.9412368750403672</v>
      </c>
      <c r="M189" s="8" t="s">
        <v>3447</v>
      </c>
      <c r="N189" s="4" t="s">
        <v>3447</v>
      </c>
      <c r="O189" s="4" t="s">
        <v>3448</v>
      </c>
      <c r="P189" s="4" t="s">
        <v>96</v>
      </c>
      <c r="Q189" s="4" t="s">
        <v>69</v>
      </c>
      <c r="R189" s="4" t="s">
        <v>61</v>
      </c>
      <c r="S189" s="4" t="s">
        <v>62</v>
      </c>
      <c r="T189" s="6" t="e">
        <v>#N/A</v>
      </c>
      <c r="U189" s="5">
        <v>69</v>
      </c>
      <c r="V189" s="5">
        <v>66</v>
      </c>
      <c r="W189" s="5">
        <v>67</v>
      </c>
      <c r="X189" s="5">
        <v>75</v>
      </c>
      <c r="Y189" s="5">
        <v>93.65</v>
      </c>
      <c r="Z189" s="5">
        <v>93.65</v>
      </c>
      <c r="AA189" s="5">
        <v>87.3</v>
      </c>
      <c r="AB189" s="5">
        <v>86.51</v>
      </c>
      <c r="AC189" s="6">
        <v>0.4</v>
      </c>
      <c r="AD189" s="6">
        <v>0.35</v>
      </c>
      <c r="AE189" s="6">
        <v>0.25</v>
      </c>
      <c r="AF189" s="4" t="s">
        <v>6296</v>
      </c>
      <c r="AG189" s="4" t="s">
        <v>6296</v>
      </c>
      <c r="AH189" s="4" t="s">
        <v>6296</v>
      </c>
      <c r="AI189" s="4" t="s">
        <v>37</v>
      </c>
      <c r="AJ189" s="4" t="s">
        <v>6296</v>
      </c>
      <c r="AK189" s="4" t="s">
        <v>37</v>
      </c>
      <c r="AL189" s="4" t="s">
        <v>6296</v>
      </c>
      <c r="AM189" s="4" t="s">
        <v>6296</v>
      </c>
      <c r="AN189" s="4" t="s">
        <v>6296</v>
      </c>
      <c r="AO189" s="4" t="s">
        <v>6296</v>
      </c>
      <c r="AP189" s="4" t="s">
        <v>3449</v>
      </c>
      <c r="AQ189" s="4" t="s">
        <v>47</v>
      </c>
    </row>
    <row r="190" spans="1:43" ht="12.6" customHeight="1" x14ac:dyDescent="0.25">
      <c r="A190" s="8" t="s">
        <v>3801</v>
      </c>
      <c r="B190" s="9">
        <v>20151231</v>
      </c>
      <c r="C190" s="12">
        <f>_xll.FDS("SPX","FG_PRICE(12/30/2015)")</f>
        <v>2063.36</v>
      </c>
      <c r="D190" s="12">
        <f>_xll.FDS("SPX","FG_PRICE(12/30/2017)")</f>
        <v>2673.61</v>
      </c>
      <c r="E190" s="15">
        <f>D190/C190-1</f>
        <v>0.2957554668114144</v>
      </c>
      <c r="F190" s="8" t="s">
        <v>3802</v>
      </c>
      <c r="G190" s="8" t="s">
        <v>3803</v>
      </c>
      <c r="H190" s="13">
        <f>_xll.FDS(G190,"FG_PRICE(12/30/2015)")</f>
        <v>60.82</v>
      </c>
      <c r="I190" s="13">
        <f>_xll.FDS(G190,"FG_PRICE(12/31/2017)")</f>
        <v>57.43</v>
      </c>
      <c r="J190" s="13">
        <f>I190/H190-1</f>
        <v>-5.5738243998684656E-2</v>
      </c>
      <c r="K190" s="13">
        <f>J190-E190</f>
        <v>-0.35149371081009906</v>
      </c>
      <c r="L190" s="13">
        <f>_xll.FDS(G190,"FF_ROE(ANN_R,12/30/2015)")</f>
        <v>49.727682596934173</v>
      </c>
      <c r="M190" s="8" t="s">
        <v>3804</v>
      </c>
      <c r="N190" s="4" t="s">
        <v>3804</v>
      </c>
      <c r="O190" s="4" t="s">
        <v>3805</v>
      </c>
      <c r="P190" s="4" t="s">
        <v>106</v>
      </c>
      <c r="Q190" s="4" t="s">
        <v>69</v>
      </c>
      <c r="R190" s="4" t="s">
        <v>61</v>
      </c>
      <c r="S190" s="4" t="s">
        <v>62</v>
      </c>
      <c r="T190" s="6" t="e">
        <v>#N/A</v>
      </c>
      <c r="U190" s="5">
        <v>70</v>
      </c>
      <c r="V190" s="5">
        <v>70</v>
      </c>
      <c r="W190" s="5">
        <v>76</v>
      </c>
      <c r="X190" s="5">
        <v>62</v>
      </c>
      <c r="Y190" s="5">
        <v>95.24</v>
      </c>
      <c r="Z190" s="5">
        <v>94.44</v>
      </c>
      <c r="AA190" s="5">
        <v>95.24</v>
      </c>
      <c r="AB190" s="5">
        <v>33.33</v>
      </c>
      <c r="AC190" s="6">
        <v>0.4</v>
      </c>
      <c r="AD190" s="6">
        <v>0.35</v>
      </c>
      <c r="AE190" s="6">
        <v>0.25</v>
      </c>
      <c r="AF190" s="4" t="s">
        <v>42</v>
      </c>
      <c r="AG190" s="4" t="s">
        <v>6296</v>
      </c>
      <c r="AH190" s="4" t="s">
        <v>6296</v>
      </c>
      <c r="AI190" s="4" t="s">
        <v>37</v>
      </c>
      <c r="AJ190" s="4" t="s">
        <v>37</v>
      </c>
      <c r="AK190" s="4" t="s">
        <v>42</v>
      </c>
      <c r="AL190" s="4" t="s">
        <v>42</v>
      </c>
      <c r="AM190" s="4" t="s">
        <v>46</v>
      </c>
      <c r="AN190" s="4" t="s">
        <v>37</v>
      </c>
      <c r="AO190" s="4" t="s">
        <v>6296</v>
      </c>
      <c r="AP190" s="4" t="s">
        <v>3806</v>
      </c>
      <c r="AQ190" s="4" t="s">
        <v>47</v>
      </c>
    </row>
    <row r="191" spans="1:43" ht="12.6" customHeight="1" x14ac:dyDescent="0.25">
      <c r="A191" s="8" t="s">
        <v>3607</v>
      </c>
      <c r="B191" s="9">
        <v>20151231</v>
      </c>
      <c r="C191" s="12">
        <f>_xll.FDS("SPX","FG_PRICE(12/30/2015)")</f>
        <v>2063.36</v>
      </c>
      <c r="D191" s="12">
        <f>_xll.FDS("SPX","FG_PRICE(12/30/2017)")</f>
        <v>2673.61</v>
      </c>
      <c r="E191" s="15">
        <f>D191/C191-1</f>
        <v>0.2957554668114144</v>
      </c>
      <c r="F191" s="8" t="s">
        <v>3608</v>
      </c>
      <c r="G191" s="8" t="s">
        <v>3609</v>
      </c>
      <c r="H191" s="13">
        <f>_xll.FDS(G191,"FG_PRICE(12/30/2015)")</f>
        <v>26.24</v>
      </c>
      <c r="I191" s="13">
        <f>_xll.FDS(G191,"FG_PRICE(12/31/2017)")</f>
        <v>37.32</v>
      </c>
      <c r="J191" s="13">
        <f>I191/H191-1</f>
        <v>0.42225609756097571</v>
      </c>
      <c r="K191" s="13">
        <f>J191-E191</f>
        <v>0.1265006307495613</v>
      </c>
      <c r="L191" s="13">
        <f>_xll.FDS(G191,"FF_ROE(ANN_R,12/30/2015)")</f>
        <v>12.237563224140089</v>
      </c>
      <c r="M191" s="8" t="s">
        <v>3610</v>
      </c>
      <c r="N191" s="4" t="s">
        <v>3611</v>
      </c>
      <c r="O191" s="4" t="s">
        <v>3612</v>
      </c>
      <c r="P191" s="4" t="s">
        <v>96</v>
      </c>
      <c r="Q191" s="4" t="s">
        <v>69</v>
      </c>
      <c r="R191" s="4" t="s">
        <v>61</v>
      </c>
      <c r="S191" s="4" t="s">
        <v>62</v>
      </c>
      <c r="T191" s="6" t="e">
        <v>#N/A</v>
      </c>
      <c r="U191" s="5">
        <v>51</v>
      </c>
      <c r="V191" s="5">
        <v>34</v>
      </c>
      <c r="W191" s="5">
        <v>54</v>
      </c>
      <c r="X191" s="5">
        <v>73</v>
      </c>
      <c r="Y191" s="5">
        <v>26.19</v>
      </c>
      <c r="Z191" s="6">
        <v>0</v>
      </c>
      <c r="AA191" s="5">
        <v>23.81</v>
      </c>
      <c r="AB191" s="5">
        <v>82.54</v>
      </c>
      <c r="AC191" s="6">
        <v>0.4</v>
      </c>
      <c r="AD191" s="6">
        <v>0.35</v>
      </c>
      <c r="AE191" s="6">
        <v>0.25</v>
      </c>
      <c r="AF191" s="4" t="s">
        <v>6296</v>
      </c>
      <c r="AG191" s="4" t="s">
        <v>6296</v>
      </c>
      <c r="AH191" s="4" t="s">
        <v>6296</v>
      </c>
      <c r="AI191" s="4" t="s">
        <v>42</v>
      </c>
      <c r="AJ191" s="4" t="s">
        <v>6296</v>
      </c>
      <c r="AK191" s="4" t="s">
        <v>37</v>
      </c>
      <c r="AL191" s="4" t="s">
        <v>6296</v>
      </c>
      <c r="AM191" s="4" t="s">
        <v>6296</v>
      </c>
      <c r="AN191" s="4" t="s">
        <v>6296</v>
      </c>
      <c r="AO191" s="4" t="s">
        <v>6296</v>
      </c>
      <c r="AP191" s="4" t="s">
        <v>3613</v>
      </c>
      <c r="AQ191" s="4" t="s">
        <v>47</v>
      </c>
    </row>
    <row r="192" spans="1:43" ht="12.6" customHeight="1" x14ac:dyDescent="0.25">
      <c r="A192" s="8" t="s">
        <v>4158</v>
      </c>
      <c r="B192" s="9">
        <v>20151231</v>
      </c>
      <c r="C192" s="12">
        <f>_xll.FDS("SPX","FG_PRICE(12/30/2015)")</f>
        <v>2063.36</v>
      </c>
      <c r="D192" s="12">
        <f>_xll.FDS("SPX","FG_PRICE(12/30/2017)")</f>
        <v>2673.61</v>
      </c>
      <c r="E192" s="15">
        <f>D192/C192-1</f>
        <v>0.2957554668114144</v>
      </c>
      <c r="F192" s="8" t="s">
        <v>4159</v>
      </c>
      <c r="G192" s="8" t="s">
        <v>4160</v>
      </c>
      <c r="H192" s="13">
        <f>_xll.FDS(G192,"FG_PRICE(12/30/2015)")</f>
        <v>8.8800000000000008</v>
      </c>
      <c r="I192" s="13">
        <f>_xll.FDS(G192,"FG_PRICE(12/31/2017)")</f>
        <v>51.3</v>
      </c>
      <c r="J192" s="13">
        <f>I192/H192-1</f>
        <v>4.7770270270270263</v>
      </c>
      <c r="K192" s="13">
        <f>J192-E192</f>
        <v>4.4812715602156121</v>
      </c>
      <c r="L192" s="13">
        <f>_xll.FDS(G192,"FF_ROE(ANN_R,12/30/2015)")</f>
        <v>-123.673792557403</v>
      </c>
      <c r="M192" s="8" t="s">
        <v>4161</v>
      </c>
      <c r="N192" s="4" t="s">
        <v>4161</v>
      </c>
      <c r="O192" s="4" t="s">
        <v>4162</v>
      </c>
      <c r="P192" s="4" t="s">
        <v>106</v>
      </c>
      <c r="Q192" s="4" t="s">
        <v>69</v>
      </c>
      <c r="R192" s="4" t="s">
        <v>61</v>
      </c>
      <c r="S192" s="4" t="s">
        <v>62</v>
      </c>
      <c r="T192" s="6" t="e">
        <v>#N/A</v>
      </c>
      <c r="U192" s="5">
        <v>53</v>
      </c>
      <c r="V192" s="5">
        <v>37</v>
      </c>
      <c r="W192" s="5">
        <v>62</v>
      </c>
      <c r="X192" s="5">
        <v>68</v>
      </c>
      <c r="Y192" s="5">
        <v>38.89</v>
      </c>
      <c r="Z192" s="5">
        <v>19.05</v>
      </c>
      <c r="AA192" s="5">
        <v>69.84</v>
      </c>
      <c r="AB192" s="5">
        <v>62.7</v>
      </c>
      <c r="AC192" s="6">
        <v>0.4</v>
      </c>
      <c r="AD192" s="6">
        <v>0.35</v>
      </c>
      <c r="AE192" s="6">
        <v>0.25</v>
      </c>
      <c r="AF192" s="4" t="s">
        <v>6296</v>
      </c>
      <c r="AG192" s="4" t="s">
        <v>6296</v>
      </c>
      <c r="AH192" s="4" t="s">
        <v>6296</v>
      </c>
      <c r="AI192" s="4" t="s">
        <v>6296</v>
      </c>
      <c r="AJ192" s="4" t="s">
        <v>6296</v>
      </c>
      <c r="AK192" s="4" t="s">
        <v>42</v>
      </c>
      <c r="AL192" s="4" t="s">
        <v>6296</v>
      </c>
      <c r="AM192" s="4" t="s">
        <v>6296</v>
      </c>
      <c r="AN192" s="4" t="s">
        <v>6296</v>
      </c>
      <c r="AO192" s="4" t="s">
        <v>6296</v>
      </c>
      <c r="AP192" s="4" t="s">
        <v>4163</v>
      </c>
      <c r="AQ192" s="4" t="s">
        <v>47</v>
      </c>
    </row>
    <row r="193" spans="1:43" ht="12.6" customHeight="1" x14ac:dyDescent="0.25">
      <c r="A193" s="8" t="s">
        <v>3832</v>
      </c>
      <c r="B193" s="9">
        <v>20151231</v>
      </c>
      <c r="C193" s="12">
        <f>_xll.FDS("SPX","FG_PRICE(12/30/2015)")</f>
        <v>2063.36</v>
      </c>
      <c r="D193" s="12">
        <f>_xll.FDS("SPX","FG_PRICE(12/30/2017)")</f>
        <v>2673.61</v>
      </c>
      <c r="E193" s="15">
        <f>D193/C193-1</f>
        <v>0.2957554668114144</v>
      </c>
      <c r="F193" s="8" t="s">
        <v>3833</v>
      </c>
      <c r="G193" s="8" t="s">
        <v>3834</v>
      </c>
      <c r="H193" s="13">
        <f>_xll.FDS(G193,"FG_PRICE(12/30/2015)")</f>
        <v>62.2</v>
      </c>
      <c r="I193" s="13">
        <f>_xll.FDS(G193,"FG_PRICE(12/31/2017)")</f>
        <v>89.58</v>
      </c>
      <c r="J193" s="13">
        <f>I193/H193-1</f>
        <v>0.44019292604501592</v>
      </c>
      <c r="K193" s="13">
        <f>J193-E193</f>
        <v>0.14443745923360152</v>
      </c>
      <c r="L193" s="13">
        <f>_xll.FDS(G193,"FF_ROE(ANN_R,12/30/2015)")</f>
        <v>70.431651397055461</v>
      </c>
      <c r="M193" s="8" t="s">
        <v>3835</v>
      </c>
      <c r="N193" s="4" t="s">
        <v>3836</v>
      </c>
      <c r="O193" s="4" t="s">
        <v>3837</v>
      </c>
      <c r="P193" s="4" t="s">
        <v>106</v>
      </c>
      <c r="Q193" s="4" t="s">
        <v>69</v>
      </c>
      <c r="R193" s="4" t="s">
        <v>61</v>
      </c>
      <c r="S193" s="4" t="s">
        <v>62</v>
      </c>
      <c r="T193" s="6" t="e">
        <v>#N/A</v>
      </c>
      <c r="U193" s="5">
        <v>48</v>
      </c>
      <c r="V193" s="5">
        <v>34</v>
      </c>
      <c r="W193" s="5">
        <v>54</v>
      </c>
      <c r="X193" s="5">
        <v>64</v>
      </c>
      <c r="Y193" s="5">
        <v>11.9</v>
      </c>
      <c r="Z193" s="6">
        <v>0</v>
      </c>
      <c r="AA193" s="5">
        <v>23.81</v>
      </c>
      <c r="AB193" s="5">
        <v>42.06</v>
      </c>
      <c r="AC193" s="6">
        <v>0.4</v>
      </c>
      <c r="AD193" s="6">
        <v>0.35</v>
      </c>
      <c r="AE193" s="6">
        <v>0.25</v>
      </c>
      <c r="AF193" s="4" t="s">
        <v>6296</v>
      </c>
      <c r="AG193" s="4" t="s">
        <v>6296</v>
      </c>
      <c r="AH193" s="4" t="s">
        <v>6296</v>
      </c>
      <c r="AI193" s="4" t="s">
        <v>6296</v>
      </c>
      <c r="AJ193" s="4" t="s">
        <v>6296</v>
      </c>
      <c r="AK193" s="4" t="s">
        <v>6296</v>
      </c>
      <c r="AL193" s="4" t="s">
        <v>6296</v>
      </c>
      <c r="AM193" s="4" t="s">
        <v>6296</v>
      </c>
      <c r="AN193" s="4" t="s">
        <v>6296</v>
      </c>
      <c r="AO193" s="4" t="s">
        <v>6296</v>
      </c>
      <c r="AP193" s="4" t="s">
        <v>3838</v>
      </c>
      <c r="AQ193" s="4" t="s">
        <v>47</v>
      </c>
    </row>
    <row r="194" spans="1:43" ht="12.6" customHeight="1" x14ac:dyDescent="0.25">
      <c r="A194" s="8" t="s">
        <v>5177</v>
      </c>
      <c r="B194" s="9">
        <v>20151231</v>
      </c>
      <c r="C194" s="12">
        <f>_xll.FDS("SPX","FG_PRICE(12/30/2015)")</f>
        <v>2063.36</v>
      </c>
      <c r="D194" s="12">
        <f>_xll.FDS("SPX","FG_PRICE(12/30/2017)")</f>
        <v>2673.61</v>
      </c>
      <c r="E194" s="15">
        <f>D194/C194-1</f>
        <v>0.2957554668114144</v>
      </c>
      <c r="F194" s="8" t="s">
        <v>5178</v>
      </c>
      <c r="G194" s="8" t="s">
        <v>5179</v>
      </c>
      <c r="H194" s="13">
        <f>_xll.FDS(G194,"FG_PRICE(12/30/2015)")</f>
        <v>57.47</v>
      </c>
      <c r="I194" s="13">
        <f>_xll.FDS(G194,"FG_PRICE(12/31/2017)")</f>
        <v>135.21</v>
      </c>
      <c r="J194" s="13">
        <f>I194/H194-1</f>
        <v>1.3527057595267098</v>
      </c>
      <c r="K194" s="13">
        <f>J194-E194</f>
        <v>1.0569502927152954</v>
      </c>
      <c r="L194" s="13">
        <f>_xll.FDS(G194,"FF_ROE(ANN_R,12/30/2015)")</f>
        <v>7.0773263433813893</v>
      </c>
      <c r="M194" s="8" t="s">
        <v>5180</v>
      </c>
      <c r="N194" s="4" t="s">
        <v>5180</v>
      </c>
      <c r="O194" s="4" t="s">
        <v>4514</v>
      </c>
      <c r="P194" s="4" t="s">
        <v>96</v>
      </c>
      <c r="Q194" s="4" t="s">
        <v>69</v>
      </c>
      <c r="R194" s="4" t="s">
        <v>61</v>
      </c>
      <c r="S194" s="4" t="s">
        <v>62</v>
      </c>
      <c r="T194" s="6" t="e">
        <v>#N/A</v>
      </c>
      <c r="U194" s="5">
        <v>48</v>
      </c>
      <c r="V194" s="5">
        <v>34</v>
      </c>
      <c r="W194" s="5">
        <v>51</v>
      </c>
      <c r="X194" s="5">
        <v>65</v>
      </c>
      <c r="Y194" s="5">
        <v>11.9</v>
      </c>
      <c r="Z194" s="6">
        <v>0</v>
      </c>
      <c r="AA194" s="6">
        <v>3.97</v>
      </c>
      <c r="AB194" s="5">
        <v>48.41</v>
      </c>
      <c r="AC194" s="6">
        <v>0.4</v>
      </c>
      <c r="AD194" s="6">
        <v>0.35</v>
      </c>
      <c r="AE194" s="6">
        <v>0.25</v>
      </c>
      <c r="AF194" s="4" t="s">
        <v>6296</v>
      </c>
      <c r="AG194" s="4" t="s">
        <v>6296</v>
      </c>
      <c r="AH194" s="4" t="s">
        <v>6296</v>
      </c>
      <c r="AI194" s="4" t="s">
        <v>6296</v>
      </c>
      <c r="AJ194" s="4" t="s">
        <v>6296</v>
      </c>
      <c r="AK194" s="4" t="s">
        <v>6296</v>
      </c>
      <c r="AL194" s="4" t="s">
        <v>6296</v>
      </c>
      <c r="AM194" s="4" t="s">
        <v>6296</v>
      </c>
      <c r="AN194" s="4" t="s">
        <v>6296</v>
      </c>
      <c r="AO194" s="4" t="s">
        <v>6296</v>
      </c>
      <c r="AP194" s="4" t="s">
        <v>5181</v>
      </c>
      <c r="AQ194" s="4" t="s">
        <v>47</v>
      </c>
    </row>
    <row r="195" spans="1:43" ht="12.6" customHeight="1" x14ac:dyDescent="0.25">
      <c r="A195" s="8" t="s">
        <v>5106</v>
      </c>
      <c r="B195" s="9">
        <v>20151231</v>
      </c>
      <c r="C195" s="12">
        <f>_xll.FDS("SPX","FG_PRICE(12/30/2015)")</f>
        <v>2063.36</v>
      </c>
      <c r="D195" s="12">
        <f>_xll.FDS("SPX","FG_PRICE(12/30/2017)")</f>
        <v>2673.61</v>
      </c>
      <c r="E195" s="15">
        <f>D195/C195-1</f>
        <v>0.2957554668114144</v>
      </c>
      <c r="F195" s="8" t="s">
        <v>5107</v>
      </c>
      <c r="G195" s="8" t="s">
        <v>5108</v>
      </c>
      <c r="H195" s="13">
        <f>_xll.FDS(G195,"FG_PRICE(12/30/2015)")</f>
        <v>10.85</v>
      </c>
      <c r="I195" s="13">
        <f>_xll.FDS(G195,"FG_PRICE(12/31/2017)")</f>
        <v>16.420000000000002</v>
      </c>
      <c r="J195" s="13">
        <f>I195/H195-1</f>
        <v>0.51336405529953932</v>
      </c>
      <c r="K195" s="13">
        <f>J195-E195</f>
        <v>0.21760858848812492</v>
      </c>
      <c r="L195" s="13">
        <f>_xll.FDS(G195,"FF_ROE(ANN_R,12/30/2015)")</f>
        <v>6.3845363747586408</v>
      </c>
      <c r="M195" s="8" t="s">
        <v>5109</v>
      </c>
      <c r="N195" s="4" t="s">
        <v>5110</v>
      </c>
      <c r="O195" s="4" t="s">
        <v>5111</v>
      </c>
      <c r="P195" s="4" t="s">
        <v>106</v>
      </c>
      <c r="Q195" s="4" t="s">
        <v>69</v>
      </c>
      <c r="R195" s="4" t="s">
        <v>61</v>
      </c>
      <c r="S195" s="4" t="s">
        <v>62</v>
      </c>
      <c r="T195" s="6" t="e">
        <v>#N/A</v>
      </c>
      <c r="U195" s="5">
        <v>49</v>
      </c>
      <c r="V195" s="5">
        <v>38</v>
      </c>
      <c r="W195" s="5">
        <v>55</v>
      </c>
      <c r="X195" s="5">
        <v>57</v>
      </c>
      <c r="Y195" s="5">
        <v>15.87</v>
      </c>
      <c r="Z195" s="5">
        <v>26.98</v>
      </c>
      <c r="AA195" s="5">
        <v>34.130000000000003</v>
      </c>
      <c r="AB195" s="5">
        <v>18.25</v>
      </c>
      <c r="AC195" s="6">
        <v>0.4</v>
      </c>
      <c r="AD195" s="6">
        <v>0.35</v>
      </c>
      <c r="AE195" s="6">
        <v>0.25</v>
      </c>
      <c r="AF195" s="4" t="s">
        <v>6296</v>
      </c>
      <c r="AG195" s="4" t="s">
        <v>6296</v>
      </c>
      <c r="AH195" s="4" t="s">
        <v>6296</v>
      </c>
      <c r="AI195" s="4" t="s">
        <v>42</v>
      </c>
      <c r="AJ195" s="4" t="s">
        <v>6296</v>
      </c>
      <c r="AK195" s="4" t="s">
        <v>42</v>
      </c>
      <c r="AL195" s="4" t="s">
        <v>6296</v>
      </c>
      <c r="AM195" s="4" t="s">
        <v>42</v>
      </c>
      <c r="AN195" s="4" t="s">
        <v>42</v>
      </c>
      <c r="AO195" s="4" t="s">
        <v>6296</v>
      </c>
      <c r="AP195" s="4" t="s">
        <v>5112</v>
      </c>
      <c r="AQ195" s="4" t="s">
        <v>47</v>
      </c>
    </row>
    <row r="196" spans="1:43" ht="12.6" customHeight="1" x14ac:dyDescent="0.25">
      <c r="A196" s="8" t="s">
        <v>3667</v>
      </c>
      <c r="B196" s="9">
        <v>20151231</v>
      </c>
      <c r="C196" s="12">
        <f>_xll.FDS("SPX","FG_PRICE(12/30/2015)")</f>
        <v>2063.36</v>
      </c>
      <c r="D196" s="12">
        <f>_xll.FDS("SPX","FG_PRICE(12/30/2017)")</f>
        <v>2673.61</v>
      </c>
      <c r="E196" s="15">
        <f>D196/C196-1</f>
        <v>0.2957554668114144</v>
      </c>
      <c r="F196" s="8" t="s">
        <v>3668</v>
      </c>
      <c r="G196" s="8" t="s">
        <v>3669</v>
      </c>
      <c r="H196" s="13">
        <f>_xll.FDS(G196,"FG_PRICE(12/30/2015)")</f>
        <v>23.05</v>
      </c>
      <c r="I196" s="13">
        <f>_xll.FDS(G196,"FG_PRICE(12/31/2017)")</f>
        <v>44.28</v>
      </c>
      <c r="J196" s="13">
        <f>I196/H196-1</f>
        <v>0.92104121475054224</v>
      </c>
      <c r="K196" s="13">
        <f>J196-E196</f>
        <v>0.62528574793912783</v>
      </c>
      <c r="L196" s="13" t="e">
        <f>_xll.FDS(G196,"FF_ROE(ANN_R,12/30/2015)")</f>
        <v>#N/A</v>
      </c>
      <c r="M196" s="8" t="s">
        <v>3670</v>
      </c>
      <c r="N196" s="4" t="s">
        <v>3671</v>
      </c>
      <c r="O196" s="4" t="s">
        <v>3672</v>
      </c>
      <c r="P196" s="4" t="s">
        <v>96</v>
      </c>
      <c r="Q196" s="4" t="s">
        <v>69</v>
      </c>
      <c r="R196" s="4" t="s">
        <v>61</v>
      </c>
      <c r="S196" s="4" t="s">
        <v>62</v>
      </c>
      <c r="T196" s="6" t="e">
        <v>#N/A</v>
      </c>
      <c r="U196" s="5">
        <v>55</v>
      </c>
      <c r="V196" s="5">
        <v>48</v>
      </c>
      <c r="W196" s="5">
        <v>59</v>
      </c>
      <c r="X196" s="5">
        <v>62</v>
      </c>
      <c r="Y196" s="5">
        <v>50</v>
      </c>
      <c r="Z196" s="5">
        <v>56.35</v>
      </c>
      <c r="AA196" s="5">
        <v>53.17</v>
      </c>
      <c r="AB196" s="5">
        <v>33.33</v>
      </c>
      <c r="AC196" s="6">
        <v>0.4</v>
      </c>
      <c r="AD196" s="6">
        <v>0.35</v>
      </c>
      <c r="AE196" s="6">
        <v>0.25</v>
      </c>
      <c r="AF196" s="4" t="s">
        <v>6296</v>
      </c>
      <c r="AG196" s="4" t="s">
        <v>6296</v>
      </c>
      <c r="AH196" s="4" t="s">
        <v>6296</v>
      </c>
      <c r="AI196" s="4" t="s">
        <v>6296</v>
      </c>
      <c r="AJ196" s="4" t="s">
        <v>6296</v>
      </c>
      <c r="AK196" s="4" t="s">
        <v>6296</v>
      </c>
      <c r="AL196" s="4" t="s">
        <v>6296</v>
      </c>
      <c r="AM196" s="4" t="s">
        <v>6296</v>
      </c>
      <c r="AN196" s="4" t="s">
        <v>42</v>
      </c>
      <c r="AO196" s="4" t="s">
        <v>6296</v>
      </c>
      <c r="AP196" s="4" t="s">
        <v>3673</v>
      </c>
      <c r="AQ196" s="4" t="s">
        <v>47</v>
      </c>
    </row>
    <row r="197" spans="1:43" ht="12.6" customHeight="1" x14ac:dyDescent="0.25">
      <c r="A197" s="8" t="s">
        <v>4353</v>
      </c>
      <c r="B197" s="9">
        <v>20151231</v>
      </c>
      <c r="C197" s="12">
        <f>_xll.FDS("SPX","FG_PRICE(12/30/2015)")</f>
        <v>2063.36</v>
      </c>
      <c r="D197" s="12">
        <f>_xll.FDS("SPX","FG_PRICE(12/30/2017)")</f>
        <v>2673.61</v>
      </c>
      <c r="E197" s="15">
        <f>D197/C197-1</f>
        <v>0.2957554668114144</v>
      </c>
      <c r="F197" s="8" t="s">
        <v>4354</v>
      </c>
      <c r="G197" s="8" t="s">
        <v>4355</v>
      </c>
      <c r="H197" s="13">
        <f>_xll.FDS(G197,"FG_PRICE(12/30/2015)")</f>
        <v>68.64</v>
      </c>
      <c r="I197" s="13">
        <f>_xll.FDS(G197,"FG_PRICE(12/31/2017)")</f>
        <v>168.59</v>
      </c>
      <c r="J197" s="13">
        <f>I197/H197-1</f>
        <v>1.4561480186480185</v>
      </c>
      <c r="K197" s="13">
        <f>J197-E197</f>
        <v>1.1603925518366041</v>
      </c>
      <c r="L197" s="13" t="e">
        <f>_xll.FDS(G197,"FF_ROE(ANN_R,12/30/2015)")</f>
        <v>#N/A</v>
      </c>
      <c r="M197" s="8" t="s">
        <v>4356</v>
      </c>
      <c r="N197" s="4" t="s">
        <v>4357</v>
      </c>
      <c r="O197" s="4" t="s">
        <v>4358</v>
      </c>
      <c r="P197" s="4" t="s">
        <v>106</v>
      </c>
      <c r="Q197" s="4" t="s">
        <v>69</v>
      </c>
      <c r="R197" s="4" t="s">
        <v>61</v>
      </c>
      <c r="S197" s="4" t="s">
        <v>62</v>
      </c>
      <c r="T197" s="6" t="e">
        <v>#N/A</v>
      </c>
      <c r="U197" s="5">
        <v>49</v>
      </c>
      <c r="V197" s="5">
        <v>43</v>
      </c>
      <c r="W197" s="5">
        <v>54</v>
      </c>
      <c r="X197" s="5">
        <v>51</v>
      </c>
      <c r="Y197" s="5">
        <v>15.87</v>
      </c>
      <c r="Z197" s="5">
        <v>43.65</v>
      </c>
      <c r="AA197" s="5">
        <v>23.81</v>
      </c>
      <c r="AB197" s="6">
        <v>6.35</v>
      </c>
      <c r="AC197" s="6">
        <v>0.4</v>
      </c>
      <c r="AD197" s="6">
        <v>0.35</v>
      </c>
      <c r="AE197" s="6">
        <v>0.25</v>
      </c>
      <c r="AF197" s="4" t="s">
        <v>6296</v>
      </c>
      <c r="AG197" s="4" t="s">
        <v>6296</v>
      </c>
      <c r="AH197" s="4" t="s">
        <v>6296</v>
      </c>
      <c r="AI197" s="4" t="s">
        <v>6296</v>
      </c>
      <c r="AJ197" s="4" t="s">
        <v>42</v>
      </c>
      <c r="AK197" s="4" t="s">
        <v>42</v>
      </c>
      <c r="AL197" s="4" t="s">
        <v>42</v>
      </c>
      <c r="AM197" s="4" t="s">
        <v>37</v>
      </c>
      <c r="AN197" s="4" t="s">
        <v>46</v>
      </c>
      <c r="AO197" s="4" t="s">
        <v>6296</v>
      </c>
      <c r="AP197" s="4" t="s">
        <v>4359</v>
      </c>
      <c r="AQ197" s="4" t="s">
        <v>47</v>
      </c>
    </row>
    <row r="198" spans="1:43" ht="12.6" customHeight="1" x14ac:dyDescent="0.25">
      <c r="A198" s="8" t="s">
        <v>4777</v>
      </c>
      <c r="B198" s="9">
        <v>20151231</v>
      </c>
      <c r="C198" s="12">
        <f>_xll.FDS("SPX","FG_PRICE(12/30/2015)")</f>
        <v>2063.36</v>
      </c>
      <c r="D198" s="12">
        <f>_xll.FDS("SPX","FG_PRICE(12/30/2017)")</f>
        <v>2673.61</v>
      </c>
      <c r="E198" s="15">
        <f>D198/C198-1</f>
        <v>0.2957554668114144</v>
      </c>
      <c r="F198" s="8" t="s">
        <v>4778</v>
      </c>
      <c r="G198" s="8" t="s">
        <v>4779</v>
      </c>
      <c r="H198" s="13">
        <f>_xll.FDS(G198,"FG_PRICE(12/30/2015)")</f>
        <v>72.88</v>
      </c>
      <c r="I198" s="13">
        <f>_xll.FDS(G198,"FG_PRICE(12/31/2017)")</f>
        <v>115.87</v>
      </c>
      <c r="J198" s="13">
        <f>I198/H198-1</f>
        <v>0.58987376509330414</v>
      </c>
      <c r="K198" s="13">
        <f>J198-E198</f>
        <v>0.29411829828188973</v>
      </c>
      <c r="L198" s="13">
        <f>_xll.FDS(G198,"FF_ROE(ANN_R,12/30/2015)")</f>
        <v>36.761640027797093</v>
      </c>
      <c r="M198" s="8" t="s">
        <v>4780</v>
      </c>
      <c r="N198" s="4" t="s">
        <v>4780</v>
      </c>
      <c r="O198" s="4" t="s">
        <v>4781</v>
      </c>
      <c r="P198" s="4" t="s">
        <v>96</v>
      </c>
      <c r="Q198" s="4" t="s">
        <v>69</v>
      </c>
      <c r="R198" s="4" t="s">
        <v>61</v>
      </c>
      <c r="S198" s="4" t="s">
        <v>62</v>
      </c>
      <c r="T198" s="6" t="e">
        <v>#N/A</v>
      </c>
      <c r="U198" s="5">
        <v>62</v>
      </c>
      <c r="V198" s="5">
        <v>57</v>
      </c>
      <c r="W198" s="5">
        <v>68</v>
      </c>
      <c r="X198" s="5">
        <v>61</v>
      </c>
      <c r="Y198" s="5">
        <v>79.37</v>
      </c>
      <c r="Z198" s="5">
        <v>76.98</v>
      </c>
      <c r="AA198" s="5">
        <v>89.68</v>
      </c>
      <c r="AB198" s="5">
        <v>29.37</v>
      </c>
      <c r="AC198" s="6">
        <v>0.4</v>
      </c>
      <c r="AD198" s="6">
        <v>0.35</v>
      </c>
      <c r="AE198" s="6">
        <v>0.25</v>
      </c>
      <c r="AF198" s="4" t="s">
        <v>6296</v>
      </c>
      <c r="AG198" s="4" t="s">
        <v>6296</v>
      </c>
      <c r="AH198" s="4" t="s">
        <v>6296</v>
      </c>
      <c r="AI198" s="4" t="s">
        <v>42</v>
      </c>
      <c r="AJ198" s="4" t="s">
        <v>6296</v>
      </c>
      <c r="AK198" s="4" t="s">
        <v>37</v>
      </c>
      <c r="AL198" s="4" t="s">
        <v>6296</v>
      </c>
      <c r="AM198" s="4" t="s">
        <v>46</v>
      </c>
      <c r="AN198" s="4" t="s">
        <v>6296</v>
      </c>
      <c r="AO198" s="4" t="s">
        <v>6296</v>
      </c>
      <c r="AP198" s="4" t="s">
        <v>4782</v>
      </c>
      <c r="AQ198" s="4" t="s">
        <v>47</v>
      </c>
    </row>
    <row r="199" spans="1:43" ht="12.6" customHeight="1" x14ac:dyDescent="0.25">
      <c r="A199" s="8" t="s">
        <v>635</v>
      </c>
      <c r="B199" s="9">
        <v>20151231</v>
      </c>
      <c r="C199" s="12">
        <f>_xll.FDS("SPX","FG_PRICE(12/30/2015)")</f>
        <v>2063.36</v>
      </c>
      <c r="D199" s="12">
        <f>_xll.FDS("SPX","FG_PRICE(12/30/2017)")</f>
        <v>2673.61</v>
      </c>
      <c r="E199" s="15">
        <f>D199/C199-1</f>
        <v>0.2957554668114144</v>
      </c>
      <c r="F199" s="8" t="s">
        <v>636</v>
      </c>
      <c r="G199" s="8" t="s">
        <v>637</v>
      </c>
      <c r="H199" s="13">
        <f>_xll.FDS(G199,"FG_PRICE(12/30/2015)")</f>
        <v>53.073390000000003</v>
      </c>
      <c r="I199" s="13">
        <f>_xll.FDS(G199,"FG_PRICE(12/31/2017)")</f>
        <v>81.61</v>
      </c>
      <c r="J199" s="13">
        <f>I199/H199-1</f>
        <v>0.5376820662859485</v>
      </c>
      <c r="K199" s="13">
        <f>J199-E199</f>
        <v>0.2419265994745341</v>
      </c>
      <c r="L199" s="13">
        <f>_xll.FDS(G199,"FF_ROE(ANN_R,12/30/2015)")</f>
        <v>56.611904120657151</v>
      </c>
      <c r="M199" s="8" t="s">
        <v>638</v>
      </c>
      <c r="N199" s="4" t="s">
        <v>639</v>
      </c>
      <c r="O199" s="4" t="s">
        <v>640</v>
      </c>
      <c r="P199" s="4" t="s">
        <v>96</v>
      </c>
      <c r="Q199" s="4" t="s">
        <v>69</v>
      </c>
      <c r="R199" s="4" t="s">
        <v>61</v>
      </c>
      <c r="S199" s="4" t="s">
        <v>62</v>
      </c>
      <c r="T199" s="6" t="e">
        <v>#N/A</v>
      </c>
      <c r="U199" s="5">
        <v>57</v>
      </c>
      <c r="V199" s="5">
        <v>55</v>
      </c>
      <c r="W199" s="5">
        <v>56</v>
      </c>
      <c r="X199" s="5">
        <v>64</v>
      </c>
      <c r="Y199" s="5">
        <v>61.11</v>
      </c>
      <c r="Z199" s="5">
        <v>73.02</v>
      </c>
      <c r="AA199" s="5">
        <v>40.479999999999997</v>
      </c>
      <c r="AB199" s="5">
        <v>42.06</v>
      </c>
      <c r="AC199" s="6">
        <v>0.4</v>
      </c>
      <c r="AD199" s="6">
        <v>0.35</v>
      </c>
      <c r="AE199" s="6">
        <v>0.25</v>
      </c>
      <c r="AF199" s="4" t="s">
        <v>42</v>
      </c>
      <c r="AG199" s="4" t="s">
        <v>42</v>
      </c>
      <c r="AH199" s="4" t="s">
        <v>6296</v>
      </c>
      <c r="AI199" s="4" t="s">
        <v>42</v>
      </c>
      <c r="AJ199" s="4" t="s">
        <v>46</v>
      </c>
      <c r="AK199" s="4" t="s">
        <v>37</v>
      </c>
      <c r="AL199" s="4" t="s">
        <v>6296</v>
      </c>
      <c r="AM199" s="4" t="s">
        <v>42</v>
      </c>
      <c r="AN199" s="4" t="s">
        <v>42</v>
      </c>
      <c r="AO199" s="4" t="s">
        <v>6296</v>
      </c>
      <c r="AP199" s="4" t="s">
        <v>641</v>
      </c>
      <c r="AQ199" s="4" t="s">
        <v>47</v>
      </c>
    </row>
    <row r="200" spans="1:43" ht="12.6" customHeight="1" x14ac:dyDescent="0.25">
      <c r="A200" s="8" t="s">
        <v>340</v>
      </c>
      <c r="B200" s="9">
        <v>20151231</v>
      </c>
      <c r="C200" s="12">
        <f>_xll.FDS("SPX","FG_PRICE(12/30/2015)")</f>
        <v>2063.36</v>
      </c>
      <c r="D200" s="12">
        <f>_xll.FDS("SPX","FG_PRICE(12/30/2017)")</f>
        <v>2673.61</v>
      </c>
      <c r="E200" s="15">
        <f>D200/C200-1</f>
        <v>0.2957554668114144</v>
      </c>
      <c r="F200" s="8" t="s">
        <v>341</v>
      </c>
      <c r="G200" s="8" t="s">
        <v>342</v>
      </c>
      <c r="H200" s="13">
        <f>_xll.FDS(G200,"FG_PRICE(12/30/2015)")</f>
        <v>73.62</v>
      </c>
      <c r="I200" s="13">
        <f>_xll.FDS(G200,"FG_PRICE(12/31/2017)")</f>
        <v>86.28</v>
      </c>
      <c r="J200" s="13">
        <f>I200/H200-1</f>
        <v>0.17196414017929906</v>
      </c>
      <c r="K200" s="13">
        <f>J200-E200</f>
        <v>-0.12379132663211534</v>
      </c>
      <c r="L200" s="13">
        <f>_xll.FDS(G200,"FF_ROE(ANN_R,12/30/2015)")</f>
        <v>14.839011382939679</v>
      </c>
      <c r="M200" s="8" t="s">
        <v>343</v>
      </c>
      <c r="N200" s="4" t="s">
        <v>344</v>
      </c>
      <c r="O200" s="4" t="s">
        <v>345</v>
      </c>
      <c r="P200" s="4" t="s">
        <v>96</v>
      </c>
      <c r="Q200" s="4" t="s">
        <v>88</v>
      </c>
      <c r="R200" s="4" t="s">
        <v>61</v>
      </c>
      <c r="S200" s="4" t="s">
        <v>62</v>
      </c>
      <c r="T200" s="6" t="e">
        <v>#N/A</v>
      </c>
      <c r="U200" s="5">
        <v>59</v>
      </c>
      <c r="V200" s="5">
        <v>55</v>
      </c>
      <c r="W200" s="5">
        <v>54</v>
      </c>
      <c r="X200" s="5">
        <v>73</v>
      </c>
      <c r="Y200" s="5">
        <v>24.14</v>
      </c>
      <c r="Z200" s="5">
        <v>24.14</v>
      </c>
      <c r="AA200" s="5">
        <v>20.69</v>
      </c>
      <c r="AB200" s="5">
        <v>62.07</v>
      </c>
      <c r="AC200" s="6">
        <v>0.4</v>
      </c>
      <c r="AD200" s="6">
        <v>0.35</v>
      </c>
      <c r="AE200" s="6">
        <v>0.25</v>
      </c>
      <c r="AF200" s="4" t="s">
        <v>6296</v>
      </c>
      <c r="AG200" s="4" t="s">
        <v>6296</v>
      </c>
      <c r="AH200" s="4" t="s">
        <v>6296</v>
      </c>
      <c r="AI200" s="4" t="s">
        <v>6296</v>
      </c>
      <c r="AJ200" s="4" t="s">
        <v>6296</v>
      </c>
      <c r="AK200" s="4" t="s">
        <v>6296</v>
      </c>
      <c r="AL200" s="4" t="s">
        <v>6296</v>
      </c>
      <c r="AM200" s="4" t="s">
        <v>6296</v>
      </c>
      <c r="AN200" s="4" t="s">
        <v>6296</v>
      </c>
      <c r="AO200" s="4" t="s">
        <v>6296</v>
      </c>
      <c r="AP200" s="4" t="s">
        <v>346</v>
      </c>
      <c r="AQ200" s="4" t="s">
        <v>47</v>
      </c>
    </row>
    <row r="201" spans="1:43" ht="12.6" customHeight="1" x14ac:dyDescent="0.25">
      <c r="A201" s="8" t="s">
        <v>486</v>
      </c>
      <c r="B201" s="9">
        <v>20151231</v>
      </c>
      <c r="C201" s="12">
        <f>_xll.FDS("SPX","FG_PRICE(12/30/2015)")</f>
        <v>2063.36</v>
      </c>
      <c r="D201" s="12">
        <f>_xll.FDS("SPX","FG_PRICE(12/30/2017)")</f>
        <v>2673.61</v>
      </c>
      <c r="E201" s="15">
        <f>D201/C201-1</f>
        <v>0.2957554668114144</v>
      </c>
      <c r="F201" s="8" t="s">
        <v>487</v>
      </c>
      <c r="G201" s="8" t="s">
        <v>488</v>
      </c>
      <c r="H201" s="13">
        <f>_xll.FDS(G201,"FG_PRICE(12/30/2015)")</f>
        <v>63.34</v>
      </c>
      <c r="I201" s="13">
        <f>_xll.FDS(G201,"FG_PRICE(12/31/2017)")</f>
        <v>114.86</v>
      </c>
      <c r="J201" s="13">
        <f>I201/H201-1</f>
        <v>0.81338806441427214</v>
      </c>
      <c r="K201" s="13">
        <f>J201-E201</f>
        <v>0.51763259760285774</v>
      </c>
      <c r="L201" s="13">
        <f>_xll.FDS(G201,"FF_ROE(ANN_R,12/30/2015)")</f>
        <v>19.62715441435104</v>
      </c>
      <c r="M201" s="8" t="s">
        <v>489</v>
      </c>
      <c r="N201" s="4" t="s">
        <v>489</v>
      </c>
      <c r="O201" s="4" t="s">
        <v>490</v>
      </c>
      <c r="P201" s="4" t="s">
        <v>96</v>
      </c>
      <c r="Q201" s="4" t="s">
        <v>88</v>
      </c>
      <c r="R201" s="4" t="s">
        <v>61</v>
      </c>
      <c r="S201" s="4" t="s">
        <v>62</v>
      </c>
      <c r="T201" s="6" t="e">
        <v>#N/A</v>
      </c>
      <c r="U201" s="5">
        <v>69</v>
      </c>
      <c r="V201" s="5">
        <v>64</v>
      </c>
      <c r="W201" s="5">
        <v>76</v>
      </c>
      <c r="X201" s="5">
        <v>68</v>
      </c>
      <c r="Y201" s="5">
        <v>65.52</v>
      </c>
      <c r="Z201" s="5">
        <v>51.72</v>
      </c>
      <c r="AA201" s="5">
        <v>79.31</v>
      </c>
      <c r="AB201" s="5">
        <v>44.83</v>
      </c>
      <c r="AC201" s="6">
        <v>0.4</v>
      </c>
      <c r="AD201" s="6">
        <v>0.35</v>
      </c>
      <c r="AE201" s="6">
        <v>0.25</v>
      </c>
      <c r="AF201" s="4" t="s">
        <v>42</v>
      </c>
      <c r="AG201" s="4" t="s">
        <v>6296</v>
      </c>
      <c r="AH201" s="4" t="s">
        <v>6296</v>
      </c>
      <c r="AI201" s="4" t="s">
        <v>6296</v>
      </c>
      <c r="AJ201" s="4" t="s">
        <v>6296</v>
      </c>
      <c r="AK201" s="4" t="s">
        <v>6296</v>
      </c>
      <c r="AL201" s="4" t="s">
        <v>6296</v>
      </c>
      <c r="AM201" s="4" t="s">
        <v>6296</v>
      </c>
      <c r="AN201" s="4" t="s">
        <v>6296</v>
      </c>
      <c r="AO201" s="4" t="s">
        <v>6296</v>
      </c>
      <c r="AP201" s="4" t="s">
        <v>491</v>
      </c>
      <c r="AQ201" s="4" t="s">
        <v>47</v>
      </c>
    </row>
    <row r="202" spans="1:43" ht="12.6" customHeight="1" x14ac:dyDescent="0.25">
      <c r="A202" s="8" t="s">
        <v>527</v>
      </c>
      <c r="B202" s="9">
        <v>20151231</v>
      </c>
      <c r="C202" s="12">
        <f>_xll.FDS("SPX","FG_PRICE(12/30/2015)")</f>
        <v>2063.36</v>
      </c>
      <c r="D202" s="12">
        <f>_xll.FDS("SPX","FG_PRICE(12/30/2017)")</f>
        <v>2673.61</v>
      </c>
      <c r="E202" s="15">
        <f>D202/C202-1</f>
        <v>0.2957554668114144</v>
      </c>
      <c r="F202" s="8" t="s">
        <v>528</v>
      </c>
      <c r="G202" s="8" t="s">
        <v>529</v>
      </c>
      <c r="H202" s="13">
        <f>_xll.FDS(G202,"FG_PRICE(12/30/2015)")</f>
        <v>36.664999999999999</v>
      </c>
      <c r="I202" s="13">
        <f>_xll.FDS(G202,"FG_PRICE(12/31/2017)")</f>
        <v>37.85</v>
      </c>
      <c r="J202" s="13">
        <f>I202/H202-1</f>
        <v>3.2319650893222418E-2</v>
      </c>
      <c r="K202" s="13">
        <f>J202-E202</f>
        <v>-0.26343581591819198</v>
      </c>
      <c r="L202" s="13">
        <f>_xll.FDS(G202,"FF_ROE(ANN_R,12/30/2015)")</f>
        <v>42.095835199283478</v>
      </c>
      <c r="M202" s="8" t="s">
        <v>530</v>
      </c>
      <c r="N202" s="4" t="s">
        <v>530</v>
      </c>
      <c r="O202" s="4" t="s">
        <v>531</v>
      </c>
      <c r="P202" s="4" t="s">
        <v>96</v>
      </c>
      <c r="Q202" s="4" t="s">
        <v>88</v>
      </c>
      <c r="R202" s="4" t="s">
        <v>61</v>
      </c>
      <c r="S202" s="4" t="s">
        <v>62</v>
      </c>
      <c r="T202" s="6" t="e">
        <v>#N/A</v>
      </c>
      <c r="U202" s="5">
        <v>76</v>
      </c>
      <c r="V202" s="5">
        <v>70</v>
      </c>
      <c r="W202" s="5">
        <v>89</v>
      </c>
      <c r="X202" s="5">
        <v>67</v>
      </c>
      <c r="Y202" s="5">
        <v>82.76</v>
      </c>
      <c r="Z202" s="5">
        <v>68.97</v>
      </c>
      <c r="AA202" s="7">
        <v>100</v>
      </c>
      <c r="AB202" s="5">
        <v>37.93</v>
      </c>
      <c r="AC202" s="6">
        <v>0.4</v>
      </c>
      <c r="AD202" s="6">
        <v>0.35</v>
      </c>
      <c r="AE202" s="6">
        <v>0.25</v>
      </c>
      <c r="AF202" s="4" t="s">
        <v>6296</v>
      </c>
      <c r="AG202" s="4" t="s">
        <v>6296</v>
      </c>
      <c r="AH202" s="4" t="s">
        <v>6296</v>
      </c>
      <c r="AI202" s="4" t="s">
        <v>6296</v>
      </c>
      <c r="AJ202" s="4" t="s">
        <v>6296</v>
      </c>
      <c r="AK202" s="4" t="s">
        <v>6296</v>
      </c>
      <c r="AL202" s="4" t="s">
        <v>6296</v>
      </c>
      <c r="AM202" s="4" t="s">
        <v>6296</v>
      </c>
      <c r="AN202" s="4" t="s">
        <v>6296</v>
      </c>
      <c r="AO202" s="4" t="s">
        <v>6296</v>
      </c>
      <c r="AP202" s="4" t="s">
        <v>532</v>
      </c>
      <c r="AQ202" s="4" t="s">
        <v>47</v>
      </c>
    </row>
    <row r="203" spans="1:43" ht="12.6" customHeight="1" x14ac:dyDescent="0.25">
      <c r="A203" s="8" t="s">
        <v>594</v>
      </c>
      <c r="B203" s="9">
        <v>20151231</v>
      </c>
      <c r="C203" s="12">
        <f>_xll.FDS("SPX","FG_PRICE(12/30/2015)")</f>
        <v>2063.36</v>
      </c>
      <c r="D203" s="12">
        <f>_xll.FDS("SPX","FG_PRICE(12/30/2017)")</f>
        <v>2673.61</v>
      </c>
      <c r="E203" s="15">
        <f>D203/C203-1</f>
        <v>0.2957554668114144</v>
      </c>
      <c r="F203" s="8" t="s">
        <v>595</v>
      </c>
      <c r="G203" s="8" t="s">
        <v>596</v>
      </c>
      <c r="H203" s="13">
        <f>_xll.FDS(G203,"FG_PRICE(12/30/2015)")</f>
        <v>45.41</v>
      </c>
      <c r="I203" s="13">
        <f>_xll.FDS(G203,"FG_PRICE(12/31/2017)")</f>
        <v>47.79</v>
      </c>
      <c r="J203" s="13">
        <f>I203/H203-1</f>
        <v>5.2411363135873135E-2</v>
      </c>
      <c r="K203" s="13">
        <f>J203-E203</f>
        <v>-0.24334410367554127</v>
      </c>
      <c r="L203" s="13">
        <f>_xll.FDS(G203,"FF_ROE(ANN_R,12/30/2015)")</f>
        <v>15.337738148694591</v>
      </c>
      <c r="M203" s="8" t="s">
        <v>597</v>
      </c>
      <c r="N203" s="4" t="s">
        <v>598</v>
      </c>
      <c r="O203" s="4" t="s">
        <v>49</v>
      </c>
      <c r="P203" s="4" t="s">
        <v>96</v>
      </c>
      <c r="Q203" s="4" t="s">
        <v>88</v>
      </c>
      <c r="R203" s="4" t="s">
        <v>61</v>
      </c>
      <c r="S203" s="4" t="s">
        <v>62</v>
      </c>
      <c r="T203" s="6" t="e">
        <v>#N/A</v>
      </c>
      <c r="U203" s="5">
        <v>64</v>
      </c>
      <c r="V203" s="5">
        <v>59</v>
      </c>
      <c r="W203" s="5">
        <v>61</v>
      </c>
      <c r="X203" s="5">
        <v>76</v>
      </c>
      <c r="Y203" s="5">
        <v>48.28</v>
      </c>
      <c r="Z203" s="5">
        <v>31.03</v>
      </c>
      <c r="AA203" s="5">
        <v>51.72</v>
      </c>
      <c r="AB203" s="5">
        <v>68.97</v>
      </c>
      <c r="AC203" s="6">
        <v>0.4</v>
      </c>
      <c r="AD203" s="6">
        <v>0.35</v>
      </c>
      <c r="AE203" s="6">
        <v>0.25</v>
      </c>
      <c r="AF203" s="4" t="s">
        <v>6296</v>
      </c>
      <c r="AG203" s="4" t="s">
        <v>6296</v>
      </c>
      <c r="AH203" s="4" t="s">
        <v>6296</v>
      </c>
      <c r="AI203" s="4" t="s">
        <v>6296</v>
      </c>
      <c r="AJ203" s="4" t="s">
        <v>6296</v>
      </c>
      <c r="AK203" s="4" t="s">
        <v>6296</v>
      </c>
      <c r="AL203" s="4" t="s">
        <v>6296</v>
      </c>
      <c r="AM203" s="4" t="s">
        <v>6296</v>
      </c>
      <c r="AN203" s="4" t="s">
        <v>6296</v>
      </c>
      <c r="AO203" s="4" t="s">
        <v>6296</v>
      </c>
      <c r="AP203" s="4" t="s">
        <v>599</v>
      </c>
      <c r="AQ203" s="4" t="s">
        <v>47</v>
      </c>
    </row>
    <row r="204" spans="1:43" ht="12.6" customHeight="1" x14ac:dyDescent="0.25">
      <c r="A204" s="8" t="s">
        <v>1982</v>
      </c>
      <c r="B204" s="9">
        <v>20151231</v>
      </c>
      <c r="C204" s="12">
        <f>_xll.FDS("SPX","FG_PRICE(12/30/2015)")</f>
        <v>2063.36</v>
      </c>
      <c r="D204" s="12">
        <f>_xll.FDS("SPX","FG_PRICE(12/30/2017)")</f>
        <v>2673.61</v>
      </c>
      <c r="E204" s="15">
        <f>D204/C204-1</f>
        <v>0.2957554668114144</v>
      </c>
      <c r="F204" s="8" t="s">
        <v>1983</v>
      </c>
      <c r="G204" s="8" t="s">
        <v>1984</v>
      </c>
      <c r="H204" s="13">
        <f>_xll.FDS(G204,"FG_PRICE(12/30/2015)")</f>
        <v>51.54</v>
      </c>
      <c r="I204" s="13">
        <f>_xll.FDS(G204,"FG_PRICE(12/31/2017)")</f>
        <v>56.25</v>
      </c>
      <c r="J204" s="13">
        <f>I204/H204-1</f>
        <v>9.1385331781140833E-2</v>
      </c>
      <c r="K204" s="13">
        <f>J204-E204</f>
        <v>-0.20437013503027357</v>
      </c>
      <c r="L204" s="13">
        <f>_xll.FDS(G204,"FF_ROE(ANN_R,12/30/2015)")</f>
        <v>629.26829268292681</v>
      </c>
      <c r="M204" s="8" t="s">
        <v>1985</v>
      </c>
      <c r="N204" s="4" t="s">
        <v>1986</v>
      </c>
      <c r="O204" s="4" t="s">
        <v>1987</v>
      </c>
      <c r="P204" s="4" t="s">
        <v>96</v>
      </c>
      <c r="Q204" s="4" t="s">
        <v>88</v>
      </c>
      <c r="R204" s="4" t="s">
        <v>61</v>
      </c>
      <c r="S204" s="4" t="s">
        <v>62</v>
      </c>
      <c r="T204" s="6" t="e">
        <v>#N/A</v>
      </c>
      <c r="U204" s="5">
        <v>59</v>
      </c>
      <c r="V204" s="5">
        <v>60</v>
      </c>
      <c r="W204" s="5">
        <v>55</v>
      </c>
      <c r="X204" s="5">
        <v>64</v>
      </c>
      <c r="Y204" s="5">
        <v>24.14</v>
      </c>
      <c r="Z204" s="5">
        <v>34.479999999999997</v>
      </c>
      <c r="AA204" s="5">
        <v>27.59</v>
      </c>
      <c r="AB204" s="5">
        <v>27.59</v>
      </c>
      <c r="AC204" s="6">
        <v>0.4</v>
      </c>
      <c r="AD204" s="6">
        <v>0.35</v>
      </c>
      <c r="AE204" s="6">
        <v>0.25</v>
      </c>
      <c r="AF204" s="4" t="s">
        <v>6296</v>
      </c>
      <c r="AG204" s="4" t="s">
        <v>6296</v>
      </c>
      <c r="AH204" s="4" t="s">
        <v>6296</v>
      </c>
      <c r="AI204" s="4" t="s">
        <v>46</v>
      </c>
      <c r="AJ204" s="4" t="s">
        <v>6296</v>
      </c>
      <c r="AK204" s="4" t="s">
        <v>42</v>
      </c>
      <c r="AL204" s="4" t="s">
        <v>6296</v>
      </c>
      <c r="AM204" s="4" t="s">
        <v>6296</v>
      </c>
      <c r="AN204" s="4" t="s">
        <v>6296</v>
      </c>
      <c r="AO204" s="4" t="s">
        <v>6296</v>
      </c>
      <c r="AP204" s="4" t="s">
        <v>1988</v>
      </c>
      <c r="AQ204" s="4" t="s">
        <v>47</v>
      </c>
    </row>
    <row r="205" spans="1:43" ht="12.6" customHeight="1" x14ac:dyDescent="0.25">
      <c r="A205" s="8" t="s">
        <v>1815</v>
      </c>
      <c r="B205" s="9">
        <v>20151231</v>
      </c>
      <c r="C205" s="12">
        <f>_xll.FDS("SPX","FG_PRICE(12/30/2015)")</f>
        <v>2063.36</v>
      </c>
      <c r="D205" s="12">
        <f>_xll.FDS("SPX","FG_PRICE(12/30/2017)")</f>
        <v>2673.61</v>
      </c>
      <c r="E205" s="15">
        <f>D205/C205-1</f>
        <v>0.2957554668114144</v>
      </c>
      <c r="F205" s="8" t="s">
        <v>1816</v>
      </c>
      <c r="G205" s="8" t="s">
        <v>1817</v>
      </c>
      <c r="H205" s="13">
        <f>_xll.FDS(G205,"FG_PRICE(12/30/2015)")</f>
        <v>31.55</v>
      </c>
      <c r="I205" s="13">
        <f>_xll.FDS(G205,"FG_PRICE(12/31/2017)")</f>
        <v>60.58</v>
      </c>
      <c r="J205" s="13">
        <f>I205/H205-1</f>
        <v>0.92012678288431049</v>
      </c>
      <c r="K205" s="13">
        <f>J205-E205</f>
        <v>0.62437131607289609</v>
      </c>
      <c r="L205" s="13">
        <f>_xll.FDS(G205,"FF_ROE(ANN_R,12/30/2015)")</f>
        <v>6.6645038698614281</v>
      </c>
      <c r="M205" s="8" t="s">
        <v>1818</v>
      </c>
      <c r="N205" s="4" t="s">
        <v>1819</v>
      </c>
      <c r="O205" s="4" t="s">
        <v>1820</v>
      </c>
      <c r="P205" s="4" t="s">
        <v>96</v>
      </c>
      <c r="Q205" s="4" t="s">
        <v>88</v>
      </c>
      <c r="R205" s="4" t="s">
        <v>61</v>
      </c>
      <c r="S205" s="4" t="s">
        <v>62</v>
      </c>
      <c r="T205" s="6" t="e">
        <v>#N/A</v>
      </c>
      <c r="U205" s="5">
        <v>60</v>
      </c>
      <c r="V205" s="5">
        <v>58</v>
      </c>
      <c r="W205" s="5">
        <v>59</v>
      </c>
      <c r="X205" s="5">
        <v>64</v>
      </c>
      <c r="Y205" s="5">
        <v>31.03</v>
      </c>
      <c r="Z205" s="5">
        <v>27.59</v>
      </c>
      <c r="AA205" s="5">
        <v>34.479999999999997</v>
      </c>
      <c r="AB205" s="5">
        <v>27.59</v>
      </c>
      <c r="AC205" s="6">
        <v>0.4</v>
      </c>
      <c r="AD205" s="6">
        <v>0.35</v>
      </c>
      <c r="AE205" s="6">
        <v>0.25</v>
      </c>
      <c r="AF205" s="4" t="s">
        <v>6296</v>
      </c>
      <c r="AG205" s="4" t="s">
        <v>6296</v>
      </c>
      <c r="AH205" s="4" t="s">
        <v>6296</v>
      </c>
      <c r="AI205" s="4" t="s">
        <v>42</v>
      </c>
      <c r="AJ205" s="4" t="s">
        <v>6296</v>
      </c>
      <c r="AK205" s="4" t="s">
        <v>6296</v>
      </c>
      <c r="AL205" s="4" t="s">
        <v>6296</v>
      </c>
      <c r="AM205" s="4" t="s">
        <v>6296</v>
      </c>
      <c r="AN205" s="4" t="s">
        <v>6296</v>
      </c>
      <c r="AO205" s="4" t="s">
        <v>6296</v>
      </c>
      <c r="AP205" s="4" t="s">
        <v>1821</v>
      </c>
      <c r="AQ205" s="4" t="s">
        <v>47</v>
      </c>
    </row>
    <row r="206" spans="1:43" ht="12.6" customHeight="1" x14ac:dyDescent="0.25">
      <c r="A206" s="8" t="s">
        <v>3028</v>
      </c>
      <c r="B206" s="9">
        <v>20151231</v>
      </c>
      <c r="C206" s="12">
        <f>_xll.FDS("SPX","FG_PRICE(12/30/2015)")</f>
        <v>2063.36</v>
      </c>
      <c r="D206" s="12">
        <f>_xll.FDS("SPX","FG_PRICE(12/30/2017)")</f>
        <v>2673.61</v>
      </c>
      <c r="E206" s="15">
        <f>D206/C206-1</f>
        <v>0.2957554668114144</v>
      </c>
      <c r="F206" s="8" t="s">
        <v>3029</v>
      </c>
      <c r="G206" s="8" t="s">
        <v>3030</v>
      </c>
      <c r="H206" s="13">
        <f>_xll.FDS(G206,"FG_PRICE(12/30/2015)")</f>
        <v>17.52</v>
      </c>
      <c r="I206" s="13">
        <f>_xll.FDS(G206,"FG_PRICE(12/31/2017)")</f>
        <v>22.17</v>
      </c>
      <c r="J206" s="13">
        <f>I206/H206-1</f>
        <v>0.26541095890410982</v>
      </c>
      <c r="K206" s="13">
        <f>J206-E206</f>
        <v>-3.0344507907304585E-2</v>
      </c>
      <c r="L206" s="13">
        <f>_xll.FDS(G206,"FF_ROE(ANN_R,12/30/2015)")</f>
        <v>17.72511848341232</v>
      </c>
      <c r="M206" s="8" t="s">
        <v>3031</v>
      </c>
      <c r="N206" s="4" t="s">
        <v>3032</v>
      </c>
      <c r="O206" s="4" t="s">
        <v>3033</v>
      </c>
      <c r="P206" s="4" t="s">
        <v>96</v>
      </c>
      <c r="Q206" s="4" t="s">
        <v>88</v>
      </c>
      <c r="R206" s="4" t="s">
        <v>61</v>
      </c>
      <c r="S206" s="4" t="s">
        <v>62</v>
      </c>
      <c r="T206" s="6" t="e">
        <v>#N/A</v>
      </c>
      <c r="U206" s="5">
        <v>61</v>
      </c>
      <c r="V206" s="5">
        <v>62</v>
      </c>
      <c r="W206" s="5">
        <v>57</v>
      </c>
      <c r="X206" s="5">
        <v>62</v>
      </c>
      <c r="Y206" s="5">
        <v>34.479999999999997</v>
      </c>
      <c r="Z206" s="5">
        <v>48.28</v>
      </c>
      <c r="AA206" s="5">
        <v>31.03</v>
      </c>
      <c r="AB206" s="5">
        <v>20.69</v>
      </c>
      <c r="AC206" s="6">
        <v>0.4</v>
      </c>
      <c r="AD206" s="6">
        <v>0.35</v>
      </c>
      <c r="AE206" s="6">
        <v>0.25</v>
      </c>
      <c r="AF206" s="4" t="s">
        <v>42</v>
      </c>
      <c r="AG206" s="4" t="s">
        <v>6296</v>
      </c>
      <c r="AH206" s="4" t="s">
        <v>6296</v>
      </c>
      <c r="AI206" s="4" t="s">
        <v>37</v>
      </c>
      <c r="AJ206" s="4" t="s">
        <v>6296</v>
      </c>
      <c r="AK206" s="4" t="s">
        <v>6296</v>
      </c>
      <c r="AL206" s="4" t="s">
        <v>6296</v>
      </c>
      <c r="AM206" s="4" t="s">
        <v>42</v>
      </c>
      <c r="AN206" s="4" t="s">
        <v>42</v>
      </c>
      <c r="AO206" s="4" t="s">
        <v>6296</v>
      </c>
      <c r="AP206" s="4" t="s">
        <v>3034</v>
      </c>
      <c r="AQ206" s="4" t="s">
        <v>47</v>
      </c>
    </row>
    <row r="207" spans="1:43" ht="12.6" customHeight="1" x14ac:dyDescent="0.25">
      <c r="A207" s="8" t="s">
        <v>2359</v>
      </c>
      <c r="B207" s="9">
        <v>20151231</v>
      </c>
      <c r="C207" s="12">
        <f>_xll.FDS("SPX","FG_PRICE(12/30/2015)")</f>
        <v>2063.36</v>
      </c>
      <c r="D207" s="12">
        <f>_xll.FDS("SPX","FG_PRICE(12/30/2017)")</f>
        <v>2673.61</v>
      </c>
      <c r="E207" s="15">
        <f>D207/C207-1</f>
        <v>0.2957554668114144</v>
      </c>
      <c r="F207" s="8" t="s">
        <v>2360</v>
      </c>
      <c r="G207" s="8" t="s">
        <v>2361</v>
      </c>
      <c r="H207" s="13">
        <f>_xll.FDS(G207,"FG_PRICE(12/30/2015)")</f>
        <v>64</v>
      </c>
      <c r="I207" s="13">
        <f>_xll.FDS(G207,"FG_PRICE(12/31/2017)")</f>
        <v>120.55</v>
      </c>
      <c r="J207" s="13">
        <f>I207/H207-1</f>
        <v>0.88359374999999996</v>
      </c>
      <c r="K207" s="13">
        <f>J207-E207</f>
        <v>0.58783828318858555</v>
      </c>
      <c r="L207" s="13">
        <f>_xll.FDS(G207,"FF_ROE(ANN_R,12/30/2015)")</f>
        <v>27.300165995452321</v>
      </c>
      <c r="M207" s="8" t="s">
        <v>2362</v>
      </c>
      <c r="N207" s="4" t="s">
        <v>2362</v>
      </c>
      <c r="O207" s="4" t="s">
        <v>85</v>
      </c>
      <c r="P207" s="4" t="s">
        <v>96</v>
      </c>
      <c r="Q207" s="4" t="s">
        <v>88</v>
      </c>
      <c r="R207" s="4" t="s">
        <v>61</v>
      </c>
      <c r="S207" s="4" t="s">
        <v>62</v>
      </c>
      <c r="T207" s="6" t="e">
        <v>#N/A</v>
      </c>
      <c r="U207" s="5">
        <v>65</v>
      </c>
      <c r="V207" s="5">
        <v>68</v>
      </c>
      <c r="W207" s="5">
        <v>59</v>
      </c>
      <c r="X207" s="5">
        <v>70</v>
      </c>
      <c r="Y207" s="5">
        <v>51.72</v>
      </c>
      <c r="Z207" s="5">
        <v>65.52</v>
      </c>
      <c r="AA207" s="5">
        <v>34.479999999999997</v>
      </c>
      <c r="AB207" s="5">
        <v>55.17</v>
      </c>
      <c r="AC207" s="6">
        <v>0.4</v>
      </c>
      <c r="AD207" s="6">
        <v>0.35</v>
      </c>
      <c r="AE207" s="6">
        <v>0.25</v>
      </c>
      <c r="AF207" s="4" t="s">
        <v>6296</v>
      </c>
      <c r="AG207" s="4" t="s">
        <v>6296</v>
      </c>
      <c r="AH207" s="4" t="s">
        <v>6296</v>
      </c>
      <c r="AI207" s="4" t="s">
        <v>42</v>
      </c>
      <c r="AJ207" s="4" t="s">
        <v>6296</v>
      </c>
      <c r="AK207" s="4" t="s">
        <v>6296</v>
      </c>
      <c r="AL207" s="4" t="s">
        <v>6296</v>
      </c>
      <c r="AM207" s="4" t="s">
        <v>6296</v>
      </c>
      <c r="AN207" s="4" t="s">
        <v>6296</v>
      </c>
      <c r="AO207" s="4" t="s">
        <v>6296</v>
      </c>
      <c r="AP207" s="4" t="s">
        <v>2363</v>
      </c>
      <c r="AQ207" s="4" t="s">
        <v>47</v>
      </c>
    </row>
    <row r="208" spans="1:43" ht="12.6" customHeight="1" x14ac:dyDescent="0.25">
      <c r="A208" s="8" t="s">
        <v>1208</v>
      </c>
      <c r="B208" s="9">
        <v>20151231</v>
      </c>
      <c r="C208" s="12">
        <f>_xll.FDS("SPX","FG_PRICE(12/30/2015)")</f>
        <v>2063.36</v>
      </c>
      <c r="D208" s="12">
        <f>_xll.FDS("SPX","FG_PRICE(12/30/2017)")</f>
        <v>2673.61</v>
      </c>
      <c r="E208" s="15">
        <f>D208/C208-1</f>
        <v>0.2957554668114144</v>
      </c>
      <c r="F208" s="8" t="s">
        <v>1209</v>
      </c>
      <c r="G208" s="8" t="s">
        <v>1210</v>
      </c>
      <c r="H208" s="13">
        <f>_xll.FDS(G208,"FG_PRICE(12/30/2015)")</f>
        <v>44.93</v>
      </c>
      <c r="I208" s="13">
        <f>_xll.FDS(G208,"FG_PRICE(12/31/2017)")</f>
        <v>49.3</v>
      </c>
      <c r="J208" s="13">
        <f>I208/H208-1</f>
        <v>9.7262408190518457E-2</v>
      </c>
      <c r="K208" s="13">
        <f>J208-E208</f>
        <v>-0.19849305862089595</v>
      </c>
      <c r="L208" s="13">
        <f>_xll.FDS(G208,"FF_ROE(ANN_R,12/30/2015)")</f>
        <v>20.102668599866771</v>
      </c>
      <c r="M208" s="8" t="s">
        <v>1211</v>
      </c>
      <c r="N208" s="4" t="s">
        <v>1211</v>
      </c>
      <c r="O208" s="4" t="s">
        <v>1212</v>
      </c>
      <c r="P208" s="4" t="s">
        <v>96</v>
      </c>
      <c r="Q208" s="4" t="s">
        <v>88</v>
      </c>
      <c r="R208" s="4" t="s">
        <v>61</v>
      </c>
      <c r="S208" s="4" t="s">
        <v>62</v>
      </c>
      <c r="T208" s="6" t="e">
        <v>#N/A</v>
      </c>
      <c r="U208" s="5">
        <v>67</v>
      </c>
      <c r="V208" s="5">
        <v>67</v>
      </c>
      <c r="W208" s="5">
        <v>64</v>
      </c>
      <c r="X208" s="5">
        <v>71</v>
      </c>
      <c r="Y208" s="5">
        <v>58.62</v>
      </c>
      <c r="Z208" s="5">
        <v>62.07</v>
      </c>
      <c r="AA208" s="5">
        <v>55.17</v>
      </c>
      <c r="AB208" s="5">
        <v>58.62</v>
      </c>
      <c r="AC208" s="6">
        <v>0.4</v>
      </c>
      <c r="AD208" s="6">
        <v>0.35</v>
      </c>
      <c r="AE208" s="6">
        <v>0.25</v>
      </c>
      <c r="AF208" s="4" t="s">
        <v>6296</v>
      </c>
      <c r="AG208" s="4" t="s">
        <v>6296</v>
      </c>
      <c r="AH208" s="4" t="s">
        <v>6296</v>
      </c>
      <c r="AI208" s="4" t="s">
        <v>42</v>
      </c>
      <c r="AJ208" s="4" t="s">
        <v>42</v>
      </c>
      <c r="AK208" s="4" t="s">
        <v>6296</v>
      </c>
      <c r="AL208" s="4" t="s">
        <v>42</v>
      </c>
      <c r="AM208" s="4" t="s">
        <v>6296</v>
      </c>
      <c r="AN208" s="4" t="s">
        <v>6296</v>
      </c>
      <c r="AO208" s="4" t="s">
        <v>6296</v>
      </c>
      <c r="AP208" s="4" t="s">
        <v>1213</v>
      </c>
      <c r="AQ208" s="4" t="s">
        <v>47</v>
      </c>
    </row>
    <row r="209" spans="1:43" ht="12.6" customHeight="1" x14ac:dyDescent="0.25">
      <c r="A209" s="8" t="s">
        <v>3654</v>
      </c>
      <c r="B209" s="9">
        <v>20151231</v>
      </c>
      <c r="C209" s="12">
        <f>_xll.FDS("SPX","FG_PRICE(12/30/2015)")</f>
        <v>2063.36</v>
      </c>
      <c r="D209" s="12">
        <f>_xll.FDS("SPX","FG_PRICE(12/30/2017)")</f>
        <v>2673.61</v>
      </c>
      <c r="E209" s="15">
        <f>D209/C209-1</f>
        <v>0.2957554668114144</v>
      </c>
      <c r="F209" s="8" t="s">
        <v>3655</v>
      </c>
      <c r="G209" s="8" t="s">
        <v>3656</v>
      </c>
      <c r="H209" s="13">
        <f>_xll.FDS(G209,"FG_PRICE(12/30/2015)")</f>
        <v>27.17</v>
      </c>
      <c r="I209" s="13">
        <f>_xll.FDS(G209,"FG_PRICE(12/31/2017)")</f>
        <v>29.39</v>
      </c>
      <c r="J209" s="13">
        <f>I209/H209-1</f>
        <v>8.1707765918292097E-2</v>
      </c>
      <c r="K209" s="13">
        <f>J209-E209</f>
        <v>-0.21404770089312231</v>
      </c>
      <c r="L209" s="13">
        <f>_xll.FDS(G209,"FF_ROE(ANN_R,12/30/2015)")</f>
        <v>25.620329835882728</v>
      </c>
      <c r="M209" s="8" t="s">
        <v>3657</v>
      </c>
      <c r="N209" s="4" t="s">
        <v>3657</v>
      </c>
      <c r="O209" s="4" t="s">
        <v>3658</v>
      </c>
      <c r="P209" s="4" t="s">
        <v>106</v>
      </c>
      <c r="Q209" s="4" t="s">
        <v>88</v>
      </c>
      <c r="R209" s="4" t="s">
        <v>61</v>
      </c>
      <c r="S209" s="4" t="s">
        <v>62</v>
      </c>
      <c r="T209" s="6" t="e">
        <v>#N/A</v>
      </c>
      <c r="U209" s="5">
        <v>43</v>
      </c>
      <c r="V209" s="5">
        <v>36</v>
      </c>
      <c r="W209" s="5">
        <v>49</v>
      </c>
      <c r="X209" s="5">
        <v>48</v>
      </c>
      <c r="Y209" s="6">
        <v>0</v>
      </c>
      <c r="Z209" s="6">
        <v>0</v>
      </c>
      <c r="AA209" s="6">
        <v>3.45</v>
      </c>
      <c r="AB209" s="6">
        <v>0</v>
      </c>
      <c r="AC209" s="6">
        <v>0.4</v>
      </c>
      <c r="AD209" s="6">
        <v>0.35</v>
      </c>
      <c r="AE209" s="6">
        <v>0.25</v>
      </c>
      <c r="AF209" s="4" t="s">
        <v>6296</v>
      </c>
      <c r="AG209" s="4" t="s">
        <v>6296</v>
      </c>
      <c r="AH209" s="4" t="s">
        <v>6296</v>
      </c>
      <c r="AI209" s="4" t="s">
        <v>6296</v>
      </c>
      <c r="AJ209" s="4" t="s">
        <v>6296</v>
      </c>
      <c r="AK209" s="4" t="s">
        <v>6296</v>
      </c>
      <c r="AL209" s="4" t="s">
        <v>6296</v>
      </c>
      <c r="AM209" s="4" t="s">
        <v>6296</v>
      </c>
      <c r="AN209" s="4" t="s">
        <v>6296</v>
      </c>
      <c r="AO209" s="4" t="s">
        <v>6296</v>
      </c>
      <c r="AP209" s="4" t="s">
        <v>3659</v>
      </c>
      <c r="AQ209" s="4" t="s">
        <v>47</v>
      </c>
    </row>
    <row r="210" spans="1:43" ht="12.6" customHeight="1" x14ac:dyDescent="0.25">
      <c r="A210" s="8" t="s">
        <v>3706</v>
      </c>
      <c r="B210" s="9">
        <v>20151231</v>
      </c>
      <c r="C210" s="12">
        <f>_xll.FDS("SPX","FG_PRICE(12/30/2015)")</f>
        <v>2063.36</v>
      </c>
      <c r="D210" s="12">
        <f>_xll.FDS("SPX","FG_PRICE(12/30/2017)")</f>
        <v>2673.61</v>
      </c>
      <c r="E210" s="15">
        <f>D210/C210-1</f>
        <v>0.2957554668114144</v>
      </c>
      <c r="F210" s="8" t="s">
        <v>3707</v>
      </c>
      <c r="G210" s="8" t="s">
        <v>3708</v>
      </c>
      <c r="H210" s="13">
        <f>_xll.FDS(G210,"FG_PRICE(12/30/2015)")</f>
        <v>41.64</v>
      </c>
      <c r="I210" s="13">
        <f>_xll.FDS(G210,"FG_PRICE(12/31/2017)")</f>
        <v>53.14</v>
      </c>
      <c r="J210" s="13">
        <f>I210/H210-1</f>
        <v>0.27617675312199808</v>
      </c>
      <c r="K210" s="13">
        <f>J210-E210</f>
        <v>-1.9578713689416327E-2</v>
      </c>
      <c r="L210" s="13">
        <f>_xll.FDS(G210,"FF_ROE(ANN_R,12/30/2015)")</f>
        <v>14.21009065131574</v>
      </c>
      <c r="M210" s="8" t="s">
        <v>3709</v>
      </c>
      <c r="N210" s="4" t="s">
        <v>3710</v>
      </c>
      <c r="O210" s="4" t="s">
        <v>3711</v>
      </c>
      <c r="P210" s="4" t="s">
        <v>96</v>
      </c>
      <c r="Q210" s="4" t="s">
        <v>88</v>
      </c>
      <c r="R210" s="4" t="s">
        <v>61</v>
      </c>
      <c r="S210" s="4" t="s">
        <v>62</v>
      </c>
      <c r="T210" s="6" t="e">
        <v>#N/A</v>
      </c>
      <c r="U210" s="5">
        <v>72</v>
      </c>
      <c r="V210" s="5">
        <v>74</v>
      </c>
      <c r="W210" s="5">
        <v>75</v>
      </c>
      <c r="X210" s="5">
        <v>67</v>
      </c>
      <c r="Y210" s="5">
        <v>68.97</v>
      </c>
      <c r="Z210" s="5">
        <v>72.41</v>
      </c>
      <c r="AA210" s="5">
        <v>72.41</v>
      </c>
      <c r="AB210" s="5">
        <v>37.93</v>
      </c>
      <c r="AC210" s="6">
        <v>0.4</v>
      </c>
      <c r="AD210" s="6">
        <v>0.35</v>
      </c>
      <c r="AE210" s="6">
        <v>0.25</v>
      </c>
      <c r="AF210" s="4" t="s">
        <v>6296</v>
      </c>
      <c r="AG210" s="4" t="s">
        <v>6296</v>
      </c>
      <c r="AH210" s="4" t="s">
        <v>6296</v>
      </c>
      <c r="AI210" s="4" t="s">
        <v>6296</v>
      </c>
      <c r="AJ210" s="4" t="s">
        <v>6296</v>
      </c>
      <c r="AK210" s="4" t="s">
        <v>6296</v>
      </c>
      <c r="AL210" s="4" t="s">
        <v>6296</v>
      </c>
      <c r="AM210" s="4" t="s">
        <v>6296</v>
      </c>
      <c r="AN210" s="4" t="s">
        <v>6296</v>
      </c>
      <c r="AO210" s="4" t="s">
        <v>6296</v>
      </c>
      <c r="AP210" s="4" t="s">
        <v>3712</v>
      </c>
      <c r="AQ210" s="4" t="s">
        <v>47</v>
      </c>
    </row>
    <row r="211" spans="1:43" ht="12.6" customHeight="1" x14ac:dyDescent="0.25">
      <c r="A211" s="8" t="s">
        <v>6144</v>
      </c>
      <c r="B211" s="9">
        <v>20151231</v>
      </c>
      <c r="C211" s="12">
        <f>_xll.FDS("SPX","FG_PRICE(12/30/2015)")</f>
        <v>2063.36</v>
      </c>
      <c r="D211" s="12">
        <f>_xll.FDS("SPX","FG_PRICE(12/30/2017)")</f>
        <v>2673.61</v>
      </c>
      <c r="E211" s="15">
        <f>D211/C211-1</f>
        <v>0.2957554668114144</v>
      </c>
      <c r="F211" s="8" t="s">
        <v>6145</v>
      </c>
      <c r="G211" s="8" t="s">
        <v>6146</v>
      </c>
      <c r="H211" s="13">
        <f>_xll.FDS(G211,"FG_PRICE(12/30/2015)")</f>
        <v>41.276465999999999</v>
      </c>
      <c r="I211" s="13">
        <f>_xll.FDS(G211,"FG_PRICE(12/31/2017)")</f>
        <v>63.21</v>
      </c>
      <c r="J211" s="13">
        <f>I211/H211-1</f>
        <v>0.53138110224843382</v>
      </c>
      <c r="K211" s="13">
        <f>J211-E211</f>
        <v>0.23562563543701942</v>
      </c>
      <c r="L211" s="13">
        <f>_xll.FDS(G211,"FF_ROE(ANN_R,12/30/2015)")</f>
        <v>6.2398957302018987</v>
      </c>
      <c r="M211" s="8" t="s">
        <v>6147</v>
      </c>
      <c r="N211" s="4" t="s">
        <v>6148</v>
      </c>
      <c r="O211" s="4" t="s">
        <v>6149</v>
      </c>
      <c r="P211" s="4" t="s">
        <v>96</v>
      </c>
      <c r="Q211" s="4" t="s">
        <v>88</v>
      </c>
      <c r="R211" s="4" t="s">
        <v>61</v>
      </c>
      <c r="S211" s="4" t="s">
        <v>62</v>
      </c>
      <c r="T211" s="6" t="e">
        <v>#N/A</v>
      </c>
      <c r="U211" s="5">
        <v>61</v>
      </c>
      <c r="V211" s="5">
        <v>60</v>
      </c>
      <c r="W211" s="5">
        <v>59</v>
      </c>
      <c r="X211" s="5">
        <v>65</v>
      </c>
      <c r="Y211" s="5">
        <v>34.479999999999997</v>
      </c>
      <c r="Z211" s="5">
        <v>34.479999999999997</v>
      </c>
      <c r="AA211" s="5">
        <v>34.479999999999997</v>
      </c>
      <c r="AB211" s="5">
        <v>34.479999999999997</v>
      </c>
      <c r="AC211" s="6">
        <v>0.4</v>
      </c>
      <c r="AD211" s="6">
        <v>0.35</v>
      </c>
      <c r="AE211" s="6">
        <v>0.25</v>
      </c>
      <c r="AF211" s="4" t="s">
        <v>6296</v>
      </c>
      <c r="AG211" s="4" t="s">
        <v>6296</v>
      </c>
      <c r="AH211" s="4" t="s">
        <v>6296</v>
      </c>
      <c r="AI211" s="4" t="s">
        <v>42</v>
      </c>
      <c r="AJ211" s="4" t="s">
        <v>6296</v>
      </c>
      <c r="AK211" s="4" t="s">
        <v>6296</v>
      </c>
      <c r="AL211" s="4" t="s">
        <v>6296</v>
      </c>
      <c r="AM211" s="4" t="s">
        <v>6296</v>
      </c>
      <c r="AN211" s="4" t="s">
        <v>6296</v>
      </c>
      <c r="AO211" s="4" t="s">
        <v>6296</v>
      </c>
      <c r="AP211" s="4" t="s">
        <v>6150</v>
      </c>
      <c r="AQ211" s="4" t="s">
        <v>47</v>
      </c>
    </row>
    <row r="212" spans="1:43" ht="12.6" customHeight="1" x14ac:dyDescent="0.25">
      <c r="A212" s="8" t="s">
        <v>655</v>
      </c>
      <c r="B212" s="9">
        <v>20151231</v>
      </c>
      <c r="C212" s="12">
        <f>_xll.FDS("SPX","FG_PRICE(12/30/2015)")</f>
        <v>2063.36</v>
      </c>
      <c r="D212" s="12">
        <f>_xll.FDS("SPX","FG_PRICE(12/30/2017)")</f>
        <v>2673.61</v>
      </c>
      <c r="E212" s="15">
        <f>D212/C212-1</f>
        <v>0.2957554668114144</v>
      </c>
      <c r="F212" s="8" t="s">
        <v>656</v>
      </c>
      <c r="G212" s="8" t="s">
        <v>657</v>
      </c>
      <c r="H212" s="13">
        <f>_xll.FDS(G212,"FG_PRICE(12/30/2015)")</f>
        <v>13.78</v>
      </c>
      <c r="I212" s="13" t="e">
        <f>_xll.FDS(G212,"FG_PRICE(12/31/2017)")</f>
        <v>#N/A</v>
      </c>
      <c r="J212" s="13" t="e">
        <f>I212/H212-1</f>
        <v>#N/A</v>
      </c>
      <c r="K212" s="13" t="e">
        <f>J212-E212</f>
        <v>#N/A</v>
      </c>
      <c r="L212" s="13">
        <f>_xll.FDS(G212,"FF_ROE(ANN_R,12/30/2015)")</f>
        <v>8.1902245706737133</v>
      </c>
      <c r="M212" s="8" t="s">
        <v>658</v>
      </c>
      <c r="N212" s="4" t="s">
        <v>659</v>
      </c>
      <c r="O212" s="4" t="s">
        <v>47</v>
      </c>
      <c r="P212" s="4" t="s">
        <v>106</v>
      </c>
      <c r="Q212" s="4" t="s">
        <v>36</v>
      </c>
      <c r="R212" s="4" t="s">
        <v>61</v>
      </c>
      <c r="S212" s="4" t="s">
        <v>62</v>
      </c>
      <c r="T212" s="6" t="e">
        <v>#N/A</v>
      </c>
      <c r="U212" s="5">
        <v>44</v>
      </c>
      <c r="V212" s="5">
        <v>34</v>
      </c>
      <c r="W212" s="5">
        <v>50</v>
      </c>
      <c r="X212" s="5">
        <v>48</v>
      </c>
      <c r="Y212" s="6">
        <v>3.72</v>
      </c>
      <c r="Z212" s="5">
        <v>14.13</v>
      </c>
      <c r="AA212" s="6">
        <v>3.72</v>
      </c>
      <c r="AB212" s="5">
        <v>27.88</v>
      </c>
      <c r="AC212" s="6">
        <v>0.3</v>
      </c>
      <c r="AD212" s="6">
        <v>0.35</v>
      </c>
      <c r="AE212" s="6">
        <v>0.35</v>
      </c>
      <c r="AF212" s="4" t="s">
        <v>6296</v>
      </c>
      <c r="AG212" s="4" t="s">
        <v>6296</v>
      </c>
      <c r="AH212" s="4" t="s">
        <v>6296</v>
      </c>
      <c r="AI212" s="4" t="s">
        <v>6296</v>
      </c>
      <c r="AJ212" s="4" t="s">
        <v>6296</v>
      </c>
      <c r="AK212" s="4" t="s">
        <v>6296</v>
      </c>
      <c r="AL212" s="4" t="s">
        <v>6296</v>
      </c>
      <c r="AM212" s="4" t="s">
        <v>6296</v>
      </c>
      <c r="AN212" s="4" t="s">
        <v>6296</v>
      </c>
      <c r="AO212" s="4" t="s">
        <v>6296</v>
      </c>
      <c r="AP212" s="4" t="s">
        <v>660</v>
      </c>
      <c r="AQ212" s="4" t="s">
        <v>47</v>
      </c>
    </row>
    <row r="213" spans="1:43" ht="12.6" customHeight="1" x14ac:dyDescent="0.25">
      <c r="A213" s="8" t="s">
        <v>5437</v>
      </c>
      <c r="B213" s="9">
        <v>20151231</v>
      </c>
      <c r="C213" s="12">
        <f>_xll.FDS("SPX","FG_PRICE(12/30/2015)")</f>
        <v>2063.36</v>
      </c>
      <c r="D213" s="12">
        <f>_xll.FDS("SPX","FG_PRICE(12/30/2017)")</f>
        <v>2673.61</v>
      </c>
      <c r="E213" s="15">
        <f>D213/C213-1</f>
        <v>0.2957554668114144</v>
      </c>
      <c r="F213" s="8" t="s">
        <v>5438</v>
      </c>
      <c r="G213" s="8" t="s">
        <v>5439</v>
      </c>
      <c r="H213" s="13">
        <f>_xll.FDS(G213,"FG_PRICE(12/30/2015)")</f>
        <v>18.64</v>
      </c>
      <c r="I213" s="13">
        <f>_xll.FDS(G213,"FG_PRICE(12/31/2017)")</f>
        <v>29.16</v>
      </c>
      <c r="J213" s="13">
        <f>I213/H213-1</f>
        <v>0.56437768240343344</v>
      </c>
      <c r="K213" s="13">
        <f>J213-E213</f>
        <v>0.26862221559201904</v>
      </c>
      <c r="L213" s="13">
        <f>_xll.FDS(G213,"FF_ROE(ANN_R,12/30/2015)")</f>
        <v>6.2485223089134321</v>
      </c>
      <c r="M213" s="8" t="s">
        <v>5440</v>
      </c>
      <c r="N213" s="4" t="s">
        <v>5441</v>
      </c>
      <c r="O213" s="4" t="s">
        <v>5442</v>
      </c>
      <c r="P213" s="4" t="s">
        <v>96</v>
      </c>
      <c r="Q213" s="4" t="s">
        <v>36</v>
      </c>
      <c r="R213" s="4" t="s">
        <v>61</v>
      </c>
      <c r="S213" s="4" t="s">
        <v>62</v>
      </c>
      <c r="T213" s="6" t="e">
        <v>#N/A</v>
      </c>
      <c r="U213" s="5">
        <v>46</v>
      </c>
      <c r="V213" s="5">
        <v>34</v>
      </c>
      <c r="W213" s="5">
        <v>58</v>
      </c>
      <c r="X213" s="5">
        <v>46</v>
      </c>
      <c r="Y213" s="5">
        <v>11.9</v>
      </c>
      <c r="Z213" s="5">
        <v>14.13</v>
      </c>
      <c r="AA213" s="5">
        <v>33.46</v>
      </c>
      <c r="AB213" s="5">
        <v>15.99</v>
      </c>
      <c r="AC213" s="6">
        <v>0.3</v>
      </c>
      <c r="AD213" s="6">
        <v>0.35</v>
      </c>
      <c r="AE213" s="6">
        <v>0.35</v>
      </c>
      <c r="AF213" s="4" t="s">
        <v>6296</v>
      </c>
      <c r="AG213" s="4" t="s">
        <v>6296</v>
      </c>
      <c r="AH213" s="4" t="s">
        <v>6296</v>
      </c>
      <c r="AI213" s="4" t="s">
        <v>6296</v>
      </c>
      <c r="AJ213" s="4" t="s">
        <v>6296</v>
      </c>
      <c r="AK213" s="4" t="s">
        <v>42</v>
      </c>
      <c r="AL213" s="4" t="s">
        <v>6296</v>
      </c>
      <c r="AM213" s="4" t="s">
        <v>37</v>
      </c>
      <c r="AN213" s="4" t="s">
        <v>6296</v>
      </c>
      <c r="AO213" s="4" t="s">
        <v>6296</v>
      </c>
      <c r="AP213" s="4" t="s">
        <v>5443</v>
      </c>
      <c r="AQ213" s="4" t="s">
        <v>47</v>
      </c>
    </row>
    <row r="214" spans="1:43" ht="12.6" customHeight="1" x14ac:dyDescent="0.25">
      <c r="A214" s="8" t="s">
        <v>5892</v>
      </c>
      <c r="B214" s="9">
        <v>20151231</v>
      </c>
      <c r="C214" s="12">
        <f>_xll.FDS("SPX","FG_PRICE(12/30/2015)")</f>
        <v>2063.36</v>
      </c>
      <c r="D214" s="12">
        <f>_xll.FDS("SPX","FG_PRICE(12/30/2017)")</f>
        <v>2673.61</v>
      </c>
      <c r="E214" s="15">
        <f>D214/C214-1</f>
        <v>0.2957554668114144</v>
      </c>
      <c r="F214" s="8" t="s">
        <v>5893</v>
      </c>
      <c r="G214" s="8" t="s">
        <v>5894</v>
      </c>
      <c r="H214" s="13">
        <f>_xll.FDS(G214,"FG_PRICE(12/30/2015)")</f>
        <v>3.8930001000000001</v>
      </c>
      <c r="I214" s="13">
        <f>_xll.FDS(G214,"FG_PRICE(12/31/2017)")</f>
        <v>1.65</v>
      </c>
      <c r="J214" s="13">
        <f>I214/H214-1</f>
        <v>-0.57616235355349721</v>
      </c>
      <c r="K214" s="13">
        <f>J214-E214</f>
        <v>-0.87191782036491161</v>
      </c>
      <c r="L214" s="13">
        <f>_xll.FDS(G214,"FF_ROE(ANN_R,12/30/2015)")</f>
        <v>-24.04013278936629</v>
      </c>
      <c r="M214" s="8" t="s">
        <v>5895</v>
      </c>
      <c r="N214" s="4" t="s">
        <v>5896</v>
      </c>
      <c r="O214" s="4" t="s">
        <v>4936</v>
      </c>
      <c r="P214" s="4" t="s">
        <v>35</v>
      </c>
      <c r="Q214" s="4" t="s">
        <v>36</v>
      </c>
      <c r="R214" s="4" t="s">
        <v>61</v>
      </c>
      <c r="S214" s="4" t="s">
        <v>62</v>
      </c>
      <c r="T214" s="6" t="e">
        <v>#N/A</v>
      </c>
      <c r="U214" s="5">
        <v>48</v>
      </c>
      <c r="V214" s="5">
        <v>35</v>
      </c>
      <c r="W214" s="5">
        <v>59</v>
      </c>
      <c r="X214" s="5">
        <v>49</v>
      </c>
      <c r="Y214" s="5">
        <v>23.79</v>
      </c>
      <c r="Z214" s="5">
        <v>19.7</v>
      </c>
      <c r="AA214" s="5">
        <v>38.659999999999997</v>
      </c>
      <c r="AB214" s="5">
        <v>31.6</v>
      </c>
      <c r="AC214" s="6">
        <v>0.3</v>
      </c>
      <c r="AD214" s="6">
        <v>0.35</v>
      </c>
      <c r="AE214" s="6">
        <v>0.35</v>
      </c>
      <c r="AF214" s="4" t="s">
        <v>6296</v>
      </c>
      <c r="AG214" s="4" t="s">
        <v>6296</v>
      </c>
      <c r="AH214" s="4" t="s">
        <v>6296</v>
      </c>
      <c r="AI214" s="4" t="s">
        <v>6296</v>
      </c>
      <c r="AJ214" s="4" t="s">
        <v>6296</v>
      </c>
      <c r="AK214" s="4" t="s">
        <v>6296</v>
      </c>
      <c r="AL214" s="4" t="s">
        <v>6296</v>
      </c>
      <c r="AM214" s="4" t="s">
        <v>6296</v>
      </c>
      <c r="AN214" s="4" t="s">
        <v>6296</v>
      </c>
      <c r="AO214" s="4" t="s">
        <v>6296</v>
      </c>
      <c r="AP214" s="4" t="s">
        <v>5897</v>
      </c>
      <c r="AQ214" s="4" t="s">
        <v>47</v>
      </c>
    </row>
    <row r="215" spans="1:43" ht="12.6" customHeight="1" x14ac:dyDescent="0.25">
      <c r="A215" s="8" t="s">
        <v>746</v>
      </c>
      <c r="B215" s="9">
        <v>20151231</v>
      </c>
      <c r="C215" s="12">
        <f>_xll.FDS("SPX","FG_PRICE(12/30/2015)")</f>
        <v>2063.36</v>
      </c>
      <c r="D215" s="12">
        <f>_xll.FDS("SPX","FG_PRICE(12/30/2017)")</f>
        <v>2673.61</v>
      </c>
      <c r="E215" s="15">
        <f>D215/C215-1</f>
        <v>0.2957554668114144</v>
      </c>
      <c r="F215" s="8" t="s">
        <v>747</v>
      </c>
      <c r="G215" s="8" t="s">
        <v>748</v>
      </c>
      <c r="H215" s="13">
        <f>_xll.FDS(G215,"FG_PRICE(12/30/2015)")</f>
        <v>160.74</v>
      </c>
      <c r="I215" s="13">
        <f>_xll.FDS(G215,"FG_PRICE(12/31/2017)")</f>
        <v>205.25</v>
      </c>
      <c r="J215" s="13">
        <f>I215/H215-1</f>
        <v>0.27690680602214757</v>
      </c>
      <c r="K215" s="13">
        <f>J215-E215</f>
        <v>-1.8848660789266836E-2</v>
      </c>
      <c r="L215" s="13">
        <f>_xll.FDS(G215,"FF_ROE(ANN_R,12/30/2015)")</f>
        <v>18.991010669579101</v>
      </c>
      <c r="M215" s="8" t="s">
        <v>749</v>
      </c>
      <c r="N215" s="4" t="s">
        <v>750</v>
      </c>
      <c r="O215" s="4" t="s">
        <v>751</v>
      </c>
      <c r="P215" s="4" t="s">
        <v>96</v>
      </c>
      <c r="Q215" s="4" t="s">
        <v>36</v>
      </c>
      <c r="R215" s="4" t="s">
        <v>61</v>
      </c>
      <c r="S215" s="4" t="s">
        <v>62</v>
      </c>
      <c r="T215" s="6" t="e">
        <v>#N/A</v>
      </c>
      <c r="U215" s="5">
        <v>44</v>
      </c>
      <c r="V215" s="5">
        <v>33</v>
      </c>
      <c r="W215" s="5">
        <v>48</v>
      </c>
      <c r="X215" s="5">
        <v>49</v>
      </c>
      <c r="Y215" s="6">
        <v>3.72</v>
      </c>
      <c r="Z215" s="6">
        <v>7.43</v>
      </c>
      <c r="AA215" s="6">
        <v>1.1200000000000001</v>
      </c>
      <c r="AB215" s="5">
        <v>31.6</v>
      </c>
      <c r="AC215" s="6">
        <v>0.3</v>
      </c>
      <c r="AD215" s="6">
        <v>0.35</v>
      </c>
      <c r="AE215" s="6">
        <v>0.35</v>
      </c>
      <c r="AF215" s="4" t="s">
        <v>6296</v>
      </c>
      <c r="AG215" s="4" t="s">
        <v>6296</v>
      </c>
      <c r="AH215" s="4" t="s">
        <v>6296</v>
      </c>
      <c r="AI215" s="4" t="s">
        <v>6296</v>
      </c>
      <c r="AJ215" s="4" t="s">
        <v>6296</v>
      </c>
      <c r="AK215" s="4" t="s">
        <v>6296</v>
      </c>
      <c r="AL215" s="4" t="s">
        <v>37</v>
      </c>
      <c r="AM215" s="4" t="s">
        <v>6296</v>
      </c>
      <c r="AN215" s="4" t="s">
        <v>6296</v>
      </c>
      <c r="AO215" s="4" t="s">
        <v>6296</v>
      </c>
      <c r="AP215" s="4" t="s">
        <v>752</v>
      </c>
      <c r="AQ215" s="4" t="s">
        <v>47</v>
      </c>
    </row>
    <row r="216" spans="1:43" ht="12.6" customHeight="1" x14ac:dyDescent="0.25">
      <c r="A216" s="8" t="s">
        <v>4675</v>
      </c>
      <c r="B216" s="9">
        <v>20151231</v>
      </c>
      <c r="C216" s="12">
        <f>_xll.FDS("SPX","FG_PRICE(12/30/2015)")</f>
        <v>2063.36</v>
      </c>
      <c r="D216" s="12">
        <f>_xll.FDS("SPX","FG_PRICE(12/30/2017)")</f>
        <v>2673.61</v>
      </c>
      <c r="E216" s="15">
        <f>D216/C216-1</f>
        <v>0.2957554668114144</v>
      </c>
      <c r="F216" s="8" t="s">
        <v>4676</v>
      </c>
      <c r="G216" s="8" t="s">
        <v>4677</v>
      </c>
      <c r="H216" s="13">
        <f>_xll.FDS(G216,"FG_PRICE(12/30/2015)")</f>
        <v>107.29</v>
      </c>
      <c r="I216" s="13">
        <f>_xll.FDS(G216,"FG_PRICE(12/31/2017)")</f>
        <v>169.47</v>
      </c>
      <c r="J216" s="13">
        <f>I216/H216-1</f>
        <v>0.57955075030291714</v>
      </c>
      <c r="K216" s="13">
        <f>J216-E216</f>
        <v>0.28379528349150274</v>
      </c>
      <c r="L216" s="13">
        <f>_xll.FDS(G216,"FF_ROE(ANN_R,12/30/2015)")</f>
        <v>19.870066192694289</v>
      </c>
      <c r="M216" s="8" t="s">
        <v>4678</v>
      </c>
      <c r="N216" s="4" t="s">
        <v>4679</v>
      </c>
      <c r="O216" s="4" t="s">
        <v>4515</v>
      </c>
      <c r="P216" s="4" t="s">
        <v>96</v>
      </c>
      <c r="Q216" s="4" t="s">
        <v>36</v>
      </c>
      <c r="R216" s="4" t="s">
        <v>61</v>
      </c>
      <c r="S216" s="4" t="s">
        <v>62</v>
      </c>
      <c r="T216" s="6" t="e">
        <v>#N/A</v>
      </c>
      <c r="U216" s="5">
        <v>52</v>
      </c>
      <c r="V216" s="5">
        <v>48</v>
      </c>
      <c r="W216" s="5">
        <v>49</v>
      </c>
      <c r="X216" s="5">
        <v>58</v>
      </c>
      <c r="Y216" s="5">
        <v>48.33</v>
      </c>
      <c r="Z216" s="5">
        <v>60.22</v>
      </c>
      <c r="AA216" s="6">
        <v>1.86</v>
      </c>
      <c r="AB216" s="5">
        <v>69.14</v>
      </c>
      <c r="AC216" s="6">
        <v>0.3</v>
      </c>
      <c r="AD216" s="6">
        <v>0.35</v>
      </c>
      <c r="AE216" s="6">
        <v>0.35</v>
      </c>
      <c r="AF216" s="4" t="s">
        <v>6296</v>
      </c>
      <c r="AG216" s="4" t="s">
        <v>6296</v>
      </c>
      <c r="AH216" s="4" t="s">
        <v>6296</v>
      </c>
      <c r="AI216" s="4" t="s">
        <v>37</v>
      </c>
      <c r="AJ216" s="4" t="s">
        <v>6296</v>
      </c>
      <c r="AK216" s="4" t="s">
        <v>37</v>
      </c>
      <c r="AL216" s="4" t="s">
        <v>37</v>
      </c>
      <c r="AM216" s="4" t="s">
        <v>42</v>
      </c>
      <c r="AN216" s="4" t="s">
        <v>6296</v>
      </c>
      <c r="AO216" s="4" t="s">
        <v>6296</v>
      </c>
      <c r="AP216" s="4" t="s">
        <v>4680</v>
      </c>
      <c r="AQ216" s="4" t="s">
        <v>47</v>
      </c>
    </row>
    <row r="217" spans="1:43" ht="12.6" customHeight="1" x14ac:dyDescent="0.25">
      <c r="A217" s="8" t="s">
        <v>4429</v>
      </c>
      <c r="B217" s="9">
        <v>20151231</v>
      </c>
      <c r="C217" s="12">
        <f>_xll.FDS("SPX","FG_PRICE(12/30/2015)")</f>
        <v>2063.36</v>
      </c>
      <c r="D217" s="12">
        <f>_xll.FDS("SPX","FG_PRICE(12/30/2017)")</f>
        <v>2673.61</v>
      </c>
      <c r="E217" s="15">
        <f>D217/C217-1</f>
        <v>0.2957554668114144</v>
      </c>
      <c r="F217" s="8" t="s">
        <v>4430</v>
      </c>
      <c r="G217" s="8" t="s">
        <v>4431</v>
      </c>
      <c r="H217" s="13">
        <f>_xll.FDS(G217,"FG_PRICE(12/30/2015)")</f>
        <v>35.159999999999997</v>
      </c>
      <c r="I217" s="13">
        <f>_xll.FDS(G217,"FG_PRICE(12/31/2017)")</f>
        <v>51.13</v>
      </c>
      <c r="J217" s="13">
        <f>I217/H217-1</f>
        <v>0.45420932878270781</v>
      </c>
      <c r="K217" s="13">
        <f>J217-E217</f>
        <v>0.15845386197129341</v>
      </c>
      <c r="L217" s="13">
        <f>_xll.FDS(G217,"FF_ROE(ANN_R,12/30/2015)")</f>
        <v>16.847995026422129</v>
      </c>
      <c r="M217" s="8" t="s">
        <v>4432</v>
      </c>
      <c r="N217" s="4" t="s">
        <v>4432</v>
      </c>
      <c r="O217" s="4" t="s">
        <v>4433</v>
      </c>
      <c r="P217" s="4" t="s">
        <v>106</v>
      </c>
      <c r="Q217" s="4" t="s">
        <v>36</v>
      </c>
      <c r="R217" s="4" t="s">
        <v>61</v>
      </c>
      <c r="S217" s="4" t="s">
        <v>62</v>
      </c>
      <c r="T217" s="6" t="e">
        <v>#N/A</v>
      </c>
      <c r="U217" s="5">
        <v>46</v>
      </c>
      <c r="V217" s="5">
        <v>39</v>
      </c>
      <c r="W217" s="5">
        <v>51</v>
      </c>
      <c r="X217" s="5">
        <v>48</v>
      </c>
      <c r="Y217" s="5">
        <v>11.9</v>
      </c>
      <c r="Z217" s="5">
        <v>33.83</v>
      </c>
      <c r="AA217" s="6">
        <v>7.06</v>
      </c>
      <c r="AB217" s="5">
        <v>27.88</v>
      </c>
      <c r="AC217" s="6">
        <v>0.3</v>
      </c>
      <c r="AD217" s="6">
        <v>0.35</v>
      </c>
      <c r="AE217" s="6">
        <v>0.35</v>
      </c>
      <c r="AF217" s="4" t="s">
        <v>6296</v>
      </c>
      <c r="AG217" s="4" t="s">
        <v>6296</v>
      </c>
      <c r="AH217" s="4" t="s">
        <v>6296</v>
      </c>
      <c r="AI217" s="4" t="s">
        <v>6296</v>
      </c>
      <c r="AJ217" s="4" t="s">
        <v>6296</v>
      </c>
      <c r="AK217" s="4" t="s">
        <v>37</v>
      </c>
      <c r="AL217" s="4" t="s">
        <v>6296</v>
      </c>
      <c r="AM217" s="4" t="s">
        <v>37</v>
      </c>
      <c r="AN217" s="4" t="s">
        <v>6296</v>
      </c>
      <c r="AO217" s="4" t="s">
        <v>6296</v>
      </c>
      <c r="AP217" s="4" t="s">
        <v>4434</v>
      </c>
      <c r="AQ217" s="4" t="s">
        <v>47</v>
      </c>
    </row>
    <row r="218" spans="1:43" ht="12.6" customHeight="1" x14ac:dyDescent="0.25">
      <c r="A218" s="8" t="s">
        <v>6415</v>
      </c>
      <c r="B218" s="9">
        <v>20151231</v>
      </c>
      <c r="C218" s="12">
        <f>_xll.FDS("SPX","FG_PRICE(12/30/2015)")</f>
        <v>2063.36</v>
      </c>
      <c r="D218" s="12">
        <f>_xll.FDS("SPX","FG_PRICE(12/30/2017)")</f>
        <v>2673.61</v>
      </c>
      <c r="E218" s="15">
        <f>D218/C218-1</f>
        <v>0.2957554668114144</v>
      </c>
      <c r="F218" s="8" t="s">
        <v>6416</v>
      </c>
      <c r="G218" s="8" t="s">
        <v>6417</v>
      </c>
      <c r="H218" s="13">
        <f>_xll.FDS(G218,"FG_PRICE(12/30/2015)")</f>
        <v>14.39</v>
      </c>
      <c r="I218" s="13">
        <f>_xll.FDS(G218,"FG_PRICE(12/31/2017)")</f>
        <v>15.72</v>
      </c>
      <c r="J218" s="13">
        <f>I218/H218-1</f>
        <v>9.24252953439888E-2</v>
      </c>
      <c r="K218" s="13">
        <f>J218-E218</f>
        <v>-0.2033301714674256</v>
      </c>
      <c r="L218" s="13">
        <f>_xll.FDS(G218,"FF_ROE(ANN_R,12/30/2015)")</f>
        <v>11.60070234475139</v>
      </c>
      <c r="M218" s="8" t="s">
        <v>6418</v>
      </c>
      <c r="N218" s="4" t="s">
        <v>6418</v>
      </c>
      <c r="O218" s="4" t="s">
        <v>6419</v>
      </c>
      <c r="P218" s="4" t="s">
        <v>106</v>
      </c>
      <c r="Q218" s="4" t="s">
        <v>36</v>
      </c>
      <c r="R218" s="4" t="s">
        <v>61</v>
      </c>
      <c r="S218" s="4" t="s">
        <v>62</v>
      </c>
      <c r="T218" s="6" t="e">
        <v>#N/A</v>
      </c>
      <c r="U218" s="5">
        <v>47</v>
      </c>
      <c r="V218" s="5">
        <v>32</v>
      </c>
      <c r="W218" s="5">
        <v>56</v>
      </c>
      <c r="X218" s="5">
        <v>52</v>
      </c>
      <c r="Y218" s="5">
        <v>17.84</v>
      </c>
      <c r="Z218" s="6">
        <v>0.37</v>
      </c>
      <c r="AA218" s="5">
        <v>17.84</v>
      </c>
      <c r="AB218" s="5">
        <v>50.56</v>
      </c>
      <c r="AC218" s="6">
        <v>0.3</v>
      </c>
      <c r="AD218" s="6">
        <v>0.35</v>
      </c>
      <c r="AE218" s="6">
        <v>0.35</v>
      </c>
      <c r="AF218" s="4" t="s">
        <v>6296</v>
      </c>
      <c r="AG218" s="4" t="s">
        <v>6296</v>
      </c>
      <c r="AH218" s="4" t="s">
        <v>6296</v>
      </c>
      <c r="AI218" s="4" t="s">
        <v>6296</v>
      </c>
      <c r="AJ218" s="4" t="s">
        <v>6296</v>
      </c>
      <c r="AK218" s="4" t="s">
        <v>6296</v>
      </c>
      <c r="AL218" s="4" t="s">
        <v>6296</v>
      </c>
      <c r="AM218" s="4" t="s">
        <v>6296</v>
      </c>
      <c r="AN218" s="4" t="s">
        <v>6296</v>
      </c>
      <c r="AO218" s="4" t="s">
        <v>6296</v>
      </c>
      <c r="AP218" s="4" t="s">
        <v>6420</v>
      </c>
      <c r="AQ218" s="4" t="s">
        <v>47</v>
      </c>
    </row>
    <row r="219" spans="1:43" ht="12.6" customHeight="1" x14ac:dyDescent="0.25">
      <c r="A219" s="8" t="s">
        <v>249</v>
      </c>
      <c r="B219" s="9">
        <v>20151231</v>
      </c>
      <c r="C219" s="12">
        <f>_xll.FDS("SPX","FG_PRICE(12/30/2015)")</f>
        <v>2063.36</v>
      </c>
      <c r="D219" s="12">
        <f>_xll.FDS("SPX","FG_PRICE(12/30/2017)")</f>
        <v>2673.61</v>
      </c>
      <c r="E219" s="15">
        <f>D219/C219-1</f>
        <v>0.2957554668114144</v>
      </c>
      <c r="F219" s="8" t="s">
        <v>250</v>
      </c>
      <c r="G219" s="8" t="s">
        <v>251</v>
      </c>
      <c r="H219" s="13">
        <f>_xll.FDS(G219,"FG_PRICE(12/30/2015)")</f>
        <v>70.16</v>
      </c>
      <c r="I219" s="13">
        <f>_xll.FDS(G219,"FG_PRICE(12/31/2017)")</f>
        <v>99.31</v>
      </c>
      <c r="J219" s="13">
        <f>I219/H219-1</f>
        <v>0.4154789053591792</v>
      </c>
      <c r="K219" s="13">
        <f>J219-E219</f>
        <v>0.11972343854776479</v>
      </c>
      <c r="L219" s="13">
        <f>_xll.FDS(G219,"FF_ROE(ANN_R,12/30/2015)")</f>
        <v>29.07217008140606</v>
      </c>
      <c r="M219" s="8" t="s">
        <v>252</v>
      </c>
      <c r="N219" s="4" t="s">
        <v>252</v>
      </c>
      <c r="O219" s="4" t="s">
        <v>253</v>
      </c>
      <c r="P219" s="4" t="s">
        <v>96</v>
      </c>
      <c r="Q219" s="4" t="s">
        <v>36</v>
      </c>
      <c r="R219" s="4" t="s">
        <v>61</v>
      </c>
      <c r="S219" s="4" t="s">
        <v>62</v>
      </c>
      <c r="T219" s="6" t="e">
        <v>#N/A</v>
      </c>
      <c r="U219" s="5">
        <v>57</v>
      </c>
      <c r="V219" s="5">
        <v>58</v>
      </c>
      <c r="W219" s="5">
        <v>61</v>
      </c>
      <c r="X219" s="5">
        <v>52</v>
      </c>
      <c r="Y219" s="5">
        <v>64.680000000000007</v>
      </c>
      <c r="Z219" s="5">
        <v>76.95</v>
      </c>
      <c r="AA219" s="5">
        <v>52.79</v>
      </c>
      <c r="AB219" s="5">
        <v>50.56</v>
      </c>
      <c r="AC219" s="6">
        <v>0.3</v>
      </c>
      <c r="AD219" s="6">
        <v>0.35</v>
      </c>
      <c r="AE219" s="6">
        <v>0.35</v>
      </c>
      <c r="AF219" s="4" t="s">
        <v>6296</v>
      </c>
      <c r="AG219" s="4" t="s">
        <v>6296</v>
      </c>
      <c r="AH219" s="4" t="s">
        <v>6296</v>
      </c>
      <c r="AI219" s="4" t="s">
        <v>42</v>
      </c>
      <c r="AJ219" s="4" t="s">
        <v>6296</v>
      </c>
      <c r="AK219" s="4" t="s">
        <v>46</v>
      </c>
      <c r="AL219" s="4" t="s">
        <v>37</v>
      </c>
      <c r="AM219" s="4" t="s">
        <v>37</v>
      </c>
      <c r="AN219" s="4" t="s">
        <v>42</v>
      </c>
      <c r="AO219" s="4" t="s">
        <v>6296</v>
      </c>
      <c r="AP219" s="4" t="s">
        <v>254</v>
      </c>
      <c r="AQ219" s="4" t="s">
        <v>47</v>
      </c>
    </row>
    <row r="220" spans="1:43" ht="12.6" customHeight="1" x14ac:dyDescent="0.25">
      <c r="A220" s="8" t="s">
        <v>1664</v>
      </c>
      <c r="B220" s="9">
        <v>20151231</v>
      </c>
      <c r="C220" s="12">
        <f>_xll.FDS("SPX","FG_PRICE(12/30/2015)")</f>
        <v>2063.36</v>
      </c>
      <c r="D220" s="12">
        <f>_xll.FDS("SPX","FG_PRICE(12/30/2017)")</f>
        <v>2673.61</v>
      </c>
      <c r="E220" s="15">
        <f>D220/C220-1</f>
        <v>0.2957554668114144</v>
      </c>
      <c r="F220" s="8" t="s">
        <v>1665</v>
      </c>
      <c r="G220" s="8" t="s">
        <v>1666</v>
      </c>
      <c r="H220" s="13">
        <f>_xll.FDS(G220,"FG_PRICE(12/30/2015)")</f>
        <v>37.03</v>
      </c>
      <c r="I220" s="13">
        <f>_xll.FDS(G220,"FG_PRICE(12/31/2017)")</f>
        <v>43.33</v>
      </c>
      <c r="J220" s="13">
        <f>I220/H220-1</f>
        <v>0.17013232514177679</v>
      </c>
      <c r="K220" s="13">
        <f>J220-E220</f>
        <v>-0.12562314166963762</v>
      </c>
      <c r="L220" s="13">
        <f>_xll.FDS(G220,"FF_ROE(ANN_R,12/30/2015)")</f>
        <v>17.274632765708581</v>
      </c>
      <c r="M220" s="8" t="s">
        <v>1667</v>
      </c>
      <c r="N220" s="4" t="s">
        <v>1668</v>
      </c>
      <c r="O220" s="4" t="s">
        <v>1669</v>
      </c>
      <c r="P220" s="4" t="s">
        <v>96</v>
      </c>
      <c r="Q220" s="4" t="s">
        <v>36</v>
      </c>
      <c r="R220" s="4" t="s">
        <v>61</v>
      </c>
      <c r="S220" s="4" t="s">
        <v>62</v>
      </c>
      <c r="T220" s="6" t="e">
        <v>#N/A</v>
      </c>
      <c r="U220" s="5">
        <v>58</v>
      </c>
      <c r="V220" s="5">
        <v>59</v>
      </c>
      <c r="W220" s="5">
        <v>55</v>
      </c>
      <c r="X220" s="5">
        <v>59</v>
      </c>
      <c r="Y220" s="5">
        <v>70.260000000000005</v>
      </c>
      <c r="Z220" s="5">
        <v>78.81</v>
      </c>
      <c r="AA220" s="5">
        <v>14.5</v>
      </c>
      <c r="AB220" s="5">
        <v>72.86</v>
      </c>
      <c r="AC220" s="6">
        <v>0.3</v>
      </c>
      <c r="AD220" s="6">
        <v>0.35</v>
      </c>
      <c r="AE220" s="6">
        <v>0.35</v>
      </c>
      <c r="AF220" s="4" t="s">
        <v>6296</v>
      </c>
      <c r="AG220" s="4" t="s">
        <v>6296</v>
      </c>
      <c r="AH220" s="4" t="s">
        <v>6296</v>
      </c>
      <c r="AI220" s="4" t="s">
        <v>6296</v>
      </c>
      <c r="AJ220" s="4" t="s">
        <v>6296</v>
      </c>
      <c r="AK220" s="4" t="s">
        <v>6296</v>
      </c>
      <c r="AL220" s="4" t="s">
        <v>37</v>
      </c>
      <c r="AM220" s="4" t="s">
        <v>37</v>
      </c>
      <c r="AN220" s="4" t="s">
        <v>42</v>
      </c>
      <c r="AO220" s="4" t="s">
        <v>6296</v>
      </c>
      <c r="AP220" s="4" t="s">
        <v>1670</v>
      </c>
      <c r="AQ220" s="4" t="s">
        <v>47</v>
      </c>
    </row>
    <row r="221" spans="1:43" ht="12.6" customHeight="1" x14ac:dyDescent="0.25">
      <c r="A221" s="8" t="s">
        <v>4937</v>
      </c>
      <c r="B221" s="9">
        <v>20151231</v>
      </c>
      <c r="C221" s="12">
        <f>_xll.FDS("SPX","FG_PRICE(12/30/2015)")</f>
        <v>2063.36</v>
      </c>
      <c r="D221" s="12">
        <f>_xll.FDS("SPX","FG_PRICE(12/30/2017)")</f>
        <v>2673.61</v>
      </c>
      <c r="E221" s="15">
        <f>D221/C221-1</f>
        <v>0.2957554668114144</v>
      </c>
      <c r="F221" s="8" t="s">
        <v>4938</v>
      </c>
      <c r="G221" s="8" t="s">
        <v>4939</v>
      </c>
      <c r="H221" s="13">
        <f>_xll.FDS(G221,"FG_PRICE(12/30/2015)")</f>
        <v>41.28</v>
      </c>
      <c r="I221" s="13">
        <f>_xll.FDS(G221,"FG_PRICE(12/31/2017)")</f>
        <v>53.86</v>
      </c>
      <c r="J221" s="13">
        <f>I221/H221-1</f>
        <v>0.30474806201550386</v>
      </c>
      <c r="K221" s="13">
        <f>J221-E221</f>
        <v>8.9925952040894597E-3</v>
      </c>
      <c r="L221" s="13">
        <f>_xll.FDS(G221,"FF_ROE(ANN_R,12/30/2015)")</f>
        <v>6.7340785998239099</v>
      </c>
      <c r="M221" s="8" t="s">
        <v>4940</v>
      </c>
      <c r="N221" s="4" t="s">
        <v>4941</v>
      </c>
      <c r="O221" s="4" t="s">
        <v>4942</v>
      </c>
      <c r="P221" s="4" t="s">
        <v>96</v>
      </c>
      <c r="Q221" s="4" t="s">
        <v>36</v>
      </c>
      <c r="R221" s="4" t="s">
        <v>61</v>
      </c>
      <c r="S221" s="4" t="s">
        <v>62</v>
      </c>
      <c r="T221" s="6" t="e">
        <v>#N/A</v>
      </c>
      <c r="U221" s="5">
        <v>62</v>
      </c>
      <c r="V221" s="5">
        <v>66</v>
      </c>
      <c r="W221" s="5">
        <v>63</v>
      </c>
      <c r="X221" s="5">
        <v>58</v>
      </c>
      <c r="Y221" s="5">
        <v>78.069999999999993</v>
      </c>
      <c r="Z221" s="5">
        <v>86.62</v>
      </c>
      <c r="AA221" s="5">
        <v>67.290000000000006</v>
      </c>
      <c r="AB221" s="5">
        <v>69.14</v>
      </c>
      <c r="AC221" s="6">
        <v>0.3</v>
      </c>
      <c r="AD221" s="6">
        <v>0.35</v>
      </c>
      <c r="AE221" s="6">
        <v>0.35</v>
      </c>
      <c r="AF221" s="4" t="s">
        <v>6296</v>
      </c>
      <c r="AG221" s="4" t="s">
        <v>6296</v>
      </c>
      <c r="AH221" s="4" t="s">
        <v>37</v>
      </c>
      <c r="AI221" s="4" t="s">
        <v>6296</v>
      </c>
      <c r="AJ221" s="4" t="s">
        <v>6296</v>
      </c>
      <c r="AK221" s="4" t="s">
        <v>46</v>
      </c>
      <c r="AL221" s="4" t="s">
        <v>37</v>
      </c>
      <c r="AM221" s="4" t="s">
        <v>46</v>
      </c>
      <c r="AN221" s="4" t="s">
        <v>6296</v>
      </c>
      <c r="AO221" s="4" t="s">
        <v>6296</v>
      </c>
      <c r="AP221" s="4" t="s">
        <v>4943</v>
      </c>
      <c r="AQ221" s="4" t="s">
        <v>47</v>
      </c>
    </row>
    <row r="222" spans="1:43" ht="12.6" customHeight="1" x14ac:dyDescent="0.25">
      <c r="A222" s="8" t="s">
        <v>2320</v>
      </c>
      <c r="B222" s="9">
        <v>20151231</v>
      </c>
      <c r="C222" s="12">
        <f>_xll.FDS("SPX","FG_PRICE(12/30/2015)")</f>
        <v>2063.36</v>
      </c>
      <c r="D222" s="12">
        <f>_xll.FDS("SPX","FG_PRICE(12/30/2017)")</f>
        <v>2673.61</v>
      </c>
      <c r="E222" s="15">
        <f>D222/C222-1</f>
        <v>0.2957554668114144</v>
      </c>
      <c r="F222" s="8" t="s">
        <v>2321</v>
      </c>
      <c r="G222" s="8" t="s">
        <v>2322</v>
      </c>
      <c r="H222" s="13">
        <f>_xll.FDS(G222,"FG_PRICE(12/30/2015)")</f>
        <v>342.05</v>
      </c>
      <c r="I222" s="13">
        <f>_xll.FDS(G222,"FG_PRICE(12/31/2017)")</f>
        <v>513.71</v>
      </c>
      <c r="J222" s="13">
        <f>I222/H222-1</f>
        <v>0.50185645373483423</v>
      </c>
      <c r="K222" s="13">
        <f>J222-E222</f>
        <v>0.20610098692341983</v>
      </c>
      <c r="L222" s="13">
        <f>_xll.FDS(G222,"FF_ROE(ANN_R,12/30/2015)")</f>
        <v>12.23943818972244</v>
      </c>
      <c r="M222" s="8" t="s">
        <v>2323</v>
      </c>
      <c r="N222" s="4" t="s">
        <v>2324</v>
      </c>
      <c r="O222" s="4" t="s">
        <v>2325</v>
      </c>
      <c r="P222" s="4" t="s">
        <v>96</v>
      </c>
      <c r="Q222" s="4" t="s">
        <v>36</v>
      </c>
      <c r="R222" s="4" t="s">
        <v>61</v>
      </c>
      <c r="S222" s="4" t="s">
        <v>62</v>
      </c>
      <c r="T222" s="6" t="e">
        <v>#N/A</v>
      </c>
      <c r="U222" s="5">
        <v>62</v>
      </c>
      <c r="V222" s="5">
        <v>50</v>
      </c>
      <c r="W222" s="5">
        <v>63</v>
      </c>
      <c r="X222" s="5">
        <v>71</v>
      </c>
      <c r="Y222" s="5">
        <v>78.069999999999993</v>
      </c>
      <c r="Z222" s="5">
        <v>63.94</v>
      </c>
      <c r="AA222" s="5">
        <v>67.290000000000006</v>
      </c>
      <c r="AB222" s="5">
        <v>91.08</v>
      </c>
      <c r="AC222" s="6">
        <v>0.3</v>
      </c>
      <c r="AD222" s="6">
        <v>0.35</v>
      </c>
      <c r="AE222" s="6">
        <v>0.35</v>
      </c>
      <c r="AF222" s="4" t="s">
        <v>6296</v>
      </c>
      <c r="AG222" s="4" t="s">
        <v>6296</v>
      </c>
      <c r="AH222" s="4" t="s">
        <v>37</v>
      </c>
      <c r="AI222" s="4" t="s">
        <v>6296</v>
      </c>
      <c r="AJ222" s="4" t="s">
        <v>6296</v>
      </c>
      <c r="AK222" s="4" t="s">
        <v>42</v>
      </c>
      <c r="AL222" s="4" t="s">
        <v>37</v>
      </c>
      <c r="AM222" s="4" t="s">
        <v>42</v>
      </c>
      <c r="AN222" s="4" t="s">
        <v>6296</v>
      </c>
      <c r="AO222" s="4" t="s">
        <v>6296</v>
      </c>
      <c r="AP222" s="4" t="s">
        <v>2326</v>
      </c>
      <c r="AQ222" s="4" t="s">
        <v>47</v>
      </c>
    </row>
    <row r="223" spans="1:43" ht="12.6" customHeight="1" x14ac:dyDescent="0.25">
      <c r="A223" s="8" t="s">
        <v>612</v>
      </c>
      <c r="B223" s="9">
        <v>20151231</v>
      </c>
      <c r="C223" s="12">
        <f>_xll.FDS("SPX","FG_PRICE(12/30/2015)")</f>
        <v>2063.36</v>
      </c>
      <c r="D223" s="12">
        <f>_xll.FDS("SPX","FG_PRICE(12/30/2017)")</f>
        <v>2673.61</v>
      </c>
      <c r="E223" s="15">
        <f>D223/C223-1</f>
        <v>0.2957554668114144</v>
      </c>
      <c r="F223" s="8" t="s">
        <v>613</v>
      </c>
      <c r="G223" s="8" t="s">
        <v>614</v>
      </c>
      <c r="H223" s="13">
        <f>_xll.FDS(G223,"FG_PRICE(12/30/2015)")</f>
        <v>200080.98</v>
      </c>
      <c r="I223" s="13">
        <f>_xll.FDS(G223,"FG_PRICE(12/31/2017)")</f>
        <v>297600</v>
      </c>
      <c r="J223" s="13">
        <f>I223/H223-1</f>
        <v>0.487397752649952</v>
      </c>
      <c r="K223" s="13">
        <f>J223-E223</f>
        <v>0.1916422858385376</v>
      </c>
      <c r="L223" s="13">
        <f>_xll.FDS(G223,"FF_ROE(ANN_R,12/30/2015)")</f>
        <v>8.6014803272302292</v>
      </c>
      <c r="M223" s="8" t="s">
        <v>615</v>
      </c>
      <c r="N223" s="4" t="s">
        <v>94</v>
      </c>
      <c r="O223" s="4" t="s">
        <v>95</v>
      </c>
      <c r="P223" s="4" t="s">
        <v>96</v>
      </c>
      <c r="Q223" s="4" t="s">
        <v>36</v>
      </c>
      <c r="R223" s="4" t="s">
        <v>61</v>
      </c>
      <c r="S223" s="4" t="s">
        <v>62</v>
      </c>
      <c r="T223" s="6" t="e">
        <v>#N/A</v>
      </c>
      <c r="U223" s="5">
        <v>48</v>
      </c>
      <c r="V223" s="5">
        <v>54</v>
      </c>
      <c r="W223" s="5">
        <v>47</v>
      </c>
      <c r="X223" s="5">
        <v>45</v>
      </c>
      <c r="Y223" s="5">
        <v>23.79</v>
      </c>
      <c r="Z223" s="5">
        <v>70.63</v>
      </c>
      <c r="AA223" s="6">
        <v>0.74</v>
      </c>
      <c r="AB223" s="5">
        <v>14.5</v>
      </c>
      <c r="AC223" s="6">
        <v>0.3</v>
      </c>
      <c r="AD223" s="6">
        <v>0.35</v>
      </c>
      <c r="AE223" s="6">
        <v>0.35</v>
      </c>
      <c r="AF223" s="4" t="s">
        <v>37</v>
      </c>
      <c r="AG223" s="4" t="s">
        <v>6296</v>
      </c>
      <c r="AH223" s="4" t="s">
        <v>6296</v>
      </c>
      <c r="AI223" s="4" t="s">
        <v>37</v>
      </c>
      <c r="AJ223" s="4" t="s">
        <v>42</v>
      </c>
      <c r="AK223" s="4" t="s">
        <v>42</v>
      </c>
      <c r="AL223" s="4" t="s">
        <v>42</v>
      </c>
      <c r="AM223" s="4" t="s">
        <v>37</v>
      </c>
      <c r="AN223" s="4" t="s">
        <v>6296</v>
      </c>
      <c r="AO223" s="4" t="s">
        <v>6296</v>
      </c>
      <c r="AP223" s="4" t="s">
        <v>97</v>
      </c>
      <c r="AQ223" s="4" t="s">
        <v>47</v>
      </c>
    </row>
    <row r="224" spans="1:43" ht="12.6" customHeight="1" x14ac:dyDescent="0.25">
      <c r="A224" s="8" t="s">
        <v>90</v>
      </c>
      <c r="B224" s="9">
        <v>20151231</v>
      </c>
      <c r="C224" s="12">
        <f>_xll.FDS("SPX","FG_PRICE(12/30/2015)")</f>
        <v>2063.36</v>
      </c>
      <c r="D224" s="12">
        <f>_xll.FDS("SPX","FG_PRICE(12/30/2017)")</f>
        <v>2673.61</v>
      </c>
      <c r="E224" s="15">
        <f>D224/C224-1</f>
        <v>0.2957554668114144</v>
      </c>
      <c r="F224" s="8" t="s">
        <v>91</v>
      </c>
      <c r="G224" s="8" t="s">
        <v>92</v>
      </c>
      <c r="H224" s="13">
        <f>_xll.FDS(G224,"FG_PRICE(12/30/2015)")</f>
        <v>133.26</v>
      </c>
      <c r="I224" s="13">
        <f>_xll.FDS(G224,"FG_PRICE(12/31/2017)")</f>
        <v>198.22</v>
      </c>
      <c r="J224" s="13">
        <f>I224/H224-1</f>
        <v>0.48746810745910252</v>
      </c>
      <c r="K224" s="13">
        <f>J224-E224</f>
        <v>0.19171264064768812</v>
      </c>
      <c r="L224" s="13">
        <f>_xll.FDS(G224,"FF_ROE(ANN_R,12/30/2015)")</f>
        <v>8.6014803272302292</v>
      </c>
      <c r="M224" s="8" t="s">
        <v>93</v>
      </c>
      <c r="N224" s="4" t="s">
        <v>94</v>
      </c>
      <c r="O224" s="4" t="s">
        <v>95</v>
      </c>
      <c r="P224" s="4" t="s">
        <v>96</v>
      </c>
      <c r="Q224" s="4" t="s">
        <v>36</v>
      </c>
      <c r="R224" s="4" t="s">
        <v>61</v>
      </c>
      <c r="S224" s="4" t="s">
        <v>62</v>
      </c>
      <c r="T224" s="6" t="e">
        <v>#N/A</v>
      </c>
      <c r="U224" s="5">
        <v>48</v>
      </c>
      <c r="V224" s="5">
        <v>54</v>
      </c>
      <c r="W224" s="5">
        <v>47</v>
      </c>
      <c r="X224" s="5">
        <v>45</v>
      </c>
      <c r="Y224" s="5">
        <v>23.79</v>
      </c>
      <c r="Z224" s="5">
        <v>70.63</v>
      </c>
      <c r="AA224" s="6">
        <v>0.74</v>
      </c>
      <c r="AB224" s="5">
        <v>14.5</v>
      </c>
      <c r="AC224" s="6">
        <v>0.3</v>
      </c>
      <c r="AD224" s="6">
        <v>0.35</v>
      </c>
      <c r="AE224" s="6">
        <v>0.35</v>
      </c>
      <c r="AF224" s="4" t="s">
        <v>37</v>
      </c>
      <c r="AG224" s="4" t="s">
        <v>6296</v>
      </c>
      <c r="AH224" s="4" t="s">
        <v>6296</v>
      </c>
      <c r="AI224" s="4" t="s">
        <v>37</v>
      </c>
      <c r="AJ224" s="4" t="s">
        <v>42</v>
      </c>
      <c r="AK224" s="4" t="s">
        <v>42</v>
      </c>
      <c r="AL224" s="4" t="s">
        <v>42</v>
      </c>
      <c r="AM224" s="4" t="s">
        <v>37</v>
      </c>
      <c r="AN224" s="4" t="s">
        <v>6296</v>
      </c>
      <c r="AO224" s="4" t="s">
        <v>6296</v>
      </c>
      <c r="AP224" s="4" t="s">
        <v>97</v>
      </c>
      <c r="AQ224" s="4" t="s">
        <v>47</v>
      </c>
    </row>
    <row r="225" spans="1:43" ht="12.6" customHeight="1" x14ac:dyDescent="0.25">
      <c r="A225" s="8" t="s">
        <v>4923</v>
      </c>
      <c r="B225" s="9">
        <v>20151231</v>
      </c>
      <c r="C225" s="12">
        <f>_xll.FDS("SPX","FG_PRICE(12/30/2015)")</f>
        <v>2063.36</v>
      </c>
      <c r="D225" s="12">
        <f>_xll.FDS("SPX","FG_PRICE(12/30/2017)")</f>
        <v>2673.61</v>
      </c>
      <c r="E225" s="15">
        <f>D225/C225-1</f>
        <v>0.2957554668114144</v>
      </c>
      <c r="F225" s="8" t="s">
        <v>4924</v>
      </c>
      <c r="G225" s="8" t="s">
        <v>4925</v>
      </c>
      <c r="H225" s="13">
        <f>_xll.FDS(G225,"FG_PRICE(12/30/2015)")</f>
        <v>29.71</v>
      </c>
      <c r="I225" s="13">
        <f>_xll.FDS(G225,"FG_PRICE(12/31/2017)")</f>
        <v>32.020000000000003</v>
      </c>
      <c r="J225" s="13">
        <f>I225/H225-1</f>
        <v>7.7751598788286858E-2</v>
      </c>
      <c r="K225" s="13">
        <f>J225-E225</f>
        <v>-0.21800386802312754</v>
      </c>
      <c r="L225" s="13">
        <f>_xll.FDS(G225,"FF_ROE(ANN_R,12/30/2015)")</f>
        <v>23.708911319363089</v>
      </c>
      <c r="M225" s="8" t="s">
        <v>4926</v>
      </c>
      <c r="N225" s="4" t="s">
        <v>4927</v>
      </c>
      <c r="O225" s="4" t="s">
        <v>4928</v>
      </c>
      <c r="P225" s="4" t="s">
        <v>96</v>
      </c>
      <c r="Q225" s="4" t="s">
        <v>36</v>
      </c>
      <c r="R225" s="4" t="s">
        <v>61</v>
      </c>
      <c r="S225" s="4" t="s">
        <v>62</v>
      </c>
      <c r="T225" s="6" t="e">
        <v>#N/A</v>
      </c>
      <c r="U225" s="5">
        <v>52</v>
      </c>
      <c r="V225" s="5">
        <v>47</v>
      </c>
      <c r="W225" s="5">
        <v>63</v>
      </c>
      <c r="X225" s="5">
        <v>46</v>
      </c>
      <c r="Y225" s="5">
        <v>48.33</v>
      </c>
      <c r="Z225" s="5">
        <v>57.99</v>
      </c>
      <c r="AA225" s="5">
        <v>67.290000000000006</v>
      </c>
      <c r="AB225" s="5">
        <v>15.99</v>
      </c>
      <c r="AC225" s="6">
        <v>0.3</v>
      </c>
      <c r="AD225" s="6">
        <v>0.35</v>
      </c>
      <c r="AE225" s="6">
        <v>0.35</v>
      </c>
      <c r="AF225" s="4" t="s">
        <v>6296</v>
      </c>
      <c r="AG225" s="4" t="s">
        <v>6296</v>
      </c>
      <c r="AH225" s="4" t="s">
        <v>6296</v>
      </c>
      <c r="AI225" s="4" t="s">
        <v>42</v>
      </c>
      <c r="AJ225" s="4" t="s">
        <v>6296</v>
      </c>
      <c r="AK225" s="4" t="s">
        <v>37</v>
      </c>
      <c r="AL225" s="4" t="s">
        <v>37</v>
      </c>
      <c r="AM225" s="4" t="s">
        <v>37</v>
      </c>
      <c r="AN225" s="4" t="s">
        <v>37</v>
      </c>
      <c r="AO225" s="4" t="s">
        <v>6296</v>
      </c>
      <c r="AP225" s="4" t="s">
        <v>4929</v>
      </c>
      <c r="AQ225" s="4" t="s">
        <v>47</v>
      </c>
    </row>
    <row r="226" spans="1:43" ht="12.6" customHeight="1" x14ac:dyDescent="0.25">
      <c r="A226" s="8" t="s">
        <v>5276</v>
      </c>
      <c r="B226" s="9">
        <v>20151231</v>
      </c>
      <c r="C226" s="12">
        <f>_xll.FDS("SPX","FG_PRICE(12/30/2015)")</f>
        <v>2063.36</v>
      </c>
      <c r="D226" s="12">
        <f>_xll.FDS("SPX","FG_PRICE(12/30/2017)")</f>
        <v>2673.61</v>
      </c>
      <c r="E226" s="15">
        <f>D226/C226-1</f>
        <v>0.2957554668114144</v>
      </c>
      <c r="F226" s="8" t="s">
        <v>5277</v>
      </c>
      <c r="G226" s="8" t="s">
        <v>5278</v>
      </c>
      <c r="H226" s="13">
        <f>_xll.FDS(G226,"FG_PRICE(12/30/2015)")</f>
        <v>65.680000000000007</v>
      </c>
      <c r="I226" s="13">
        <f>_xll.FDS(G226,"FG_PRICE(12/31/2017)")</f>
        <v>124.59</v>
      </c>
      <c r="J226" s="13">
        <f>I226/H226-1</f>
        <v>0.89692448233861133</v>
      </c>
      <c r="K226" s="13">
        <f>J226-E226</f>
        <v>0.60116901552719693</v>
      </c>
      <c r="L226" s="13">
        <f>_xll.FDS(G226,"FF_ROE(ANN_R,12/30/2015)")</f>
        <v>70.481720365742333</v>
      </c>
      <c r="M226" s="8" t="s">
        <v>5279</v>
      </c>
      <c r="N226" s="4" t="s">
        <v>5280</v>
      </c>
      <c r="O226" s="4" t="s">
        <v>5281</v>
      </c>
      <c r="P226" s="4" t="s">
        <v>106</v>
      </c>
      <c r="Q226" s="4" t="s">
        <v>36</v>
      </c>
      <c r="R226" s="4" t="s">
        <v>61</v>
      </c>
      <c r="S226" s="4" t="s">
        <v>62</v>
      </c>
      <c r="T226" s="6" t="e">
        <v>#N/A</v>
      </c>
      <c r="U226" s="5">
        <v>65</v>
      </c>
      <c r="V226" s="5">
        <v>77</v>
      </c>
      <c r="W226" s="5">
        <v>62</v>
      </c>
      <c r="X226" s="5">
        <v>58</v>
      </c>
      <c r="Y226" s="5">
        <v>83.64</v>
      </c>
      <c r="Z226" s="5">
        <v>95.91</v>
      </c>
      <c r="AA226" s="5">
        <v>59.85</v>
      </c>
      <c r="AB226" s="5">
        <v>69.14</v>
      </c>
      <c r="AC226" s="6">
        <v>0.3</v>
      </c>
      <c r="AD226" s="6">
        <v>0.35</v>
      </c>
      <c r="AE226" s="6">
        <v>0.35</v>
      </c>
      <c r="AF226" s="4" t="s">
        <v>6296</v>
      </c>
      <c r="AG226" s="4" t="s">
        <v>6296</v>
      </c>
      <c r="AH226" s="4" t="s">
        <v>6296</v>
      </c>
      <c r="AI226" s="4" t="s">
        <v>6296</v>
      </c>
      <c r="AJ226" s="4" t="s">
        <v>6296</v>
      </c>
      <c r="AK226" s="4" t="s">
        <v>37</v>
      </c>
      <c r="AL226" s="4" t="s">
        <v>6296</v>
      </c>
      <c r="AM226" s="4" t="s">
        <v>6296</v>
      </c>
      <c r="AN226" s="4" t="s">
        <v>6296</v>
      </c>
      <c r="AO226" s="4" t="s">
        <v>6296</v>
      </c>
      <c r="AP226" s="4" t="s">
        <v>5282</v>
      </c>
      <c r="AQ226" s="4" t="s">
        <v>47</v>
      </c>
    </row>
    <row r="227" spans="1:43" ht="12.6" customHeight="1" x14ac:dyDescent="0.25">
      <c r="A227" s="8" t="s">
        <v>4381</v>
      </c>
      <c r="B227" s="9">
        <v>20151231</v>
      </c>
      <c r="C227" s="12">
        <f>_xll.FDS("SPX","FG_PRICE(12/30/2015)")</f>
        <v>2063.36</v>
      </c>
      <c r="D227" s="12">
        <f>_xll.FDS("SPX","FG_PRICE(12/30/2017)")</f>
        <v>2673.61</v>
      </c>
      <c r="E227" s="15">
        <f>D227/C227-1</f>
        <v>0.2957554668114144</v>
      </c>
      <c r="F227" s="8" t="s">
        <v>4382</v>
      </c>
      <c r="G227" s="8" t="s">
        <v>4383</v>
      </c>
      <c r="H227" s="13">
        <f>_xll.FDS(G227,"FG_PRICE(12/30/2015)")</f>
        <v>91.52</v>
      </c>
      <c r="I227" s="13">
        <f>_xll.FDS(G227,"FG_PRICE(12/31/2017)")</f>
        <v>146.05000000000001</v>
      </c>
      <c r="J227" s="13">
        <f>I227/H227-1</f>
        <v>0.59582604895104918</v>
      </c>
      <c r="K227" s="13">
        <f>J227-E227</f>
        <v>0.30007058213963478</v>
      </c>
      <c r="L227" s="13">
        <f>_xll.FDS(G227,"FF_ROE(ANN_R,12/30/2015)")</f>
        <v>5.3571555885099906</v>
      </c>
      <c r="M227" s="8" t="s">
        <v>4384</v>
      </c>
      <c r="N227" s="4" t="s">
        <v>4385</v>
      </c>
      <c r="O227" s="4" t="s">
        <v>4386</v>
      </c>
      <c r="P227" s="4" t="s">
        <v>106</v>
      </c>
      <c r="Q227" s="4" t="s">
        <v>36</v>
      </c>
      <c r="R227" s="4" t="s">
        <v>61</v>
      </c>
      <c r="S227" s="4" t="s">
        <v>62</v>
      </c>
      <c r="T227" s="6" t="e">
        <v>#N/A</v>
      </c>
      <c r="U227" s="5">
        <v>57</v>
      </c>
      <c r="V227" s="5">
        <v>55</v>
      </c>
      <c r="W227" s="5">
        <v>62</v>
      </c>
      <c r="X227" s="5">
        <v>53</v>
      </c>
      <c r="Y227" s="5">
        <v>64.680000000000007</v>
      </c>
      <c r="Z227" s="5">
        <v>72.489999999999995</v>
      </c>
      <c r="AA227" s="5">
        <v>59.85</v>
      </c>
      <c r="AB227" s="5">
        <v>54.65</v>
      </c>
      <c r="AC227" s="6">
        <v>0.3</v>
      </c>
      <c r="AD227" s="6">
        <v>0.35</v>
      </c>
      <c r="AE227" s="6">
        <v>0.35</v>
      </c>
      <c r="AF227" s="4" t="s">
        <v>6296</v>
      </c>
      <c r="AG227" s="4" t="s">
        <v>6296</v>
      </c>
      <c r="AH227" s="4" t="s">
        <v>6296</v>
      </c>
      <c r="AI227" s="4" t="s">
        <v>6296</v>
      </c>
      <c r="AJ227" s="4" t="s">
        <v>6296</v>
      </c>
      <c r="AK227" s="4" t="s">
        <v>42</v>
      </c>
      <c r="AL227" s="4" t="s">
        <v>6296</v>
      </c>
      <c r="AM227" s="4" t="s">
        <v>37</v>
      </c>
      <c r="AN227" s="4" t="s">
        <v>42</v>
      </c>
      <c r="AO227" s="4" t="s">
        <v>6296</v>
      </c>
      <c r="AP227" s="4" t="s">
        <v>4387</v>
      </c>
      <c r="AQ227" s="4" t="s">
        <v>47</v>
      </c>
    </row>
    <row r="228" spans="1:43" ht="12.6" customHeight="1" x14ac:dyDescent="0.25">
      <c r="A228" s="8" t="s">
        <v>2984</v>
      </c>
      <c r="B228" s="9">
        <v>20151231</v>
      </c>
      <c r="C228" s="12">
        <f>_xll.FDS("SPX","FG_PRICE(12/30/2015)")</f>
        <v>2063.36</v>
      </c>
      <c r="D228" s="12">
        <f>_xll.FDS("SPX","FG_PRICE(12/30/2017)")</f>
        <v>2673.61</v>
      </c>
      <c r="E228" s="15">
        <f>D228/C228-1</f>
        <v>0.2957554668114144</v>
      </c>
      <c r="F228" s="8" t="s">
        <v>2985</v>
      </c>
      <c r="G228" s="8" t="s">
        <v>2986</v>
      </c>
      <c r="H228" s="13">
        <f>_xll.FDS(G228,"FG_PRICE(12/30/2015)")</f>
        <v>73.209999999999994</v>
      </c>
      <c r="I228" s="13">
        <f>_xll.FDS(G228,"FG_PRICE(12/31/2017)")</f>
        <v>99.58</v>
      </c>
      <c r="J228" s="13">
        <f>I228/H228-1</f>
        <v>0.36019669444065028</v>
      </c>
      <c r="K228" s="13">
        <f>J228-E228</f>
        <v>6.4441227629235875E-2</v>
      </c>
      <c r="L228" s="13">
        <f>_xll.FDS(G228,"FF_ROE(ANN_R,12/30/2015)")</f>
        <v>10.150120395866219</v>
      </c>
      <c r="M228" s="8" t="s">
        <v>2987</v>
      </c>
      <c r="N228" s="4" t="s">
        <v>2987</v>
      </c>
      <c r="O228" s="4" t="s">
        <v>2988</v>
      </c>
      <c r="P228" s="4" t="s">
        <v>96</v>
      </c>
      <c r="Q228" s="4" t="s">
        <v>36</v>
      </c>
      <c r="R228" s="4" t="s">
        <v>61</v>
      </c>
      <c r="S228" s="4" t="s">
        <v>62</v>
      </c>
      <c r="T228" s="6" t="e">
        <v>#N/A</v>
      </c>
      <c r="U228" s="5">
        <v>56</v>
      </c>
      <c r="V228" s="5">
        <v>47</v>
      </c>
      <c r="W228" s="5">
        <v>64</v>
      </c>
      <c r="X228" s="5">
        <v>55</v>
      </c>
      <c r="Y228" s="5">
        <v>62.83</v>
      </c>
      <c r="Z228" s="5">
        <v>57.99</v>
      </c>
      <c r="AA228" s="5">
        <v>71.38</v>
      </c>
      <c r="AB228" s="5">
        <v>62.83</v>
      </c>
      <c r="AC228" s="6">
        <v>0.3</v>
      </c>
      <c r="AD228" s="6">
        <v>0.35</v>
      </c>
      <c r="AE228" s="6">
        <v>0.35</v>
      </c>
      <c r="AF228" s="4" t="s">
        <v>6296</v>
      </c>
      <c r="AG228" s="4" t="s">
        <v>6296</v>
      </c>
      <c r="AH228" s="4" t="s">
        <v>6296</v>
      </c>
      <c r="AI228" s="4" t="s">
        <v>6296</v>
      </c>
      <c r="AJ228" s="4" t="s">
        <v>6296</v>
      </c>
      <c r="AK228" s="4" t="s">
        <v>37</v>
      </c>
      <c r="AL228" s="4" t="s">
        <v>37</v>
      </c>
      <c r="AM228" s="4" t="s">
        <v>37</v>
      </c>
      <c r="AN228" s="4" t="s">
        <v>6296</v>
      </c>
      <c r="AO228" s="4" t="s">
        <v>6296</v>
      </c>
      <c r="AP228" s="4" t="s">
        <v>2989</v>
      </c>
      <c r="AQ228" s="4" t="s">
        <v>47</v>
      </c>
    </row>
    <row r="229" spans="1:43" ht="12.6" customHeight="1" x14ac:dyDescent="0.25">
      <c r="A229" s="8" t="s">
        <v>4917</v>
      </c>
      <c r="B229" s="9">
        <v>20151231</v>
      </c>
      <c r="C229" s="12">
        <f>_xll.FDS("SPX","FG_PRICE(12/30/2015)")</f>
        <v>2063.36</v>
      </c>
      <c r="D229" s="12">
        <f>_xll.FDS("SPX","FG_PRICE(12/30/2017)")</f>
        <v>2673.61</v>
      </c>
      <c r="E229" s="15">
        <f>D229/C229-1</f>
        <v>0.2957554668114144</v>
      </c>
      <c r="F229" s="8" t="s">
        <v>4918</v>
      </c>
      <c r="G229" s="8" t="s">
        <v>4919</v>
      </c>
      <c r="H229" s="13">
        <f>_xll.FDS(G229,"FG_PRICE(12/30/2015)")</f>
        <v>54.25</v>
      </c>
      <c r="I229" s="13">
        <f>_xll.FDS(G229,"FG_PRICE(12/31/2017)")</f>
        <v>76.92</v>
      </c>
      <c r="J229" s="13">
        <f>I229/H229-1</f>
        <v>0.41788018433179719</v>
      </c>
      <c r="K229" s="13">
        <f>J229-E229</f>
        <v>0.12212471752038279</v>
      </c>
      <c r="L229" s="13">
        <f>_xll.FDS(G229,"FF_ROE(ANN_R,12/30/2015)")</f>
        <v>21.027206854122038</v>
      </c>
      <c r="M229" s="8" t="s">
        <v>4920</v>
      </c>
      <c r="N229" s="4" t="s">
        <v>4920</v>
      </c>
      <c r="O229" s="4" t="s">
        <v>4921</v>
      </c>
      <c r="P229" s="4" t="s">
        <v>96</v>
      </c>
      <c r="Q229" s="4" t="s">
        <v>36</v>
      </c>
      <c r="R229" s="4" t="s">
        <v>61</v>
      </c>
      <c r="S229" s="4" t="s">
        <v>62</v>
      </c>
      <c r="T229" s="6" t="e">
        <v>#N/A</v>
      </c>
      <c r="U229" s="5">
        <v>57</v>
      </c>
      <c r="V229" s="5">
        <v>55</v>
      </c>
      <c r="W229" s="5">
        <v>61</v>
      </c>
      <c r="X229" s="5">
        <v>53</v>
      </c>
      <c r="Y229" s="5">
        <v>64.680000000000007</v>
      </c>
      <c r="Z229" s="5">
        <v>72.489999999999995</v>
      </c>
      <c r="AA229" s="5">
        <v>52.79</v>
      </c>
      <c r="AB229" s="5">
        <v>54.65</v>
      </c>
      <c r="AC229" s="6">
        <v>0.3</v>
      </c>
      <c r="AD229" s="6">
        <v>0.35</v>
      </c>
      <c r="AE229" s="6">
        <v>0.35</v>
      </c>
      <c r="AF229" s="4" t="s">
        <v>6296</v>
      </c>
      <c r="AG229" s="4" t="s">
        <v>6296</v>
      </c>
      <c r="AH229" s="4" t="s">
        <v>6296</v>
      </c>
      <c r="AI229" s="4" t="s">
        <v>6296</v>
      </c>
      <c r="AJ229" s="4" t="s">
        <v>6296</v>
      </c>
      <c r="AK229" s="4" t="s">
        <v>37</v>
      </c>
      <c r="AL229" s="4" t="s">
        <v>6296</v>
      </c>
      <c r="AM229" s="4" t="s">
        <v>42</v>
      </c>
      <c r="AN229" s="4" t="s">
        <v>37</v>
      </c>
      <c r="AO229" s="4" t="s">
        <v>6296</v>
      </c>
      <c r="AP229" s="4" t="s">
        <v>4922</v>
      </c>
      <c r="AQ229" s="4" t="s">
        <v>47</v>
      </c>
    </row>
    <row r="230" spans="1:43" ht="12.6" customHeight="1" x14ac:dyDescent="0.25">
      <c r="A230" s="8" t="s">
        <v>1445</v>
      </c>
      <c r="B230" s="9">
        <v>20151231</v>
      </c>
      <c r="C230" s="12">
        <f>_xll.FDS("SPX","FG_PRICE(12/30/2015)")</f>
        <v>2063.36</v>
      </c>
      <c r="D230" s="12">
        <f>_xll.FDS("SPX","FG_PRICE(12/30/2017)")</f>
        <v>2673.61</v>
      </c>
      <c r="E230" s="15">
        <f>D230/C230-1</f>
        <v>0.2957554668114144</v>
      </c>
      <c r="F230" s="8" t="s">
        <v>1446</v>
      </c>
      <c r="G230" s="8" t="s">
        <v>1447</v>
      </c>
      <c r="H230" s="13">
        <f>_xll.FDS(G230,"FG_PRICE(12/30/2015)")</f>
        <v>29.9</v>
      </c>
      <c r="I230" s="13">
        <f>_xll.FDS(G230,"FG_PRICE(12/31/2017)")</f>
        <v>49.57</v>
      </c>
      <c r="J230" s="13">
        <f>I230/H230-1</f>
        <v>0.65785953177257528</v>
      </c>
      <c r="K230" s="13">
        <f>J230-E230</f>
        <v>0.36210406496116088</v>
      </c>
      <c r="L230" s="13">
        <f>_xll.FDS(G230,"FF_ROE(ANN_R,12/30/2015)")</f>
        <v>5.7277323409173659</v>
      </c>
      <c r="M230" s="8" t="s">
        <v>1448</v>
      </c>
      <c r="N230" s="4" t="s">
        <v>1448</v>
      </c>
      <c r="O230" s="4" t="s">
        <v>1449</v>
      </c>
      <c r="P230" s="4" t="s">
        <v>106</v>
      </c>
      <c r="Q230" s="4" t="s">
        <v>36</v>
      </c>
      <c r="R230" s="4" t="s">
        <v>61</v>
      </c>
      <c r="S230" s="4" t="s">
        <v>62</v>
      </c>
      <c r="T230" s="6" t="e">
        <v>#N/A</v>
      </c>
      <c r="U230" s="5">
        <v>49</v>
      </c>
      <c r="V230" s="5">
        <v>38</v>
      </c>
      <c r="W230" s="5">
        <v>58</v>
      </c>
      <c r="X230" s="5">
        <v>50</v>
      </c>
      <c r="Y230" s="5">
        <v>30.86</v>
      </c>
      <c r="Z230" s="5">
        <v>28.25</v>
      </c>
      <c r="AA230" s="5">
        <v>33.46</v>
      </c>
      <c r="AB230" s="5">
        <v>40.89</v>
      </c>
      <c r="AC230" s="6">
        <v>0.3</v>
      </c>
      <c r="AD230" s="6">
        <v>0.35</v>
      </c>
      <c r="AE230" s="6">
        <v>0.35</v>
      </c>
      <c r="AF230" s="4" t="s">
        <v>6296</v>
      </c>
      <c r="AG230" s="4" t="s">
        <v>6296</v>
      </c>
      <c r="AH230" s="4" t="s">
        <v>6296</v>
      </c>
      <c r="AI230" s="4" t="s">
        <v>6296</v>
      </c>
      <c r="AJ230" s="4" t="s">
        <v>6296</v>
      </c>
      <c r="AK230" s="4" t="s">
        <v>6296</v>
      </c>
      <c r="AL230" s="4" t="s">
        <v>6296</v>
      </c>
      <c r="AM230" s="4" t="s">
        <v>37</v>
      </c>
      <c r="AN230" s="4" t="s">
        <v>6296</v>
      </c>
      <c r="AO230" s="4" t="s">
        <v>6296</v>
      </c>
      <c r="AP230" s="4" t="s">
        <v>1450</v>
      </c>
      <c r="AQ230" s="4" t="s">
        <v>47</v>
      </c>
    </row>
    <row r="231" spans="1:43" ht="12.6" customHeight="1" x14ac:dyDescent="0.25">
      <c r="A231" s="8" t="s">
        <v>1451</v>
      </c>
      <c r="B231" s="9">
        <v>20151231</v>
      </c>
      <c r="C231" s="12">
        <f>_xll.FDS("SPX","FG_PRICE(12/30/2015)")</f>
        <v>2063.36</v>
      </c>
      <c r="D231" s="12">
        <f>_xll.FDS("SPX","FG_PRICE(12/30/2017)")</f>
        <v>2673.61</v>
      </c>
      <c r="E231" s="15">
        <f>D231/C231-1</f>
        <v>0.2957554668114144</v>
      </c>
      <c r="F231" s="8" t="s">
        <v>1452</v>
      </c>
      <c r="G231" s="8" t="s">
        <v>1453</v>
      </c>
      <c r="H231" s="13">
        <f>_xll.FDS(G231,"FG_PRICE(12/30/2015)")</f>
        <v>32.729999999999997</v>
      </c>
      <c r="I231" s="13">
        <f>_xll.FDS(G231,"FG_PRICE(12/31/2017)")</f>
        <v>56.39</v>
      </c>
      <c r="J231" s="13">
        <f>I231/H231-1</f>
        <v>0.72288420409410348</v>
      </c>
      <c r="K231" s="13">
        <f>J231-E231</f>
        <v>0.42712873728268907</v>
      </c>
      <c r="L231" s="13">
        <f>_xll.FDS(G231,"FF_ROE(ANN_R,12/30/2015)")</f>
        <v>35.197077455209673</v>
      </c>
      <c r="M231" s="8" t="s">
        <v>1454</v>
      </c>
      <c r="N231" s="4" t="s">
        <v>1454</v>
      </c>
      <c r="O231" s="4" t="s">
        <v>1455</v>
      </c>
      <c r="P231" s="4" t="s">
        <v>96</v>
      </c>
      <c r="Q231" s="4" t="s">
        <v>36</v>
      </c>
      <c r="R231" s="4" t="s">
        <v>61</v>
      </c>
      <c r="S231" s="4" t="s">
        <v>62</v>
      </c>
      <c r="T231" s="6" t="e">
        <v>#N/A</v>
      </c>
      <c r="U231" s="5">
        <v>62</v>
      </c>
      <c r="V231" s="5">
        <v>63</v>
      </c>
      <c r="W231" s="5">
        <v>59</v>
      </c>
      <c r="X231" s="5">
        <v>65</v>
      </c>
      <c r="Y231" s="5">
        <v>78.069999999999993</v>
      </c>
      <c r="Z231" s="5">
        <v>82.9</v>
      </c>
      <c r="AA231" s="5">
        <v>38.659999999999997</v>
      </c>
      <c r="AB231" s="5">
        <v>84.39</v>
      </c>
      <c r="AC231" s="6">
        <v>0.3</v>
      </c>
      <c r="AD231" s="6">
        <v>0.35</v>
      </c>
      <c r="AE231" s="6">
        <v>0.35</v>
      </c>
      <c r="AF231" s="4" t="s">
        <v>6296</v>
      </c>
      <c r="AG231" s="4" t="s">
        <v>6296</v>
      </c>
      <c r="AH231" s="4" t="s">
        <v>6296</v>
      </c>
      <c r="AI231" s="4" t="s">
        <v>6296</v>
      </c>
      <c r="AJ231" s="4" t="s">
        <v>6296</v>
      </c>
      <c r="AK231" s="4" t="s">
        <v>6296</v>
      </c>
      <c r="AL231" s="4" t="s">
        <v>37</v>
      </c>
      <c r="AM231" s="4" t="s">
        <v>6296</v>
      </c>
      <c r="AN231" s="4" t="s">
        <v>6296</v>
      </c>
      <c r="AO231" s="4" t="s">
        <v>6296</v>
      </c>
      <c r="AP231" s="4" t="s">
        <v>1456</v>
      </c>
      <c r="AQ231" s="4" t="s">
        <v>47</v>
      </c>
    </row>
    <row r="232" spans="1:43" ht="12.6" customHeight="1" x14ac:dyDescent="0.25">
      <c r="A232" s="8" t="s">
        <v>1245</v>
      </c>
      <c r="B232" s="9">
        <v>20151231</v>
      </c>
      <c r="C232" s="12">
        <f>_xll.FDS("SPX","FG_PRICE(12/30/2015)")</f>
        <v>2063.36</v>
      </c>
      <c r="D232" s="12">
        <f>_xll.FDS("SPX","FG_PRICE(12/30/2017)")</f>
        <v>2673.61</v>
      </c>
      <c r="E232" s="15">
        <f>D232/C232-1</f>
        <v>0.2957554668114144</v>
      </c>
      <c r="F232" s="8" t="s">
        <v>1246</v>
      </c>
      <c r="G232" s="8" t="s">
        <v>1247</v>
      </c>
      <c r="H232" s="13">
        <f>_xll.FDS(G232,"FG_PRICE(12/30/2015)")</f>
        <v>28.8</v>
      </c>
      <c r="I232" s="13">
        <f>_xll.FDS(G232,"FG_PRICE(12/31/2017)")</f>
        <v>36.08</v>
      </c>
      <c r="J232" s="13">
        <f>I232/H232-1</f>
        <v>0.25277777777777777</v>
      </c>
      <c r="K232" s="13">
        <f>J232-E232</f>
        <v>-4.2977689033636635E-2</v>
      </c>
      <c r="L232" s="13">
        <f>_xll.FDS(G232,"FF_ROE(ANN_R,12/30/2015)")</f>
        <v>24.397994918395771</v>
      </c>
      <c r="M232" s="8" t="s">
        <v>1248</v>
      </c>
      <c r="N232" s="4" t="s">
        <v>1249</v>
      </c>
      <c r="O232" s="4" t="s">
        <v>1250</v>
      </c>
      <c r="P232" s="4" t="s">
        <v>96</v>
      </c>
      <c r="Q232" s="4" t="s">
        <v>36</v>
      </c>
      <c r="R232" s="4" t="s">
        <v>61</v>
      </c>
      <c r="S232" s="4" t="s">
        <v>62</v>
      </c>
      <c r="T232" s="6" t="e">
        <v>#N/A</v>
      </c>
      <c r="U232" s="5">
        <v>44</v>
      </c>
      <c r="V232" s="5">
        <v>33</v>
      </c>
      <c r="W232" s="5">
        <v>50</v>
      </c>
      <c r="X232" s="5">
        <v>48</v>
      </c>
      <c r="Y232" s="6">
        <v>3.72</v>
      </c>
      <c r="Z232" s="6">
        <v>7.43</v>
      </c>
      <c r="AA232" s="6">
        <v>3.72</v>
      </c>
      <c r="AB232" s="5">
        <v>27.88</v>
      </c>
      <c r="AC232" s="6">
        <v>0.3</v>
      </c>
      <c r="AD232" s="6">
        <v>0.35</v>
      </c>
      <c r="AE232" s="6">
        <v>0.35</v>
      </c>
      <c r="AF232" s="4" t="s">
        <v>6296</v>
      </c>
      <c r="AG232" s="4" t="s">
        <v>6296</v>
      </c>
      <c r="AH232" s="4" t="s">
        <v>6296</v>
      </c>
      <c r="AI232" s="4" t="s">
        <v>6296</v>
      </c>
      <c r="AJ232" s="4" t="s">
        <v>6296</v>
      </c>
      <c r="AK232" s="4" t="s">
        <v>6296</v>
      </c>
      <c r="AL232" s="4" t="s">
        <v>6296</v>
      </c>
      <c r="AM232" s="4" t="s">
        <v>6296</v>
      </c>
      <c r="AN232" s="4" t="s">
        <v>6296</v>
      </c>
      <c r="AO232" s="4" t="s">
        <v>6296</v>
      </c>
      <c r="AP232" s="4" t="s">
        <v>1251</v>
      </c>
      <c r="AQ232" s="4" t="s">
        <v>47</v>
      </c>
    </row>
    <row r="233" spans="1:43" ht="12.6" customHeight="1" x14ac:dyDescent="0.25">
      <c r="A233" s="8" t="s">
        <v>4538</v>
      </c>
      <c r="B233" s="9">
        <v>20151231</v>
      </c>
      <c r="C233" s="12">
        <f>_xll.FDS("SPX","FG_PRICE(12/30/2015)")</f>
        <v>2063.36</v>
      </c>
      <c r="D233" s="12">
        <f>_xll.FDS("SPX","FG_PRICE(12/30/2017)")</f>
        <v>2673.61</v>
      </c>
      <c r="E233" s="15">
        <f>D233/C233-1</f>
        <v>0.2957554668114144</v>
      </c>
      <c r="F233" s="8" t="s">
        <v>4539</v>
      </c>
      <c r="G233" s="8" t="s">
        <v>4540</v>
      </c>
      <c r="H233" s="13">
        <f>_xll.FDS(G233,"FG_PRICE(12/30/2015)")</f>
        <v>29.08</v>
      </c>
      <c r="I233" s="13">
        <f>_xll.FDS(G233,"FG_PRICE(12/31/2017)")</f>
        <v>19.5</v>
      </c>
      <c r="J233" s="13">
        <f>I233/H233-1</f>
        <v>-0.32943603851444292</v>
      </c>
      <c r="K233" s="13">
        <f>J233-E233</f>
        <v>-0.62519150532585732</v>
      </c>
      <c r="L233" s="13">
        <f>_xll.FDS(G233,"FF_ROE(ANN_R,12/30/2015)")</f>
        <v>16.304658259052719</v>
      </c>
      <c r="M233" s="8" t="s">
        <v>4541</v>
      </c>
      <c r="N233" s="4" t="s">
        <v>4542</v>
      </c>
      <c r="O233" s="4" t="s">
        <v>4543</v>
      </c>
      <c r="P233" s="4" t="s">
        <v>96</v>
      </c>
      <c r="Q233" s="4" t="s">
        <v>36</v>
      </c>
      <c r="R233" s="4" t="s">
        <v>61</v>
      </c>
      <c r="S233" s="4" t="s">
        <v>62</v>
      </c>
      <c r="T233" s="6" t="e">
        <v>#N/A</v>
      </c>
      <c r="U233" s="5">
        <v>46</v>
      </c>
      <c r="V233" s="5">
        <v>33</v>
      </c>
      <c r="W233" s="5">
        <v>61</v>
      </c>
      <c r="X233" s="5">
        <v>42</v>
      </c>
      <c r="Y233" s="5">
        <v>11.9</v>
      </c>
      <c r="Z233" s="6">
        <v>7.43</v>
      </c>
      <c r="AA233" s="5">
        <v>52.79</v>
      </c>
      <c r="AB233" s="6">
        <v>4.83</v>
      </c>
      <c r="AC233" s="6">
        <v>0.3</v>
      </c>
      <c r="AD233" s="6">
        <v>0.35</v>
      </c>
      <c r="AE233" s="6">
        <v>0.35</v>
      </c>
      <c r="AF233" s="4" t="s">
        <v>6296</v>
      </c>
      <c r="AG233" s="4" t="s">
        <v>6296</v>
      </c>
      <c r="AH233" s="4" t="s">
        <v>6296</v>
      </c>
      <c r="AI233" s="4" t="s">
        <v>6296</v>
      </c>
      <c r="AJ233" s="4" t="s">
        <v>6296</v>
      </c>
      <c r="AK233" s="4" t="s">
        <v>6296</v>
      </c>
      <c r="AL233" s="4" t="s">
        <v>6296</v>
      </c>
      <c r="AM233" s="4" t="s">
        <v>6296</v>
      </c>
      <c r="AN233" s="4" t="s">
        <v>6296</v>
      </c>
      <c r="AO233" s="4" t="s">
        <v>6296</v>
      </c>
      <c r="AP233" s="4" t="s">
        <v>4544</v>
      </c>
      <c r="AQ233" s="4" t="s">
        <v>47</v>
      </c>
    </row>
    <row r="234" spans="1:43" ht="12.6" customHeight="1" x14ac:dyDescent="0.25">
      <c r="A234" s="8" t="s">
        <v>1835</v>
      </c>
      <c r="B234" s="9">
        <v>20151231</v>
      </c>
      <c r="C234" s="12">
        <f>_xll.FDS("SPX","FG_PRICE(12/30/2015)")</f>
        <v>2063.36</v>
      </c>
      <c r="D234" s="12">
        <f>_xll.FDS("SPX","FG_PRICE(12/30/2017)")</f>
        <v>2673.61</v>
      </c>
      <c r="E234" s="15">
        <f>D234/C234-1</f>
        <v>0.2957554668114144</v>
      </c>
      <c r="F234" s="8" t="s">
        <v>1836</v>
      </c>
      <c r="G234" s="8" t="s">
        <v>1837</v>
      </c>
      <c r="H234" s="13">
        <f>_xll.FDS(G234,"FG_PRICE(12/30/2015)")</f>
        <v>182.01</v>
      </c>
      <c r="I234" s="13">
        <f>_xll.FDS(G234,"FG_PRICE(12/31/2017)")</f>
        <v>254.76</v>
      </c>
      <c r="J234" s="13">
        <f>I234/H234-1</f>
        <v>0.39970331300478001</v>
      </c>
      <c r="K234" s="13">
        <f>J234-E234</f>
        <v>0.10394784619336561</v>
      </c>
      <c r="L234" s="13">
        <f>_xll.FDS(G234,"FF_ROE(ANN_R,12/30/2015)")</f>
        <v>10.513195753546981</v>
      </c>
      <c r="M234" s="8" t="s">
        <v>1838</v>
      </c>
      <c r="N234" s="4" t="s">
        <v>1839</v>
      </c>
      <c r="O234" s="4" t="s">
        <v>1840</v>
      </c>
      <c r="P234" s="4" t="s">
        <v>96</v>
      </c>
      <c r="Q234" s="4" t="s">
        <v>36</v>
      </c>
      <c r="R234" s="4" t="s">
        <v>61</v>
      </c>
      <c r="S234" s="4" t="s">
        <v>62</v>
      </c>
      <c r="T234" s="6" t="e">
        <v>#N/A</v>
      </c>
      <c r="U234" s="5">
        <v>70</v>
      </c>
      <c r="V234" s="5">
        <v>84</v>
      </c>
      <c r="W234" s="5">
        <v>66</v>
      </c>
      <c r="X234" s="5">
        <v>61</v>
      </c>
      <c r="Y234" s="5">
        <v>91.82</v>
      </c>
      <c r="Z234" s="5">
        <v>98.88</v>
      </c>
      <c r="AA234" s="5">
        <v>78.069999999999993</v>
      </c>
      <c r="AB234" s="5">
        <v>78.44</v>
      </c>
      <c r="AC234" s="6">
        <v>0.3</v>
      </c>
      <c r="AD234" s="6">
        <v>0.35</v>
      </c>
      <c r="AE234" s="6">
        <v>0.35</v>
      </c>
      <c r="AF234" s="4" t="s">
        <v>6296</v>
      </c>
      <c r="AG234" s="4" t="s">
        <v>6296</v>
      </c>
      <c r="AH234" s="4" t="s">
        <v>37</v>
      </c>
      <c r="AI234" s="4" t="s">
        <v>37</v>
      </c>
      <c r="AJ234" s="4" t="s">
        <v>6296</v>
      </c>
      <c r="AK234" s="4" t="s">
        <v>46</v>
      </c>
      <c r="AL234" s="4" t="s">
        <v>46</v>
      </c>
      <c r="AM234" s="4" t="s">
        <v>46</v>
      </c>
      <c r="AN234" s="4" t="s">
        <v>37</v>
      </c>
      <c r="AO234" s="4" t="s">
        <v>42</v>
      </c>
      <c r="AP234" s="4" t="s">
        <v>1841</v>
      </c>
      <c r="AQ234" s="4" t="s">
        <v>47</v>
      </c>
    </row>
    <row r="235" spans="1:43" ht="12.6" customHeight="1" x14ac:dyDescent="0.25">
      <c r="A235" s="8" t="s">
        <v>4895</v>
      </c>
      <c r="B235" s="9">
        <v>20151231</v>
      </c>
      <c r="C235" s="12">
        <f>_xll.FDS("SPX","FG_PRICE(12/30/2015)")</f>
        <v>2063.36</v>
      </c>
      <c r="D235" s="12">
        <f>_xll.FDS("SPX","FG_PRICE(12/30/2017)")</f>
        <v>2673.61</v>
      </c>
      <c r="E235" s="15">
        <f>D235/C235-1</f>
        <v>0.2957554668114144</v>
      </c>
      <c r="F235" s="8" t="s">
        <v>4896</v>
      </c>
      <c r="G235" s="8" t="s">
        <v>4897</v>
      </c>
      <c r="H235" s="13">
        <f>_xll.FDS(G235,"FG_PRICE(12/30/2015)")</f>
        <v>43.68</v>
      </c>
      <c r="I235" s="13">
        <f>_xll.FDS(G235,"FG_PRICE(12/31/2017)")</f>
        <v>59.21</v>
      </c>
      <c r="J235" s="13">
        <f>I235/H235-1</f>
        <v>0.35554029304029311</v>
      </c>
      <c r="K235" s="13">
        <f>J235-E235</f>
        <v>5.9784826228878707E-2</v>
      </c>
      <c r="L235" s="13">
        <f>_xll.FDS(G235,"FF_ROE(ANN_R,12/30/2015)")</f>
        <v>6.044158882944215</v>
      </c>
      <c r="M235" s="8" t="s">
        <v>4898</v>
      </c>
      <c r="N235" s="4" t="s">
        <v>4899</v>
      </c>
      <c r="O235" s="4" t="s">
        <v>4900</v>
      </c>
      <c r="P235" s="4" t="s">
        <v>106</v>
      </c>
      <c r="Q235" s="4" t="s">
        <v>36</v>
      </c>
      <c r="R235" s="4" t="s">
        <v>61</v>
      </c>
      <c r="S235" s="4" t="s">
        <v>62</v>
      </c>
      <c r="T235" s="6" t="e">
        <v>#N/A</v>
      </c>
      <c r="U235" s="5">
        <v>61</v>
      </c>
      <c r="V235" s="5">
        <v>73</v>
      </c>
      <c r="W235" s="5">
        <v>61</v>
      </c>
      <c r="X235" s="5">
        <v>49</v>
      </c>
      <c r="Y235" s="5">
        <v>76.58</v>
      </c>
      <c r="Z235" s="5">
        <v>92.19</v>
      </c>
      <c r="AA235" s="5">
        <v>52.79</v>
      </c>
      <c r="AB235" s="5">
        <v>31.6</v>
      </c>
      <c r="AC235" s="6">
        <v>0.3</v>
      </c>
      <c r="AD235" s="6">
        <v>0.35</v>
      </c>
      <c r="AE235" s="6">
        <v>0.35</v>
      </c>
      <c r="AF235" s="4" t="s">
        <v>6296</v>
      </c>
      <c r="AG235" s="4" t="s">
        <v>6296</v>
      </c>
      <c r="AH235" s="4" t="s">
        <v>6296</v>
      </c>
      <c r="AI235" s="4" t="s">
        <v>6296</v>
      </c>
      <c r="AJ235" s="4" t="s">
        <v>6296</v>
      </c>
      <c r="AK235" s="4" t="s">
        <v>6296</v>
      </c>
      <c r="AL235" s="4" t="s">
        <v>6296</v>
      </c>
      <c r="AM235" s="4" t="s">
        <v>6296</v>
      </c>
      <c r="AN235" s="4" t="s">
        <v>6296</v>
      </c>
      <c r="AO235" s="4" t="s">
        <v>6296</v>
      </c>
      <c r="AP235" s="4" t="s">
        <v>4901</v>
      </c>
      <c r="AQ235" s="4" t="s">
        <v>47</v>
      </c>
    </row>
    <row r="236" spans="1:43" ht="12.6" customHeight="1" x14ac:dyDescent="0.25">
      <c r="A236" s="8" t="s">
        <v>5820</v>
      </c>
      <c r="B236" s="9">
        <v>20151231</v>
      </c>
      <c r="C236" s="12">
        <f>_xll.FDS("SPX","FG_PRICE(12/30/2015)")</f>
        <v>2063.36</v>
      </c>
      <c r="D236" s="12">
        <f>_xll.FDS("SPX","FG_PRICE(12/30/2017)")</f>
        <v>2673.61</v>
      </c>
      <c r="E236" s="15">
        <f>D236/C236-1</f>
        <v>0.2957554668114144</v>
      </c>
      <c r="F236" s="8" t="s">
        <v>5821</v>
      </c>
      <c r="G236" s="8" t="s">
        <v>5822</v>
      </c>
      <c r="H236" s="13">
        <f>_xll.FDS(G236,"FG_PRICE(12/30/2015)")</f>
        <v>51.385998000000001</v>
      </c>
      <c r="I236" s="13">
        <f>_xll.FDS(G236,"FG_PRICE(12/31/2017)")</f>
        <v>70.56</v>
      </c>
      <c r="J236" s="13">
        <f>I236/H236-1</f>
        <v>0.37313670545038358</v>
      </c>
      <c r="K236" s="13">
        <f>J236-E236</f>
        <v>7.7381238638969174E-2</v>
      </c>
      <c r="L236" s="13">
        <f>_xll.FDS(G236,"FF_ROE(ANN_R,12/30/2015)")</f>
        <v>7.7777332317684316</v>
      </c>
      <c r="M236" s="8" t="s">
        <v>5823</v>
      </c>
      <c r="N236" s="4" t="s">
        <v>5824</v>
      </c>
      <c r="O236" s="4" t="s">
        <v>5825</v>
      </c>
      <c r="P236" s="4" t="s">
        <v>96</v>
      </c>
      <c r="Q236" s="4" t="s">
        <v>36</v>
      </c>
      <c r="R236" s="4" t="s">
        <v>61</v>
      </c>
      <c r="S236" s="4" t="s">
        <v>62</v>
      </c>
      <c r="T236" s="6" t="e">
        <v>#N/A</v>
      </c>
      <c r="U236" s="5">
        <v>53</v>
      </c>
      <c r="V236" s="5">
        <v>56</v>
      </c>
      <c r="W236" s="5">
        <v>55</v>
      </c>
      <c r="X236" s="5">
        <v>50</v>
      </c>
      <c r="Y236" s="5">
        <v>53.16</v>
      </c>
      <c r="Z236" s="5">
        <v>74.349999999999994</v>
      </c>
      <c r="AA236" s="5">
        <v>14.5</v>
      </c>
      <c r="AB236" s="5">
        <v>40.89</v>
      </c>
      <c r="AC236" s="6">
        <v>0.3</v>
      </c>
      <c r="AD236" s="6">
        <v>0.35</v>
      </c>
      <c r="AE236" s="6">
        <v>0.35</v>
      </c>
      <c r="AF236" s="4" t="s">
        <v>6296</v>
      </c>
      <c r="AG236" s="4" t="s">
        <v>6296</v>
      </c>
      <c r="AH236" s="4" t="s">
        <v>6296</v>
      </c>
      <c r="AI236" s="4" t="s">
        <v>6296</v>
      </c>
      <c r="AJ236" s="4" t="s">
        <v>6296</v>
      </c>
      <c r="AK236" s="4" t="s">
        <v>37</v>
      </c>
      <c r="AL236" s="4" t="s">
        <v>6296</v>
      </c>
      <c r="AM236" s="4" t="s">
        <v>37</v>
      </c>
      <c r="AN236" s="4" t="s">
        <v>42</v>
      </c>
      <c r="AO236" s="4" t="s">
        <v>6296</v>
      </c>
      <c r="AP236" s="4" t="s">
        <v>5826</v>
      </c>
      <c r="AQ236" s="4" t="s">
        <v>47</v>
      </c>
    </row>
    <row r="237" spans="1:43" ht="12.6" customHeight="1" x14ac:dyDescent="0.25">
      <c r="A237" s="8" t="s">
        <v>2199</v>
      </c>
      <c r="B237" s="9">
        <v>20151231</v>
      </c>
      <c r="C237" s="12">
        <f>_xll.FDS("SPX","FG_PRICE(12/30/2015)")</f>
        <v>2063.36</v>
      </c>
      <c r="D237" s="12">
        <f>_xll.FDS("SPX","FG_PRICE(12/30/2017)")</f>
        <v>2673.61</v>
      </c>
      <c r="E237" s="15">
        <f>D237/C237-1</f>
        <v>0.2957554668114144</v>
      </c>
      <c r="F237" s="8" t="s">
        <v>2200</v>
      </c>
      <c r="G237" s="8" t="s">
        <v>2201</v>
      </c>
      <c r="H237" s="13">
        <f>_xll.FDS(G237,"FG_PRICE(12/30/2015)")</f>
        <v>16.97</v>
      </c>
      <c r="I237" s="13">
        <f>_xll.FDS(G237,"FG_PRICE(12/31/2017)")</f>
        <v>19.25</v>
      </c>
      <c r="J237" s="13">
        <f>I237/H237-1</f>
        <v>0.13435474366529188</v>
      </c>
      <c r="K237" s="13">
        <f>J237-E237</f>
        <v>-0.16140072314612253</v>
      </c>
      <c r="L237" s="13">
        <f>_xll.FDS(G237,"FF_ROE(ANN_R,12/30/2015)")</f>
        <v>12.21855687924055</v>
      </c>
      <c r="M237" s="8" t="s">
        <v>2202</v>
      </c>
      <c r="N237" s="4" t="s">
        <v>2203</v>
      </c>
      <c r="O237" s="4" t="s">
        <v>2204</v>
      </c>
      <c r="P237" s="4" t="s">
        <v>96</v>
      </c>
      <c r="Q237" s="4" t="s">
        <v>36</v>
      </c>
      <c r="R237" s="4" t="s">
        <v>61</v>
      </c>
      <c r="S237" s="4" t="s">
        <v>62</v>
      </c>
      <c r="T237" s="6" t="e">
        <v>#N/A</v>
      </c>
      <c r="U237" s="5">
        <v>48</v>
      </c>
      <c r="V237" s="5">
        <v>32</v>
      </c>
      <c r="W237" s="5">
        <v>62</v>
      </c>
      <c r="X237" s="5">
        <v>48</v>
      </c>
      <c r="Y237" s="5">
        <v>23.79</v>
      </c>
      <c r="Z237" s="6">
        <v>0.37</v>
      </c>
      <c r="AA237" s="5">
        <v>59.85</v>
      </c>
      <c r="AB237" s="5">
        <v>27.88</v>
      </c>
      <c r="AC237" s="6">
        <v>0.3</v>
      </c>
      <c r="AD237" s="6">
        <v>0.35</v>
      </c>
      <c r="AE237" s="6">
        <v>0.35</v>
      </c>
      <c r="AF237" s="4" t="s">
        <v>6296</v>
      </c>
      <c r="AG237" s="4" t="s">
        <v>6296</v>
      </c>
      <c r="AH237" s="4" t="s">
        <v>6296</v>
      </c>
      <c r="AI237" s="4" t="s">
        <v>6296</v>
      </c>
      <c r="AJ237" s="4" t="s">
        <v>6296</v>
      </c>
      <c r="AK237" s="4" t="s">
        <v>6296</v>
      </c>
      <c r="AL237" s="4" t="s">
        <v>6296</v>
      </c>
      <c r="AM237" s="4" t="s">
        <v>46</v>
      </c>
      <c r="AN237" s="4" t="s">
        <v>6296</v>
      </c>
      <c r="AO237" s="4" t="s">
        <v>6296</v>
      </c>
      <c r="AP237" s="4" t="s">
        <v>2205</v>
      </c>
      <c r="AQ237" s="4" t="s">
        <v>47</v>
      </c>
    </row>
    <row r="238" spans="1:43" ht="12.6" customHeight="1" x14ac:dyDescent="0.25">
      <c r="A238" s="8" t="s">
        <v>4963</v>
      </c>
      <c r="B238" s="9">
        <v>20151231</v>
      </c>
      <c r="C238" s="12">
        <f>_xll.FDS("SPX","FG_PRICE(12/30/2015)")</f>
        <v>2063.36</v>
      </c>
      <c r="D238" s="12">
        <f>_xll.FDS("SPX","FG_PRICE(12/30/2017)")</f>
        <v>2673.61</v>
      </c>
      <c r="E238" s="15">
        <f>D238/C238-1</f>
        <v>0.2957554668114144</v>
      </c>
      <c r="F238" s="8" t="s">
        <v>4964</v>
      </c>
      <c r="G238" s="8" t="s">
        <v>4965</v>
      </c>
      <c r="H238" s="13">
        <f>_xll.FDS(G238,"FG_PRICE(12/30/2015)")</f>
        <v>33.380000000000003</v>
      </c>
      <c r="I238" s="13">
        <f>_xll.FDS(G238,"FG_PRICE(12/31/2017)")</f>
        <v>36.54</v>
      </c>
      <c r="J238" s="13">
        <f>I238/H238-1</f>
        <v>9.4667465548232466E-2</v>
      </c>
      <c r="K238" s="13">
        <f>J238-E238</f>
        <v>-0.20108800126318194</v>
      </c>
      <c r="L238" s="13">
        <f>_xll.FDS(G238,"FF_ROE(ANN_R,12/30/2015)")</f>
        <v>11.861040996255671</v>
      </c>
      <c r="M238" s="8" t="s">
        <v>4966</v>
      </c>
      <c r="N238" s="4" t="s">
        <v>4966</v>
      </c>
      <c r="O238" s="4" t="s">
        <v>4967</v>
      </c>
      <c r="P238" s="4" t="s">
        <v>96</v>
      </c>
      <c r="Q238" s="4" t="s">
        <v>36</v>
      </c>
      <c r="R238" s="4" t="s">
        <v>61</v>
      </c>
      <c r="S238" s="4" t="s">
        <v>62</v>
      </c>
      <c r="T238" s="6" t="e">
        <v>#N/A</v>
      </c>
      <c r="U238" s="5">
        <v>58</v>
      </c>
      <c r="V238" s="5">
        <v>45</v>
      </c>
      <c r="W238" s="5">
        <v>62</v>
      </c>
      <c r="X238" s="5">
        <v>64</v>
      </c>
      <c r="Y238" s="5">
        <v>70.260000000000005</v>
      </c>
      <c r="Z238" s="5">
        <v>55.02</v>
      </c>
      <c r="AA238" s="5">
        <v>59.85</v>
      </c>
      <c r="AB238" s="5">
        <v>83.64</v>
      </c>
      <c r="AC238" s="6">
        <v>0.3</v>
      </c>
      <c r="AD238" s="6">
        <v>0.35</v>
      </c>
      <c r="AE238" s="6">
        <v>0.35</v>
      </c>
      <c r="AF238" s="4" t="s">
        <v>6296</v>
      </c>
      <c r="AG238" s="4" t="s">
        <v>6296</v>
      </c>
      <c r="AH238" s="4" t="s">
        <v>37</v>
      </c>
      <c r="AI238" s="4" t="s">
        <v>6296</v>
      </c>
      <c r="AJ238" s="4" t="s">
        <v>6296</v>
      </c>
      <c r="AK238" s="4" t="s">
        <v>6296</v>
      </c>
      <c r="AL238" s="4" t="s">
        <v>37</v>
      </c>
      <c r="AM238" s="4" t="s">
        <v>6296</v>
      </c>
      <c r="AN238" s="4" t="s">
        <v>6296</v>
      </c>
      <c r="AO238" s="4" t="s">
        <v>6296</v>
      </c>
      <c r="AP238" s="4" t="s">
        <v>4968</v>
      </c>
      <c r="AQ238" s="4" t="s">
        <v>47</v>
      </c>
    </row>
    <row r="239" spans="1:43" ht="12.6" customHeight="1" x14ac:dyDescent="0.25">
      <c r="A239" s="8" t="s">
        <v>2754</v>
      </c>
      <c r="B239" s="9">
        <v>20151231</v>
      </c>
      <c r="C239" s="12">
        <f>_xll.FDS("SPX","FG_PRICE(12/30/2015)")</f>
        <v>2063.36</v>
      </c>
      <c r="D239" s="12">
        <f>_xll.FDS("SPX","FG_PRICE(12/30/2017)")</f>
        <v>2673.61</v>
      </c>
      <c r="E239" s="15">
        <f>D239/C239-1</f>
        <v>0.2957554668114144</v>
      </c>
      <c r="F239" s="8" t="s">
        <v>2755</v>
      </c>
      <c r="G239" s="8" t="s">
        <v>2756</v>
      </c>
      <c r="H239" s="13">
        <f>_xll.FDS(G239,"FG_PRICE(12/30/2015)")</f>
        <v>14.16</v>
      </c>
      <c r="I239" s="13" t="e">
        <f>_xll.FDS(G239,"FG_PRICE(12/31/2017)")</f>
        <v>#N/A</v>
      </c>
      <c r="J239" s="13" t="e">
        <f>I239/H239-1</f>
        <v>#N/A</v>
      </c>
      <c r="K239" s="13" t="e">
        <f>J239-E239</f>
        <v>#N/A</v>
      </c>
      <c r="L239" s="13">
        <f>_xll.FDS(G239,"FF_ROE(ANN_R,12/30/2015)")</f>
        <v>9.8301290492494093</v>
      </c>
      <c r="M239" s="8" t="s">
        <v>2757</v>
      </c>
      <c r="N239" s="4" t="s">
        <v>2757</v>
      </c>
      <c r="O239" s="4" t="s">
        <v>2758</v>
      </c>
      <c r="P239" s="4" t="s">
        <v>96</v>
      </c>
      <c r="Q239" s="4" t="s">
        <v>36</v>
      </c>
      <c r="R239" s="4" t="s">
        <v>61</v>
      </c>
      <c r="S239" s="4" t="s">
        <v>62</v>
      </c>
      <c r="T239" s="6" t="e">
        <v>#N/A</v>
      </c>
      <c r="U239" s="5">
        <v>48</v>
      </c>
      <c r="V239" s="5">
        <v>33</v>
      </c>
      <c r="W239" s="5">
        <v>55</v>
      </c>
      <c r="X239" s="5">
        <v>53</v>
      </c>
      <c r="Y239" s="5">
        <v>23.79</v>
      </c>
      <c r="Z239" s="6">
        <v>7.43</v>
      </c>
      <c r="AA239" s="5">
        <v>14.5</v>
      </c>
      <c r="AB239" s="5">
        <v>54.65</v>
      </c>
      <c r="AC239" s="6">
        <v>0.3</v>
      </c>
      <c r="AD239" s="6">
        <v>0.35</v>
      </c>
      <c r="AE239" s="6">
        <v>0.35</v>
      </c>
      <c r="AF239" s="4" t="s">
        <v>6296</v>
      </c>
      <c r="AG239" s="4" t="s">
        <v>6296</v>
      </c>
      <c r="AH239" s="4" t="s">
        <v>6296</v>
      </c>
      <c r="AI239" s="4" t="s">
        <v>6296</v>
      </c>
      <c r="AJ239" s="4" t="s">
        <v>6296</v>
      </c>
      <c r="AK239" s="4" t="s">
        <v>6296</v>
      </c>
      <c r="AL239" s="4" t="s">
        <v>37</v>
      </c>
      <c r="AM239" s="4" t="s">
        <v>6296</v>
      </c>
      <c r="AN239" s="4" t="s">
        <v>6296</v>
      </c>
      <c r="AO239" s="4" t="s">
        <v>6296</v>
      </c>
      <c r="AP239" s="4" t="s">
        <v>2759</v>
      </c>
      <c r="AQ239" s="4" t="s">
        <v>47</v>
      </c>
    </row>
    <row r="240" spans="1:43" ht="12.6" customHeight="1" x14ac:dyDescent="0.25">
      <c r="A240" s="8" t="s">
        <v>6493</v>
      </c>
      <c r="B240" s="9">
        <v>20151231</v>
      </c>
      <c r="C240" s="12">
        <f>_xll.FDS("SPX","FG_PRICE(12/30/2015)")</f>
        <v>2063.36</v>
      </c>
      <c r="D240" s="12">
        <f>_xll.FDS("SPX","FG_PRICE(12/30/2017)")</f>
        <v>2673.61</v>
      </c>
      <c r="E240" s="15">
        <f>D240/C240-1</f>
        <v>0.2957554668114144</v>
      </c>
      <c r="F240" s="8" t="s">
        <v>6494</v>
      </c>
      <c r="G240" s="8" t="s">
        <v>6495</v>
      </c>
      <c r="H240" s="13">
        <f>_xll.FDS(G240,"FG_PRICE(12/30/2015)")</f>
        <v>15.61</v>
      </c>
      <c r="I240" s="13">
        <f>_xll.FDS(G240,"FG_PRICE(12/31/2017)")</f>
        <v>21.06</v>
      </c>
      <c r="J240" s="13">
        <f>I240/H240-1</f>
        <v>0.34913516976297232</v>
      </c>
      <c r="K240" s="13">
        <f>J240-E240</f>
        <v>5.3379702951557917E-2</v>
      </c>
      <c r="L240" s="13">
        <f>_xll.FDS(G240,"FF_ROE(ANN_R,12/30/2015)")</f>
        <v>11.786023938452511</v>
      </c>
      <c r="M240" s="8" t="s">
        <v>6496</v>
      </c>
      <c r="N240" s="4" t="s">
        <v>6496</v>
      </c>
      <c r="O240" s="4" t="s">
        <v>6497</v>
      </c>
      <c r="P240" s="4" t="s">
        <v>96</v>
      </c>
      <c r="Q240" s="4" t="s">
        <v>36</v>
      </c>
      <c r="R240" s="4" t="s">
        <v>61</v>
      </c>
      <c r="S240" s="4" t="s">
        <v>62</v>
      </c>
      <c r="T240" s="6" t="e">
        <v>#N/A</v>
      </c>
      <c r="U240" s="5">
        <v>48</v>
      </c>
      <c r="V240" s="5">
        <v>33</v>
      </c>
      <c r="W240" s="5">
        <v>56</v>
      </c>
      <c r="X240" s="5">
        <v>52</v>
      </c>
      <c r="Y240" s="5">
        <v>23.79</v>
      </c>
      <c r="Z240" s="6">
        <v>7.43</v>
      </c>
      <c r="AA240" s="5">
        <v>17.84</v>
      </c>
      <c r="AB240" s="5">
        <v>50.56</v>
      </c>
      <c r="AC240" s="6">
        <v>0.3</v>
      </c>
      <c r="AD240" s="6">
        <v>0.35</v>
      </c>
      <c r="AE240" s="6">
        <v>0.35</v>
      </c>
      <c r="AF240" s="4" t="s">
        <v>6296</v>
      </c>
      <c r="AG240" s="4" t="s">
        <v>6296</v>
      </c>
      <c r="AH240" s="4" t="s">
        <v>6296</v>
      </c>
      <c r="AI240" s="4" t="s">
        <v>6296</v>
      </c>
      <c r="AJ240" s="4" t="s">
        <v>6296</v>
      </c>
      <c r="AK240" s="4" t="s">
        <v>37</v>
      </c>
      <c r="AL240" s="4" t="s">
        <v>37</v>
      </c>
      <c r="AM240" s="4" t="s">
        <v>37</v>
      </c>
      <c r="AN240" s="4" t="s">
        <v>42</v>
      </c>
      <c r="AO240" s="4" t="s">
        <v>6296</v>
      </c>
      <c r="AP240" s="4" t="s">
        <v>6498</v>
      </c>
      <c r="AQ240" s="4" t="s">
        <v>47</v>
      </c>
    </row>
    <row r="241" spans="1:43" ht="12.6" customHeight="1" x14ac:dyDescent="0.25">
      <c r="A241" s="8" t="s">
        <v>2371</v>
      </c>
      <c r="B241" s="9">
        <v>20151231</v>
      </c>
      <c r="C241" s="12">
        <f>_xll.FDS("SPX","FG_PRICE(12/30/2015)")</f>
        <v>2063.36</v>
      </c>
      <c r="D241" s="12">
        <f>_xll.FDS("SPX","FG_PRICE(12/30/2017)")</f>
        <v>2673.61</v>
      </c>
      <c r="E241" s="15">
        <f>D241/C241-1</f>
        <v>0.2957554668114144</v>
      </c>
      <c r="F241" s="8" t="s">
        <v>2372</v>
      </c>
      <c r="G241" s="8" t="s">
        <v>2373</v>
      </c>
      <c r="H241" s="13">
        <f>_xll.FDS(G241,"FG_PRICE(12/30/2015)")</f>
        <v>39.35</v>
      </c>
      <c r="I241" s="13">
        <f>_xll.FDS(G241,"FG_PRICE(12/31/2017)")</f>
        <v>41.98</v>
      </c>
      <c r="J241" s="13">
        <f>I241/H241-1</f>
        <v>6.683608640406602E-2</v>
      </c>
      <c r="K241" s="13">
        <f>J241-E241</f>
        <v>-0.22891938040734838</v>
      </c>
      <c r="L241" s="13">
        <f>_xll.FDS(G241,"FF_ROE(ANN_R,12/30/2015)")</f>
        <v>5.0108446326533382</v>
      </c>
      <c r="M241" s="8" t="s">
        <v>2374</v>
      </c>
      <c r="N241" s="4" t="s">
        <v>2375</v>
      </c>
      <c r="O241" s="4" t="s">
        <v>2376</v>
      </c>
      <c r="P241" s="4" t="s">
        <v>96</v>
      </c>
      <c r="Q241" s="4" t="s">
        <v>36</v>
      </c>
      <c r="R241" s="4" t="s">
        <v>61</v>
      </c>
      <c r="S241" s="4" t="s">
        <v>62</v>
      </c>
      <c r="T241" s="6" t="e">
        <v>#N/A</v>
      </c>
      <c r="U241" s="5">
        <v>65</v>
      </c>
      <c r="V241" s="5">
        <v>71</v>
      </c>
      <c r="W241" s="5">
        <v>65</v>
      </c>
      <c r="X241" s="5">
        <v>58</v>
      </c>
      <c r="Y241" s="5">
        <v>83.64</v>
      </c>
      <c r="Z241" s="5">
        <v>88.85</v>
      </c>
      <c r="AA241" s="5">
        <v>73.61</v>
      </c>
      <c r="AB241" s="5">
        <v>69.14</v>
      </c>
      <c r="AC241" s="6">
        <v>0.3</v>
      </c>
      <c r="AD241" s="6">
        <v>0.35</v>
      </c>
      <c r="AE241" s="6">
        <v>0.35</v>
      </c>
      <c r="AF241" s="4" t="s">
        <v>6296</v>
      </c>
      <c r="AG241" s="4" t="s">
        <v>6296</v>
      </c>
      <c r="AH241" s="4" t="s">
        <v>6296</v>
      </c>
      <c r="AI241" s="4" t="s">
        <v>6296</v>
      </c>
      <c r="AJ241" s="4" t="s">
        <v>6296</v>
      </c>
      <c r="AK241" s="4" t="s">
        <v>42</v>
      </c>
      <c r="AL241" s="4" t="s">
        <v>37</v>
      </c>
      <c r="AM241" s="4" t="s">
        <v>6296</v>
      </c>
      <c r="AN241" s="4" t="s">
        <v>6296</v>
      </c>
      <c r="AO241" s="4" t="s">
        <v>6296</v>
      </c>
      <c r="AP241" s="4" t="s">
        <v>2377</v>
      </c>
      <c r="AQ241" s="4" t="s">
        <v>47</v>
      </c>
    </row>
    <row r="242" spans="1:43" ht="12.6" customHeight="1" x14ac:dyDescent="0.25">
      <c r="A242" s="8" t="s">
        <v>5452</v>
      </c>
      <c r="B242" s="9">
        <v>20151231</v>
      </c>
      <c r="C242" s="12">
        <f>_xll.FDS("SPX","FG_PRICE(12/30/2015)")</f>
        <v>2063.36</v>
      </c>
      <c r="D242" s="12">
        <f>_xll.FDS("SPX","FG_PRICE(12/30/2017)")</f>
        <v>2673.61</v>
      </c>
      <c r="E242" s="15">
        <f>D242/C242-1</f>
        <v>0.2957554668114144</v>
      </c>
      <c r="F242" s="8" t="s">
        <v>5453</v>
      </c>
      <c r="G242" s="8" t="s">
        <v>5454</v>
      </c>
      <c r="H242" s="13">
        <f>_xll.FDS(G242,"FG_PRICE(12/30/2015)")</f>
        <v>42.96</v>
      </c>
      <c r="I242" s="13">
        <f>_xll.FDS(G242,"FG_PRICE(12/31/2017)")</f>
        <v>57.14</v>
      </c>
      <c r="J242" s="13">
        <f>I242/H242-1</f>
        <v>0.33007448789571692</v>
      </c>
      <c r="K242" s="13">
        <f>J242-E242</f>
        <v>3.4319021084302515E-2</v>
      </c>
      <c r="L242" s="13">
        <f>_xll.FDS(G242,"FF_ROE(ANN_R,12/30/2015)")</f>
        <v>17.189176716607829</v>
      </c>
      <c r="M242" s="8" t="s">
        <v>5455</v>
      </c>
      <c r="N242" s="4" t="s">
        <v>5455</v>
      </c>
      <c r="O242" s="4" t="s">
        <v>5456</v>
      </c>
      <c r="P242" s="4" t="s">
        <v>106</v>
      </c>
      <c r="Q242" s="4" t="s">
        <v>36</v>
      </c>
      <c r="R242" s="4" t="s">
        <v>61</v>
      </c>
      <c r="S242" s="4" t="s">
        <v>62</v>
      </c>
      <c r="T242" s="6" t="e">
        <v>#N/A</v>
      </c>
      <c r="U242" s="5">
        <v>52</v>
      </c>
      <c r="V242" s="5">
        <v>42</v>
      </c>
      <c r="W242" s="5">
        <v>61</v>
      </c>
      <c r="X242" s="5">
        <v>51</v>
      </c>
      <c r="Y242" s="5">
        <v>48.33</v>
      </c>
      <c r="Z242" s="5">
        <v>44.61</v>
      </c>
      <c r="AA242" s="5">
        <v>52.79</v>
      </c>
      <c r="AB242" s="5">
        <v>46.84</v>
      </c>
      <c r="AC242" s="6">
        <v>0.3</v>
      </c>
      <c r="AD242" s="6">
        <v>0.35</v>
      </c>
      <c r="AE242" s="6">
        <v>0.35</v>
      </c>
      <c r="AF242" s="4" t="s">
        <v>6296</v>
      </c>
      <c r="AG242" s="4" t="s">
        <v>6296</v>
      </c>
      <c r="AH242" s="4" t="s">
        <v>6296</v>
      </c>
      <c r="AI242" s="4" t="s">
        <v>6296</v>
      </c>
      <c r="AJ242" s="4" t="s">
        <v>6296</v>
      </c>
      <c r="AK242" s="4" t="s">
        <v>37</v>
      </c>
      <c r="AL242" s="4" t="s">
        <v>6296</v>
      </c>
      <c r="AM242" s="4" t="s">
        <v>42</v>
      </c>
      <c r="AN242" s="4" t="s">
        <v>6296</v>
      </c>
      <c r="AO242" s="4" t="s">
        <v>6296</v>
      </c>
      <c r="AP242" s="4" t="s">
        <v>5457</v>
      </c>
      <c r="AQ242" s="4" t="s">
        <v>47</v>
      </c>
    </row>
    <row r="243" spans="1:43" ht="12.6" customHeight="1" x14ac:dyDescent="0.25">
      <c r="A243" s="8" t="s">
        <v>2404</v>
      </c>
      <c r="B243" s="9">
        <v>20151231</v>
      </c>
      <c r="C243" s="12">
        <f>_xll.FDS("SPX","FG_PRICE(12/30/2015)")</f>
        <v>2063.36</v>
      </c>
      <c r="D243" s="12">
        <f>_xll.FDS("SPX","FG_PRICE(12/30/2017)")</f>
        <v>2673.61</v>
      </c>
      <c r="E243" s="15">
        <f>D243/C243-1</f>
        <v>0.2957554668114144</v>
      </c>
      <c r="F243" s="8" t="s">
        <v>2405</v>
      </c>
      <c r="G243" s="8" t="s">
        <v>2406</v>
      </c>
      <c r="H243" s="13">
        <f>_xll.FDS(G243,"FG_PRICE(12/30/2015)")</f>
        <v>17.100000000000001</v>
      </c>
      <c r="I243" s="13">
        <f>_xll.FDS(G243,"FG_PRICE(12/31/2017)")</f>
        <v>26.49</v>
      </c>
      <c r="J243" s="13">
        <f>I243/H243-1</f>
        <v>0.54912280701754357</v>
      </c>
      <c r="K243" s="13">
        <f>J243-E243</f>
        <v>0.25336734020612917</v>
      </c>
      <c r="L243" s="13">
        <f>_xll.FDS(G243,"FF_ROE(ANN_R,12/30/2015)")</f>
        <v>2.1286569300234039</v>
      </c>
      <c r="M243" s="8" t="s">
        <v>2407</v>
      </c>
      <c r="N243" s="4" t="s">
        <v>2407</v>
      </c>
      <c r="O243" s="4" t="s">
        <v>2408</v>
      </c>
      <c r="P243" s="4" t="s">
        <v>96</v>
      </c>
      <c r="Q243" s="4" t="s">
        <v>36</v>
      </c>
      <c r="R243" s="4" t="s">
        <v>61</v>
      </c>
      <c r="S243" s="4" t="s">
        <v>62</v>
      </c>
      <c r="T243" s="6" t="e">
        <v>#N/A</v>
      </c>
      <c r="U243" s="5">
        <v>46</v>
      </c>
      <c r="V243" s="5">
        <v>38</v>
      </c>
      <c r="W243" s="5">
        <v>49</v>
      </c>
      <c r="X243" s="5">
        <v>49</v>
      </c>
      <c r="Y243" s="5">
        <v>11.9</v>
      </c>
      <c r="Z243" s="5">
        <v>28.25</v>
      </c>
      <c r="AA243" s="6">
        <v>1.86</v>
      </c>
      <c r="AB243" s="5">
        <v>31.6</v>
      </c>
      <c r="AC243" s="6">
        <v>0.3</v>
      </c>
      <c r="AD243" s="6">
        <v>0.35</v>
      </c>
      <c r="AE243" s="6">
        <v>0.35</v>
      </c>
      <c r="AF243" s="4" t="s">
        <v>6296</v>
      </c>
      <c r="AG243" s="4" t="s">
        <v>6296</v>
      </c>
      <c r="AH243" s="4" t="s">
        <v>6296</v>
      </c>
      <c r="AI243" s="4" t="s">
        <v>42</v>
      </c>
      <c r="AJ243" s="4" t="s">
        <v>6296</v>
      </c>
      <c r="AK243" s="4" t="s">
        <v>37</v>
      </c>
      <c r="AL243" s="4" t="s">
        <v>6296</v>
      </c>
      <c r="AM243" s="4" t="s">
        <v>37</v>
      </c>
      <c r="AN243" s="4" t="s">
        <v>42</v>
      </c>
      <c r="AO243" s="4" t="s">
        <v>6296</v>
      </c>
      <c r="AP243" s="4" t="s">
        <v>2409</v>
      </c>
      <c r="AQ243" s="4" t="s">
        <v>47</v>
      </c>
    </row>
    <row r="244" spans="1:43" ht="12.6" customHeight="1" x14ac:dyDescent="0.25">
      <c r="A244" s="8" t="s">
        <v>1265</v>
      </c>
      <c r="B244" s="9">
        <v>20151231</v>
      </c>
      <c r="C244" s="12">
        <f>_xll.FDS("SPX","FG_PRICE(12/30/2015)")</f>
        <v>2063.36</v>
      </c>
      <c r="D244" s="12">
        <f>_xll.FDS("SPX","FG_PRICE(12/30/2017)")</f>
        <v>2673.61</v>
      </c>
      <c r="E244" s="15">
        <f>D244/C244-1</f>
        <v>0.2957554668114144</v>
      </c>
      <c r="F244" s="8" t="s">
        <v>1266</v>
      </c>
      <c r="G244" s="8" t="s">
        <v>1267</v>
      </c>
      <c r="H244" s="13">
        <f>_xll.FDS(G244,"FG_PRICE(12/30/2015)")</f>
        <v>101.11</v>
      </c>
      <c r="I244" s="13">
        <f>_xll.FDS(G244,"FG_PRICE(12/31/2017)")</f>
        <v>147.61000000000001</v>
      </c>
      <c r="J244" s="13">
        <f>I244/H244-1</f>
        <v>0.45989516368311745</v>
      </c>
      <c r="K244" s="13">
        <f>J244-E244</f>
        <v>0.16413969687170304</v>
      </c>
      <c r="L244" s="13">
        <f>_xll.FDS(G244,"FF_ROE(ANN_R,12/30/2015)")</f>
        <v>1325.335120643432</v>
      </c>
      <c r="M244" s="8" t="s">
        <v>1268</v>
      </c>
      <c r="N244" s="4" t="s">
        <v>1268</v>
      </c>
      <c r="O244" s="4" t="s">
        <v>1269</v>
      </c>
      <c r="P244" s="4" t="s">
        <v>96</v>
      </c>
      <c r="Q244" s="4" t="s">
        <v>36</v>
      </c>
      <c r="R244" s="4" t="s">
        <v>61</v>
      </c>
      <c r="S244" s="4" t="s">
        <v>62</v>
      </c>
      <c r="T244" s="6" t="e">
        <v>#N/A</v>
      </c>
      <c r="U244" s="5">
        <v>57</v>
      </c>
      <c r="V244" s="5">
        <v>54</v>
      </c>
      <c r="W244" s="5">
        <v>57</v>
      </c>
      <c r="X244" s="5">
        <v>60</v>
      </c>
      <c r="Y244" s="5">
        <v>64.680000000000007</v>
      </c>
      <c r="Z244" s="5">
        <v>70.63</v>
      </c>
      <c r="AA244" s="5">
        <v>30.86</v>
      </c>
      <c r="AB244" s="5">
        <v>77.7</v>
      </c>
      <c r="AC244" s="6">
        <v>0.3</v>
      </c>
      <c r="AD244" s="6">
        <v>0.35</v>
      </c>
      <c r="AE244" s="6">
        <v>0.35</v>
      </c>
      <c r="AF244" s="4" t="s">
        <v>6296</v>
      </c>
      <c r="AG244" s="4" t="s">
        <v>6296</v>
      </c>
      <c r="AH244" s="4" t="s">
        <v>6296</v>
      </c>
      <c r="AI244" s="4" t="s">
        <v>6296</v>
      </c>
      <c r="AJ244" s="4" t="s">
        <v>6296</v>
      </c>
      <c r="AK244" s="4" t="s">
        <v>46</v>
      </c>
      <c r="AL244" s="4" t="s">
        <v>6296</v>
      </c>
      <c r="AM244" s="4" t="s">
        <v>37</v>
      </c>
      <c r="AN244" s="4" t="s">
        <v>42</v>
      </c>
      <c r="AO244" s="4" t="s">
        <v>6296</v>
      </c>
      <c r="AP244" s="4" t="s">
        <v>1270</v>
      </c>
      <c r="AQ244" s="4" t="s">
        <v>47</v>
      </c>
    </row>
    <row r="245" spans="1:43" ht="12.6" customHeight="1" x14ac:dyDescent="0.25">
      <c r="A245" s="8" t="s">
        <v>4970</v>
      </c>
      <c r="B245" s="9">
        <v>20151231</v>
      </c>
      <c r="C245" s="12">
        <f>_xll.FDS("SPX","FG_PRICE(12/30/2015)")</f>
        <v>2063.36</v>
      </c>
      <c r="D245" s="12">
        <f>_xll.FDS("SPX","FG_PRICE(12/30/2017)")</f>
        <v>2673.61</v>
      </c>
      <c r="E245" s="15">
        <f>D245/C245-1</f>
        <v>0.2957554668114144</v>
      </c>
      <c r="F245" s="8" t="s">
        <v>4971</v>
      </c>
      <c r="G245" s="8" t="s">
        <v>4972</v>
      </c>
      <c r="H245" s="13">
        <f>_xll.FDS(G245,"FG_PRICE(12/30/2015)")</f>
        <v>72.59</v>
      </c>
      <c r="I245" s="13">
        <f>_xll.FDS(G245,"FG_PRICE(12/31/2017)")</f>
        <v>126.54</v>
      </c>
      <c r="J245" s="13">
        <f>I245/H245-1</f>
        <v>0.74321531891445103</v>
      </c>
      <c r="K245" s="13">
        <f>J245-E245</f>
        <v>0.44745985210303663</v>
      </c>
      <c r="L245" s="13">
        <f>_xll.FDS(G245,"FF_ROE(ANN_R,12/30/2015)")</f>
        <v>13.197806590927749</v>
      </c>
      <c r="M245" s="8" t="s">
        <v>4973</v>
      </c>
      <c r="N245" s="4" t="s">
        <v>4974</v>
      </c>
      <c r="O245" s="4" t="s">
        <v>4975</v>
      </c>
      <c r="P245" s="4" t="s">
        <v>96</v>
      </c>
      <c r="Q245" s="4" t="s">
        <v>36</v>
      </c>
      <c r="R245" s="4" t="s">
        <v>61</v>
      </c>
      <c r="S245" s="4" t="s">
        <v>62</v>
      </c>
      <c r="T245" s="6" t="e">
        <v>#N/A</v>
      </c>
      <c r="U245" s="5">
        <v>64</v>
      </c>
      <c r="V245" s="5">
        <v>53</v>
      </c>
      <c r="W245" s="5">
        <v>61</v>
      </c>
      <c r="X245" s="5">
        <v>76</v>
      </c>
      <c r="Y245" s="5">
        <v>81.41</v>
      </c>
      <c r="Z245" s="5">
        <v>68.77</v>
      </c>
      <c r="AA245" s="5">
        <v>52.79</v>
      </c>
      <c r="AB245" s="5">
        <v>96.28</v>
      </c>
      <c r="AC245" s="6">
        <v>0.3</v>
      </c>
      <c r="AD245" s="6">
        <v>0.35</v>
      </c>
      <c r="AE245" s="6">
        <v>0.35</v>
      </c>
      <c r="AF245" s="4" t="s">
        <v>6296</v>
      </c>
      <c r="AG245" s="4" t="s">
        <v>6296</v>
      </c>
      <c r="AH245" s="4" t="s">
        <v>6296</v>
      </c>
      <c r="AI245" s="4" t="s">
        <v>6296</v>
      </c>
      <c r="AJ245" s="4" t="s">
        <v>6296</v>
      </c>
      <c r="AK245" s="4" t="s">
        <v>6296</v>
      </c>
      <c r="AL245" s="4" t="s">
        <v>6296</v>
      </c>
      <c r="AM245" s="4" t="s">
        <v>6296</v>
      </c>
      <c r="AN245" s="4" t="s">
        <v>6296</v>
      </c>
      <c r="AO245" s="4" t="s">
        <v>6296</v>
      </c>
      <c r="AP245" s="4" t="s">
        <v>4976</v>
      </c>
      <c r="AQ245" s="4" t="s">
        <v>47</v>
      </c>
    </row>
    <row r="246" spans="1:43" ht="12.6" customHeight="1" x14ac:dyDescent="0.25">
      <c r="A246" s="8" t="s">
        <v>1303</v>
      </c>
      <c r="B246" s="9">
        <v>20151231</v>
      </c>
      <c r="C246" s="12">
        <f>_xll.FDS("SPX","FG_PRICE(12/30/2015)")</f>
        <v>2063.36</v>
      </c>
      <c r="D246" s="12">
        <f>_xll.FDS("SPX","FG_PRICE(12/30/2017)")</f>
        <v>2673.61</v>
      </c>
      <c r="E246" s="15">
        <f>D246/C246-1</f>
        <v>0.2957554668114144</v>
      </c>
      <c r="F246" s="8" t="s">
        <v>1304</v>
      </c>
      <c r="G246" s="8" t="s">
        <v>1305</v>
      </c>
      <c r="H246" s="13">
        <f>_xll.FDS(G246,"FG_PRICE(12/30/2015)")</f>
        <v>32.229999999999997</v>
      </c>
      <c r="I246" s="13">
        <f>_xll.FDS(G246,"FG_PRICE(12/31/2017)")</f>
        <v>52.47</v>
      </c>
      <c r="J246" s="13">
        <f>I246/H246-1</f>
        <v>0.62798634812286691</v>
      </c>
      <c r="K246" s="13">
        <f>J246-E246</f>
        <v>0.33223088131145251</v>
      </c>
      <c r="L246" s="13">
        <f>_xll.FDS(G246,"FF_ROE(ANN_R,12/30/2015)")</f>
        <v>5.082553116846098</v>
      </c>
      <c r="M246" s="8" t="s">
        <v>1306</v>
      </c>
      <c r="N246" s="4" t="s">
        <v>1306</v>
      </c>
      <c r="O246" s="4" t="s">
        <v>1307</v>
      </c>
      <c r="P246" s="4" t="s">
        <v>96</v>
      </c>
      <c r="Q246" s="4" t="s">
        <v>36</v>
      </c>
      <c r="R246" s="4" t="s">
        <v>61</v>
      </c>
      <c r="S246" s="4" t="s">
        <v>62</v>
      </c>
      <c r="T246" s="6" t="e">
        <v>#N/A</v>
      </c>
      <c r="U246" s="5">
        <v>65</v>
      </c>
      <c r="V246" s="5">
        <v>66</v>
      </c>
      <c r="W246" s="5">
        <v>70</v>
      </c>
      <c r="X246" s="5">
        <v>59</v>
      </c>
      <c r="Y246" s="5">
        <v>83.64</v>
      </c>
      <c r="Z246" s="5">
        <v>86.62</v>
      </c>
      <c r="AA246" s="5">
        <v>86.25</v>
      </c>
      <c r="AB246" s="5">
        <v>72.86</v>
      </c>
      <c r="AC246" s="6">
        <v>0.3</v>
      </c>
      <c r="AD246" s="6">
        <v>0.35</v>
      </c>
      <c r="AE246" s="6">
        <v>0.35</v>
      </c>
      <c r="AF246" s="4" t="s">
        <v>6296</v>
      </c>
      <c r="AG246" s="4" t="s">
        <v>6296</v>
      </c>
      <c r="AH246" s="4" t="s">
        <v>37</v>
      </c>
      <c r="AI246" s="4" t="s">
        <v>42</v>
      </c>
      <c r="AJ246" s="4" t="s">
        <v>6296</v>
      </c>
      <c r="AK246" s="4" t="s">
        <v>46</v>
      </c>
      <c r="AL246" s="4" t="s">
        <v>37</v>
      </c>
      <c r="AM246" s="4" t="s">
        <v>46</v>
      </c>
      <c r="AN246" s="4" t="s">
        <v>42</v>
      </c>
      <c r="AO246" s="4" t="s">
        <v>6296</v>
      </c>
      <c r="AP246" s="4" t="s">
        <v>1308</v>
      </c>
      <c r="AQ246" s="4" t="s">
        <v>47</v>
      </c>
    </row>
    <row r="247" spans="1:43" ht="12.6" customHeight="1" x14ac:dyDescent="0.25">
      <c r="A247" s="8" t="s">
        <v>5885</v>
      </c>
      <c r="B247" s="9">
        <v>20151231</v>
      </c>
      <c r="C247" s="12">
        <f>_xll.FDS("SPX","FG_PRICE(12/30/2015)")</f>
        <v>2063.36</v>
      </c>
      <c r="D247" s="12">
        <f>_xll.FDS("SPX","FG_PRICE(12/30/2017)")</f>
        <v>2673.61</v>
      </c>
      <c r="E247" s="15">
        <f>D247/C247-1</f>
        <v>0.2957554668114144</v>
      </c>
      <c r="F247" s="8" t="s">
        <v>5886</v>
      </c>
      <c r="G247" s="8" t="s">
        <v>5887</v>
      </c>
      <c r="H247" s="13">
        <f>_xll.FDS(G247,"FG_PRICE(12/30/2015)")</f>
        <v>11.33</v>
      </c>
      <c r="I247" s="13">
        <f>_xll.FDS(G247,"FG_PRICE(12/31/2017)")</f>
        <v>13.32</v>
      </c>
      <c r="J247" s="13">
        <f>I247/H247-1</f>
        <v>0.17563989408649605</v>
      </c>
      <c r="K247" s="13">
        <f>J247-E247</f>
        <v>-0.12011557272491835</v>
      </c>
      <c r="L247" s="13">
        <f>_xll.FDS(G247,"FF_ROE(ANN_R,12/30/2015)")</f>
        <v>23.365531265887139</v>
      </c>
      <c r="M247" s="8" t="s">
        <v>5888</v>
      </c>
      <c r="N247" s="4" t="s">
        <v>5889</v>
      </c>
      <c r="O247" s="4" t="s">
        <v>5890</v>
      </c>
      <c r="P247" s="4" t="s">
        <v>106</v>
      </c>
      <c r="Q247" s="4" t="s">
        <v>36</v>
      </c>
      <c r="R247" s="4" t="s">
        <v>61</v>
      </c>
      <c r="S247" s="4" t="s">
        <v>62</v>
      </c>
      <c r="T247" s="6" t="e">
        <v>#N/A</v>
      </c>
      <c r="U247" s="5">
        <v>46</v>
      </c>
      <c r="V247" s="5">
        <v>38</v>
      </c>
      <c r="W247" s="5">
        <v>44</v>
      </c>
      <c r="X247" s="5">
        <v>54</v>
      </c>
      <c r="Y247" s="5">
        <v>11.9</v>
      </c>
      <c r="Z247" s="5">
        <v>28.25</v>
      </c>
      <c r="AA247" s="6">
        <v>0</v>
      </c>
      <c r="AB247" s="5">
        <v>59.48</v>
      </c>
      <c r="AC247" s="6">
        <v>0.3</v>
      </c>
      <c r="AD247" s="6">
        <v>0.35</v>
      </c>
      <c r="AE247" s="6">
        <v>0.35</v>
      </c>
      <c r="AF247" s="4" t="s">
        <v>6296</v>
      </c>
      <c r="AG247" s="4" t="s">
        <v>6296</v>
      </c>
      <c r="AH247" s="4" t="s">
        <v>6296</v>
      </c>
      <c r="AI247" s="4" t="s">
        <v>6296</v>
      </c>
      <c r="AJ247" s="4" t="s">
        <v>6296</v>
      </c>
      <c r="AK247" s="4" t="s">
        <v>46</v>
      </c>
      <c r="AL247" s="4" t="s">
        <v>6296</v>
      </c>
      <c r="AM247" s="4" t="s">
        <v>6296</v>
      </c>
      <c r="AN247" s="4" t="s">
        <v>6296</v>
      </c>
      <c r="AO247" s="4" t="s">
        <v>6296</v>
      </c>
      <c r="AP247" s="4" t="s">
        <v>5891</v>
      </c>
      <c r="AQ247" s="4" t="s">
        <v>47</v>
      </c>
    </row>
    <row r="248" spans="1:43" ht="12.6" customHeight="1" x14ac:dyDescent="0.25">
      <c r="A248" s="8" t="s">
        <v>4367</v>
      </c>
      <c r="B248" s="9">
        <v>20151231</v>
      </c>
      <c r="C248" s="12">
        <f>_xll.FDS("SPX","FG_PRICE(12/30/2015)")</f>
        <v>2063.36</v>
      </c>
      <c r="D248" s="12">
        <f>_xll.FDS("SPX","FG_PRICE(12/30/2017)")</f>
        <v>2673.61</v>
      </c>
      <c r="E248" s="15">
        <f>D248/C248-1</f>
        <v>0.2957554668114144</v>
      </c>
      <c r="F248" s="8" t="s">
        <v>4368</v>
      </c>
      <c r="G248" s="8" t="s">
        <v>4369</v>
      </c>
      <c r="H248" s="13">
        <f>_xll.FDS(G248,"FG_PRICE(12/30/2015)")</f>
        <v>59.02</v>
      </c>
      <c r="I248" s="13">
        <f>_xll.FDS(G248,"FG_PRICE(12/31/2017)")</f>
        <v>76.83</v>
      </c>
      <c r="J248" s="13">
        <f>I248/H248-1</f>
        <v>0.30176211453744473</v>
      </c>
      <c r="K248" s="13">
        <f>J248-E248</f>
        <v>6.006647726030323E-3</v>
      </c>
      <c r="L248" s="13">
        <f>_xll.FDS(G248,"FF_ROE(ANN_R,12/30/2015)")</f>
        <v>6.9132503965934706</v>
      </c>
      <c r="M248" s="8" t="s">
        <v>4370</v>
      </c>
      <c r="N248" s="4" t="s">
        <v>4371</v>
      </c>
      <c r="O248" s="4" t="s">
        <v>4372</v>
      </c>
      <c r="P248" s="4" t="s">
        <v>106</v>
      </c>
      <c r="Q248" s="4" t="s">
        <v>36</v>
      </c>
      <c r="R248" s="4" t="s">
        <v>61</v>
      </c>
      <c r="S248" s="4" t="s">
        <v>62</v>
      </c>
      <c r="T248" s="6" t="e">
        <v>#N/A</v>
      </c>
      <c r="U248" s="5">
        <v>56</v>
      </c>
      <c r="V248" s="5">
        <v>57</v>
      </c>
      <c r="W248" s="5">
        <v>61</v>
      </c>
      <c r="X248" s="5">
        <v>51</v>
      </c>
      <c r="Y248" s="5">
        <v>62.83</v>
      </c>
      <c r="Z248" s="5">
        <v>75.09</v>
      </c>
      <c r="AA248" s="5">
        <v>52.79</v>
      </c>
      <c r="AB248" s="5">
        <v>46.84</v>
      </c>
      <c r="AC248" s="6">
        <v>0.3</v>
      </c>
      <c r="AD248" s="6">
        <v>0.35</v>
      </c>
      <c r="AE248" s="6">
        <v>0.35</v>
      </c>
      <c r="AF248" s="4" t="s">
        <v>6296</v>
      </c>
      <c r="AG248" s="4" t="s">
        <v>6296</v>
      </c>
      <c r="AH248" s="4" t="s">
        <v>6296</v>
      </c>
      <c r="AI248" s="4" t="s">
        <v>6296</v>
      </c>
      <c r="AJ248" s="4" t="s">
        <v>6296</v>
      </c>
      <c r="AK248" s="4" t="s">
        <v>42</v>
      </c>
      <c r="AL248" s="4" t="s">
        <v>6296</v>
      </c>
      <c r="AM248" s="4" t="s">
        <v>37</v>
      </c>
      <c r="AN248" s="4" t="s">
        <v>6296</v>
      </c>
      <c r="AO248" s="4" t="s">
        <v>6296</v>
      </c>
      <c r="AP248" s="4" t="s">
        <v>4373</v>
      </c>
      <c r="AQ248" s="4" t="s">
        <v>47</v>
      </c>
    </row>
    <row r="249" spans="1:43" ht="12.6" customHeight="1" x14ac:dyDescent="0.25">
      <c r="A249" s="8" t="s">
        <v>2946</v>
      </c>
      <c r="B249" s="9">
        <v>20151231</v>
      </c>
      <c r="C249" s="12">
        <f>_xll.FDS("SPX","FG_PRICE(12/30/2015)")</f>
        <v>2063.36</v>
      </c>
      <c r="D249" s="12">
        <f>_xll.FDS("SPX","FG_PRICE(12/30/2017)")</f>
        <v>2673.61</v>
      </c>
      <c r="E249" s="15">
        <f>D249/C249-1</f>
        <v>0.2957554668114144</v>
      </c>
      <c r="F249" s="8" t="s">
        <v>2947</v>
      </c>
      <c r="G249" s="8" t="s">
        <v>2948</v>
      </c>
      <c r="H249" s="13">
        <f>_xll.FDS(G249,"FG_PRICE(12/30/2015)")</f>
        <v>72.83</v>
      </c>
      <c r="I249" s="13">
        <f>_xll.FDS(G249,"FG_PRICE(12/31/2017)")</f>
        <v>99.89</v>
      </c>
      <c r="J249" s="13">
        <f>I249/H249-1</f>
        <v>0.37155018536317463</v>
      </c>
      <c r="K249" s="13">
        <f>J249-E249</f>
        <v>7.5794718551760232E-2</v>
      </c>
      <c r="L249" s="13">
        <f>_xll.FDS(G249,"FF_ROE(ANN_R,12/30/2015)")</f>
        <v>9.7610767133837388</v>
      </c>
      <c r="M249" s="8" t="s">
        <v>2949</v>
      </c>
      <c r="N249" s="4" t="s">
        <v>2949</v>
      </c>
      <c r="O249" s="4" t="s">
        <v>2950</v>
      </c>
      <c r="P249" s="4" t="s">
        <v>106</v>
      </c>
      <c r="Q249" s="4" t="s">
        <v>36</v>
      </c>
      <c r="R249" s="4" t="s">
        <v>61</v>
      </c>
      <c r="S249" s="4" t="s">
        <v>62</v>
      </c>
      <c r="T249" s="6" t="e">
        <v>#N/A</v>
      </c>
      <c r="U249" s="5">
        <v>78</v>
      </c>
      <c r="V249" s="5">
        <v>72</v>
      </c>
      <c r="W249" s="5">
        <v>77</v>
      </c>
      <c r="X249" s="5">
        <v>83</v>
      </c>
      <c r="Y249" s="5">
        <v>99.26</v>
      </c>
      <c r="Z249" s="5">
        <v>90.71</v>
      </c>
      <c r="AA249" s="5">
        <v>96.28</v>
      </c>
      <c r="AB249" s="5">
        <v>99.63</v>
      </c>
      <c r="AC249" s="6">
        <v>0.3</v>
      </c>
      <c r="AD249" s="6">
        <v>0.35</v>
      </c>
      <c r="AE249" s="6">
        <v>0.35</v>
      </c>
      <c r="AF249" s="4" t="s">
        <v>6296</v>
      </c>
      <c r="AG249" s="4" t="s">
        <v>6296</v>
      </c>
      <c r="AH249" s="4" t="s">
        <v>37</v>
      </c>
      <c r="AI249" s="4" t="s">
        <v>6296</v>
      </c>
      <c r="AJ249" s="4" t="s">
        <v>6296</v>
      </c>
      <c r="AK249" s="4" t="s">
        <v>37</v>
      </c>
      <c r="AL249" s="4" t="s">
        <v>37</v>
      </c>
      <c r="AM249" s="4" t="s">
        <v>6296</v>
      </c>
      <c r="AN249" s="4" t="s">
        <v>6296</v>
      </c>
      <c r="AO249" s="4" t="s">
        <v>6296</v>
      </c>
      <c r="AP249" s="4" t="s">
        <v>2951</v>
      </c>
      <c r="AQ249" s="4" t="s">
        <v>47</v>
      </c>
    </row>
    <row r="250" spans="1:43" ht="12.6" customHeight="1" x14ac:dyDescent="0.25">
      <c r="A250" s="8" t="s">
        <v>3310</v>
      </c>
      <c r="B250" s="9">
        <v>20151231</v>
      </c>
      <c r="C250" s="12">
        <f>_xll.FDS("SPX","FG_PRICE(12/30/2015)")</f>
        <v>2063.36</v>
      </c>
      <c r="D250" s="12">
        <f>_xll.FDS("SPX","FG_PRICE(12/30/2017)")</f>
        <v>2673.61</v>
      </c>
      <c r="E250" s="15">
        <f>D250/C250-1</f>
        <v>0.2957554668114144</v>
      </c>
      <c r="F250" s="8" t="s">
        <v>3311</v>
      </c>
      <c r="G250" s="8" t="s">
        <v>3312</v>
      </c>
      <c r="H250" s="13">
        <f>_xll.FDS(G250,"FG_PRICE(12/30/2015)")</f>
        <v>58.44</v>
      </c>
      <c r="I250" s="13">
        <f>_xll.FDS(G250,"FG_PRICE(12/31/2017)")</f>
        <v>89.3</v>
      </c>
      <c r="J250" s="13">
        <f>I250/H250-1</f>
        <v>0.52806297056810414</v>
      </c>
      <c r="K250" s="13">
        <f>J250-E250</f>
        <v>0.23230750375668974</v>
      </c>
      <c r="L250" s="13">
        <f>_xll.FDS(G250,"FF_ROE(ANN_R,12/30/2015)")</f>
        <v>11.555225066940681</v>
      </c>
      <c r="M250" s="8" t="s">
        <v>3313</v>
      </c>
      <c r="N250" s="4" t="s">
        <v>3314</v>
      </c>
      <c r="O250" s="4" t="s">
        <v>3315</v>
      </c>
      <c r="P250" s="4" t="s">
        <v>96</v>
      </c>
      <c r="Q250" s="4" t="s">
        <v>36</v>
      </c>
      <c r="R250" s="4" t="s">
        <v>61</v>
      </c>
      <c r="S250" s="4" t="s">
        <v>62</v>
      </c>
      <c r="T250" s="6" t="e">
        <v>#N/A</v>
      </c>
      <c r="U250" s="5">
        <v>48</v>
      </c>
      <c r="V250" s="5">
        <v>39</v>
      </c>
      <c r="W250" s="5">
        <v>50</v>
      </c>
      <c r="X250" s="5">
        <v>54</v>
      </c>
      <c r="Y250" s="5">
        <v>23.79</v>
      </c>
      <c r="Z250" s="5">
        <v>33.83</v>
      </c>
      <c r="AA250" s="6">
        <v>3.72</v>
      </c>
      <c r="AB250" s="5">
        <v>59.48</v>
      </c>
      <c r="AC250" s="6">
        <v>0.3</v>
      </c>
      <c r="AD250" s="6">
        <v>0.35</v>
      </c>
      <c r="AE250" s="6">
        <v>0.35</v>
      </c>
      <c r="AF250" s="4" t="s">
        <v>6296</v>
      </c>
      <c r="AG250" s="4" t="s">
        <v>6296</v>
      </c>
      <c r="AH250" s="4" t="s">
        <v>6296</v>
      </c>
      <c r="AI250" s="4" t="s">
        <v>6296</v>
      </c>
      <c r="AJ250" s="4" t="s">
        <v>6296</v>
      </c>
      <c r="AK250" s="4" t="s">
        <v>37</v>
      </c>
      <c r="AL250" s="4" t="s">
        <v>37</v>
      </c>
      <c r="AM250" s="4" t="s">
        <v>6296</v>
      </c>
      <c r="AN250" s="4" t="s">
        <v>6296</v>
      </c>
      <c r="AO250" s="4" t="s">
        <v>6296</v>
      </c>
      <c r="AP250" s="4" t="s">
        <v>3316</v>
      </c>
      <c r="AQ250" s="4" t="s">
        <v>47</v>
      </c>
    </row>
    <row r="251" spans="1:43" ht="12.6" customHeight="1" x14ac:dyDescent="0.25">
      <c r="A251" s="8" t="s">
        <v>3555</v>
      </c>
      <c r="B251" s="9">
        <v>20151231</v>
      </c>
      <c r="C251" s="12">
        <f>_xll.FDS("SPX","FG_PRICE(12/30/2015)")</f>
        <v>2063.36</v>
      </c>
      <c r="D251" s="12">
        <f>_xll.FDS("SPX","FG_PRICE(12/30/2017)")</f>
        <v>2673.61</v>
      </c>
      <c r="E251" s="15">
        <f>D251/C251-1</f>
        <v>0.2957554668114144</v>
      </c>
      <c r="F251" s="8" t="s">
        <v>3556</v>
      </c>
      <c r="G251" s="8" t="s">
        <v>3557</v>
      </c>
      <c r="H251" s="13">
        <f>_xll.FDS(G251,"FG_PRICE(12/30/2015)")</f>
        <v>33.25</v>
      </c>
      <c r="I251" s="13">
        <f>_xll.FDS(G251,"FG_PRICE(12/31/2017)")</f>
        <v>51.37</v>
      </c>
      <c r="J251" s="13">
        <f>I251/H251-1</f>
        <v>0.54496240601503754</v>
      </c>
      <c r="K251" s="13">
        <f>J251-E251</f>
        <v>0.24920693920362313</v>
      </c>
      <c r="L251" s="13">
        <f>_xll.FDS(G251,"FF_ROE(ANN_R,12/30/2015)")</f>
        <v>11.909484313018391</v>
      </c>
      <c r="M251" s="8" t="s">
        <v>3558</v>
      </c>
      <c r="N251" s="4" t="s">
        <v>3559</v>
      </c>
      <c r="O251" s="4" t="s">
        <v>3560</v>
      </c>
      <c r="P251" s="4" t="s">
        <v>96</v>
      </c>
      <c r="Q251" s="4" t="s">
        <v>36</v>
      </c>
      <c r="R251" s="4" t="s">
        <v>61</v>
      </c>
      <c r="S251" s="4" t="s">
        <v>62</v>
      </c>
      <c r="T251" s="6" t="e">
        <v>#N/A</v>
      </c>
      <c r="U251" s="5">
        <v>49</v>
      </c>
      <c r="V251" s="5">
        <v>36</v>
      </c>
      <c r="W251" s="5">
        <v>62</v>
      </c>
      <c r="X251" s="5">
        <v>47</v>
      </c>
      <c r="Y251" s="5">
        <v>30.86</v>
      </c>
      <c r="Z251" s="5">
        <v>23.42</v>
      </c>
      <c r="AA251" s="5">
        <v>59.85</v>
      </c>
      <c r="AB251" s="5">
        <v>21.93</v>
      </c>
      <c r="AC251" s="6">
        <v>0.3</v>
      </c>
      <c r="AD251" s="6">
        <v>0.35</v>
      </c>
      <c r="AE251" s="6">
        <v>0.35</v>
      </c>
      <c r="AF251" s="4" t="s">
        <v>6296</v>
      </c>
      <c r="AG251" s="4" t="s">
        <v>6296</v>
      </c>
      <c r="AH251" s="4" t="s">
        <v>6296</v>
      </c>
      <c r="AI251" s="4" t="s">
        <v>6296</v>
      </c>
      <c r="AJ251" s="4" t="s">
        <v>6296</v>
      </c>
      <c r="AK251" s="4" t="s">
        <v>37</v>
      </c>
      <c r="AL251" s="4" t="s">
        <v>37</v>
      </c>
      <c r="AM251" s="4" t="s">
        <v>37</v>
      </c>
      <c r="AN251" s="4" t="s">
        <v>6296</v>
      </c>
      <c r="AO251" s="4" t="s">
        <v>6296</v>
      </c>
      <c r="AP251" s="4" t="s">
        <v>3561</v>
      </c>
      <c r="AQ251" s="4" t="s">
        <v>47</v>
      </c>
    </row>
    <row r="252" spans="1:43" ht="12.6" customHeight="1" x14ac:dyDescent="0.25">
      <c r="A252" s="8" t="s">
        <v>3594</v>
      </c>
      <c r="B252" s="9">
        <v>20151231</v>
      </c>
      <c r="C252" s="12">
        <f>_xll.FDS("SPX","FG_PRICE(12/30/2015)")</f>
        <v>2063.36</v>
      </c>
      <c r="D252" s="12">
        <f>_xll.FDS("SPX","FG_PRICE(12/30/2017)")</f>
        <v>2673.61</v>
      </c>
      <c r="E252" s="15">
        <f>D252/C252-1</f>
        <v>0.2957554668114144</v>
      </c>
      <c r="F252" s="8" t="s">
        <v>3595</v>
      </c>
      <c r="G252" s="8" t="s">
        <v>3596</v>
      </c>
      <c r="H252" s="13">
        <f>_xll.FDS(G252,"FG_PRICE(12/30/2015)")</f>
        <v>52.82</v>
      </c>
      <c r="I252" s="13">
        <f>_xll.FDS(G252,"FG_PRICE(12/31/2017)")</f>
        <v>71.86</v>
      </c>
      <c r="J252" s="13">
        <f>I252/H252-1</f>
        <v>0.36046951912154479</v>
      </c>
      <c r="K252" s="13">
        <f>J252-E252</f>
        <v>6.4714052310130388E-2</v>
      </c>
      <c r="L252" s="13">
        <f>_xll.FDS(G252,"FF_ROE(ANN_R,12/30/2015)")</f>
        <v>26.51947171239987</v>
      </c>
      <c r="M252" s="8" t="s">
        <v>3597</v>
      </c>
      <c r="N252" s="4" t="s">
        <v>3598</v>
      </c>
      <c r="O252" s="4" t="s">
        <v>3599</v>
      </c>
      <c r="P252" s="4" t="s">
        <v>106</v>
      </c>
      <c r="Q252" s="4" t="s">
        <v>36</v>
      </c>
      <c r="R252" s="4" t="s">
        <v>61</v>
      </c>
      <c r="S252" s="4" t="s">
        <v>62</v>
      </c>
      <c r="T252" s="6" t="e">
        <v>#N/A</v>
      </c>
      <c r="U252" s="5">
        <v>50</v>
      </c>
      <c r="V252" s="5">
        <v>38</v>
      </c>
      <c r="W252" s="5">
        <v>53</v>
      </c>
      <c r="X252" s="5">
        <v>55</v>
      </c>
      <c r="Y252" s="5">
        <v>36.43</v>
      </c>
      <c r="Z252" s="5">
        <v>28.25</v>
      </c>
      <c r="AA252" s="6">
        <v>9.2899999999999991</v>
      </c>
      <c r="AB252" s="5">
        <v>62.83</v>
      </c>
      <c r="AC252" s="6">
        <v>0.3</v>
      </c>
      <c r="AD252" s="6">
        <v>0.35</v>
      </c>
      <c r="AE252" s="6">
        <v>0.35</v>
      </c>
      <c r="AF252" s="4" t="s">
        <v>6296</v>
      </c>
      <c r="AG252" s="4" t="s">
        <v>6296</v>
      </c>
      <c r="AH252" s="4" t="s">
        <v>6296</v>
      </c>
      <c r="AI252" s="4" t="s">
        <v>6296</v>
      </c>
      <c r="AJ252" s="4" t="s">
        <v>6296</v>
      </c>
      <c r="AK252" s="4" t="s">
        <v>42</v>
      </c>
      <c r="AL252" s="4" t="s">
        <v>6296</v>
      </c>
      <c r="AM252" s="4" t="s">
        <v>6296</v>
      </c>
      <c r="AN252" s="4" t="s">
        <v>6296</v>
      </c>
      <c r="AO252" s="4" t="s">
        <v>6296</v>
      </c>
      <c r="AP252" s="4" t="s">
        <v>3600</v>
      </c>
      <c r="AQ252" s="4" t="s">
        <v>47</v>
      </c>
    </row>
    <row r="253" spans="1:43" ht="12.6" customHeight="1" x14ac:dyDescent="0.25">
      <c r="A253" s="8" t="s">
        <v>3807</v>
      </c>
      <c r="B253" s="9">
        <v>20151231</v>
      </c>
      <c r="C253" s="12">
        <f>_xll.FDS("SPX","FG_PRICE(12/30/2015)")</f>
        <v>2063.36</v>
      </c>
      <c r="D253" s="12">
        <f>_xll.FDS("SPX","FG_PRICE(12/30/2017)")</f>
        <v>2673.61</v>
      </c>
      <c r="E253" s="15">
        <f>D253/C253-1</f>
        <v>0.2957554668114144</v>
      </c>
      <c r="F253" s="8" t="s">
        <v>3808</v>
      </c>
      <c r="G253" s="8" t="s">
        <v>3809</v>
      </c>
      <c r="H253" s="13">
        <f>_xll.FDS(G253,"FG_PRICE(12/30/2015)")</f>
        <v>43.29</v>
      </c>
      <c r="I253" s="13">
        <f>_xll.FDS(G253,"FG_PRICE(12/31/2017)")</f>
        <v>59.56</v>
      </c>
      <c r="J253" s="13">
        <f>I253/H253-1</f>
        <v>0.37583737583737586</v>
      </c>
      <c r="K253" s="13">
        <f>J253-E253</f>
        <v>8.0081909025961462E-2</v>
      </c>
      <c r="L253" s="13">
        <f>_xll.FDS(G253,"FF_ROE(ANN_R,12/30/2015)")</f>
        <v>8.177795957759237</v>
      </c>
      <c r="M253" s="8" t="s">
        <v>3810</v>
      </c>
      <c r="N253" s="4" t="s">
        <v>3810</v>
      </c>
      <c r="O253" s="4" t="s">
        <v>3811</v>
      </c>
      <c r="P253" s="4" t="s">
        <v>96</v>
      </c>
      <c r="Q253" s="4" t="s">
        <v>36</v>
      </c>
      <c r="R253" s="4" t="s">
        <v>61</v>
      </c>
      <c r="S253" s="4" t="s">
        <v>62</v>
      </c>
      <c r="T253" s="6" t="e">
        <v>#N/A</v>
      </c>
      <c r="U253" s="5">
        <v>45</v>
      </c>
      <c r="V253" s="5">
        <v>32</v>
      </c>
      <c r="W253" s="5">
        <v>56</v>
      </c>
      <c r="X253" s="5">
        <v>46</v>
      </c>
      <c r="Y253" s="6">
        <v>7.81</v>
      </c>
      <c r="Z253" s="6">
        <v>0.37</v>
      </c>
      <c r="AA253" s="5">
        <v>17.84</v>
      </c>
      <c r="AB253" s="5">
        <v>15.99</v>
      </c>
      <c r="AC253" s="6">
        <v>0.3</v>
      </c>
      <c r="AD253" s="6">
        <v>0.35</v>
      </c>
      <c r="AE253" s="6">
        <v>0.35</v>
      </c>
      <c r="AF253" s="4" t="s">
        <v>6296</v>
      </c>
      <c r="AG253" s="4" t="s">
        <v>6296</v>
      </c>
      <c r="AH253" s="4" t="s">
        <v>6296</v>
      </c>
      <c r="AI253" s="4" t="s">
        <v>6296</v>
      </c>
      <c r="AJ253" s="4" t="s">
        <v>6296</v>
      </c>
      <c r="AK253" s="4" t="s">
        <v>37</v>
      </c>
      <c r="AL253" s="4" t="s">
        <v>37</v>
      </c>
      <c r="AM253" s="4" t="s">
        <v>6296</v>
      </c>
      <c r="AN253" s="4" t="s">
        <v>6296</v>
      </c>
      <c r="AO253" s="4" t="s">
        <v>6296</v>
      </c>
      <c r="AP253" s="4" t="s">
        <v>3812</v>
      </c>
      <c r="AQ253" s="4" t="s">
        <v>47</v>
      </c>
    </row>
    <row r="254" spans="1:43" ht="12.6" customHeight="1" x14ac:dyDescent="0.25">
      <c r="A254" s="8" t="s">
        <v>648</v>
      </c>
      <c r="B254" s="9">
        <v>20151231</v>
      </c>
      <c r="C254" s="12">
        <f>_xll.FDS("SPX","FG_PRICE(12/30/2015)")</f>
        <v>2063.36</v>
      </c>
      <c r="D254" s="12">
        <f>_xll.FDS("SPX","FG_PRICE(12/30/2017)")</f>
        <v>2673.61</v>
      </c>
      <c r="E254" s="15">
        <f>D254/C254-1</f>
        <v>0.2957554668114144</v>
      </c>
      <c r="F254" s="8" t="s">
        <v>649</v>
      </c>
      <c r="G254" s="8" t="s">
        <v>650</v>
      </c>
      <c r="H254" s="13">
        <f>_xll.FDS(G254,"FG_PRICE(12/30/2015)")</f>
        <v>6.52</v>
      </c>
      <c r="I254" s="13">
        <f>_xll.FDS(G254,"FG_PRICE(12/31/2017)")</f>
        <v>11.3</v>
      </c>
      <c r="J254" s="13">
        <f>I254/H254-1</f>
        <v>0.73312883435582843</v>
      </c>
      <c r="K254" s="13">
        <f>J254-E254</f>
        <v>0.43737336754441403</v>
      </c>
      <c r="L254" s="13">
        <f>_xll.FDS(G254,"FF_ROE(ANN_R,12/30/2015)")</f>
        <v>5.2020916683875811</v>
      </c>
      <c r="M254" s="8" t="s">
        <v>651</v>
      </c>
      <c r="N254" s="4" t="s">
        <v>652</v>
      </c>
      <c r="O254" s="4" t="s">
        <v>653</v>
      </c>
      <c r="P254" s="4" t="s">
        <v>106</v>
      </c>
      <c r="Q254" s="4" t="s">
        <v>36</v>
      </c>
      <c r="R254" s="4" t="s">
        <v>61</v>
      </c>
      <c r="S254" s="4" t="s">
        <v>62</v>
      </c>
      <c r="T254" s="6" t="e">
        <v>#N/A</v>
      </c>
      <c r="U254" s="5">
        <v>48</v>
      </c>
      <c r="V254" s="5">
        <v>33</v>
      </c>
      <c r="W254" s="5">
        <v>55</v>
      </c>
      <c r="X254" s="5">
        <v>54</v>
      </c>
      <c r="Y254" s="5">
        <v>23.79</v>
      </c>
      <c r="Z254" s="6">
        <v>7.43</v>
      </c>
      <c r="AA254" s="5">
        <v>14.5</v>
      </c>
      <c r="AB254" s="5">
        <v>59.48</v>
      </c>
      <c r="AC254" s="6">
        <v>0.3</v>
      </c>
      <c r="AD254" s="6">
        <v>0.35</v>
      </c>
      <c r="AE254" s="6">
        <v>0.35</v>
      </c>
      <c r="AF254" s="4" t="s">
        <v>6296</v>
      </c>
      <c r="AG254" s="4" t="s">
        <v>6296</v>
      </c>
      <c r="AH254" s="4" t="s">
        <v>6296</v>
      </c>
      <c r="AI254" s="4" t="s">
        <v>6296</v>
      </c>
      <c r="AJ254" s="4" t="s">
        <v>6296</v>
      </c>
      <c r="AK254" s="4" t="s">
        <v>37</v>
      </c>
      <c r="AL254" s="4" t="s">
        <v>6296</v>
      </c>
      <c r="AM254" s="4" t="s">
        <v>6296</v>
      </c>
      <c r="AN254" s="4" t="s">
        <v>42</v>
      </c>
      <c r="AO254" s="4" t="s">
        <v>6296</v>
      </c>
      <c r="AP254" s="4" t="s">
        <v>654</v>
      </c>
      <c r="AQ254" s="4" t="s">
        <v>47</v>
      </c>
    </row>
    <row r="255" spans="1:43" ht="12.6" customHeight="1" x14ac:dyDescent="0.25">
      <c r="A255" s="8" t="s">
        <v>6367</v>
      </c>
      <c r="B255" s="9">
        <v>20151231</v>
      </c>
      <c r="C255" s="12">
        <f>_xll.FDS("SPX","FG_PRICE(12/30/2015)")</f>
        <v>2063.36</v>
      </c>
      <c r="D255" s="12">
        <f>_xll.FDS("SPX","FG_PRICE(12/30/2017)")</f>
        <v>2673.61</v>
      </c>
      <c r="E255" s="15">
        <f>D255/C255-1</f>
        <v>0.2957554668114144</v>
      </c>
      <c r="F255" s="8" t="s">
        <v>6171</v>
      </c>
      <c r="G255" s="8" t="s">
        <v>6172</v>
      </c>
      <c r="H255" s="13">
        <f>_xll.FDS(G255,"FG_PRICE(12/30/2015)")</f>
        <v>99.86</v>
      </c>
      <c r="I255" s="13">
        <f>_xll.FDS(G255,"FG_PRICE(12/31/2017)")</f>
        <v>169.4</v>
      </c>
      <c r="J255" s="13">
        <f>I255/H255-1</f>
        <v>0.69637492489485275</v>
      </c>
      <c r="K255" s="13">
        <f>J255-E255</f>
        <v>0.40061945808343835</v>
      </c>
      <c r="L255" s="13">
        <f>_xll.FDS(G255,"FF_ROE(ANN_R,12/30/2015)")</f>
        <v>-32.755729457797649</v>
      </c>
      <c r="M255" s="8" t="s">
        <v>6173</v>
      </c>
      <c r="N255" s="4" t="s">
        <v>6368</v>
      </c>
      <c r="O255" s="4" t="s">
        <v>6369</v>
      </c>
      <c r="P255" s="4" t="s">
        <v>96</v>
      </c>
      <c r="Q255" s="4" t="s">
        <v>36</v>
      </c>
      <c r="R255" s="4" t="s">
        <v>61</v>
      </c>
      <c r="S255" s="4" t="s">
        <v>62</v>
      </c>
      <c r="T255" s="6" t="e">
        <v>#N/A</v>
      </c>
      <c r="U255" s="5">
        <v>73</v>
      </c>
      <c r="V255" s="5">
        <v>71</v>
      </c>
      <c r="W255" s="5">
        <v>70</v>
      </c>
      <c r="X255" s="5">
        <v>77</v>
      </c>
      <c r="Y255" s="5">
        <v>95.17</v>
      </c>
      <c r="Z255" s="5">
        <v>88.85</v>
      </c>
      <c r="AA255" s="5">
        <v>86.25</v>
      </c>
      <c r="AB255" s="5">
        <v>97.4</v>
      </c>
      <c r="AC255" s="6">
        <v>0.3</v>
      </c>
      <c r="AD255" s="6">
        <v>0.35</v>
      </c>
      <c r="AE255" s="6">
        <v>0.35</v>
      </c>
      <c r="AF255" s="4" t="s">
        <v>6296</v>
      </c>
      <c r="AG255" s="4" t="s">
        <v>6296</v>
      </c>
      <c r="AH255" s="4" t="s">
        <v>6296</v>
      </c>
      <c r="AI255" s="4" t="s">
        <v>6296</v>
      </c>
      <c r="AJ255" s="4" t="s">
        <v>6296</v>
      </c>
      <c r="AK255" s="4" t="s">
        <v>46</v>
      </c>
      <c r="AL255" s="4" t="s">
        <v>6296</v>
      </c>
      <c r="AM255" s="4" t="s">
        <v>42</v>
      </c>
      <c r="AN255" s="4" t="s">
        <v>42</v>
      </c>
      <c r="AO255" s="4" t="s">
        <v>6296</v>
      </c>
      <c r="AP255" s="4" t="s">
        <v>6370</v>
      </c>
      <c r="AQ255" s="4" t="s">
        <v>47</v>
      </c>
    </row>
    <row r="256" spans="1:43" ht="12.6" customHeight="1" x14ac:dyDescent="0.25">
      <c r="A256" s="8" t="s">
        <v>3794</v>
      </c>
      <c r="B256" s="9">
        <v>20151231</v>
      </c>
      <c r="C256" s="12">
        <f>_xll.FDS("SPX","FG_PRICE(12/30/2015)")</f>
        <v>2063.36</v>
      </c>
      <c r="D256" s="12">
        <f>_xll.FDS("SPX","FG_PRICE(12/30/2017)")</f>
        <v>2673.61</v>
      </c>
      <c r="E256" s="15">
        <f>D256/C256-1</f>
        <v>0.2957554668114144</v>
      </c>
      <c r="F256" s="8" t="s">
        <v>3795</v>
      </c>
      <c r="G256" s="8" t="s">
        <v>3796</v>
      </c>
      <c r="H256" s="13">
        <f>_xll.FDS(G256,"FG_PRICE(12/30/2015)")</f>
        <v>66.569999999999993</v>
      </c>
      <c r="I256" s="13">
        <f>_xll.FDS(G256,"FG_PRICE(12/31/2017)")</f>
        <v>97.61</v>
      </c>
      <c r="J256" s="13">
        <f>I256/H256-1</f>
        <v>0.46627610034550115</v>
      </c>
      <c r="K256" s="13">
        <f>J256-E256</f>
        <v>0.17052063353408675</v>
      </c>
      <c r="L256" s="13">
        <f>_xll.FDS(G256,"FF_ROE(ANN_R,12/30/2015)")</f>
        <v>9.7201978447348925</v>
      </c>
      <c r="M256" s="8" t="s">
        <v>3797</v>
      </c>
      <c r="N256" s="4" t="s">
        <v>3798</v>
      </c>
      <c r="O256" s="4" t="s">
        <v>3799</v>
      </c>
      <c r="P256" s="4" t="s">
        <v>96</v>
      </c>
      <c r="Q256" s="4" t="s">
        <v>36</v>
      </c>
      <c r="R256" s="4" t="s">
        <v>61</v>
      </c>
      <c r="S256" s="4" t="s">
        <v>62</v>
      </c>
      <c r="T256" s="6" t="e">
        <v>#N/A</v>
      </c>
      <c r="U256" s="5">
        <v>74</v>
      </c>
      <c r="V256" s="5">
        <v>79</v>
      </c>
      <c r="W256" s="5">
        <v>70</v>
      </c>
      <c r="X256" s="5">
        <v>73</v>
      </c>
      <c r="Y256" s="5">
        <v>95.91</v>
      </c>
      <c r="Z256" s="5">
        <v>96.65</v>
      </c>
      <c r="AA256" s="5">
        <v>86.25</v>
      </c>
      <c r="AB256" s="5">
        <v>93.68</v>
      </c>
      <c r="AC256" s="6">
        <v>0.3</v>
      </c>
      <c r="AD256" s="6">
        <v>0.35</v>
      </c>
      <c r="AE256" s="6">
        <v>0.35</v>
      </c>
      <c r="AF256" s="4" t="s">
        <v>6296</v>
      </c>
      <c r="AG256" s="4" t="s">
        <v>6296</v>
      </c>
      <c r="AH256" s="4" t="s">
        <v>37</v>
      </c>
      <c r="AI256" s="4" t="s">
        <v>6296</v>
      </c>
      <c r="AJ256" s="4" t="s">
        <v>6296</v>
      </c>
      <c r="AK256" s="4" t="s">
        <v>37</v>
      </c>
      <c r="AL256" s="4" t="s">
        <v>37</v>
      </c>
      <c r="AM256" s="4" t="s">
        <v>42</v>
      </c>
      <c r="AN256" s="4" t="s">
        <v>6296</v>
      </c>
      <c r="AO256" s="4" t="s">
        <v>42</v>
      </c>
      <c r="AP256" s="4" t="s">
        <v>3800</v>
      </c>
      <c r="AQ256" s="4" t="s">
        <v>47</v>
      </c>
    </row>
    <row r="257" spans="1:43" ht="12.6" customHeight="1" x14ac:dyDescent="0.25">
      <c r="A257" s="8" t="s">
        <v>5951</v>
      </c>
      <c r="B257" s="9">
        <v>20151231</v>
      </c>
      <c r="C257" s="12">
        <f>_xll.FDS("SPX","FG_PRICE(12/30/2015)")</f>
        <v>2063.36</v>
      </c>
      <c r="D257" s="12">
        <f>_xll.FDS("SPX","FG_PRICE(12/30/2017)")</f>
        <v>2673.61</v>
      </c>
      <c r="E257" s="15">
        <f>D257/C257-1</f>
        <v>0.2957554668114144</v>
      </c>
      <c r="F257" s="8" t="s">
        <v>5952</v>
      </c>
      <c r="G257" s="8" t="s">
        <v>5953</v>
      </c>
      <c r="H257" s="13">
        <f>_xll.FDS(G257,"FG_PRICE(12/30/2015)")</f>
        <v>30.43</v>
      </c>
      <c r="I257" s="13">
        <f>_xll.FDS(G257,"FG_PRICE(12/31/2017)")</f>
        <v>38.61</v>
      </c>
      <c r="J257" s="13">
        <f>I257/H257-1</f>
        <v>0.26881367071968443</v>
      </c>
      <c r="K257" s="13">
        <f>J257-E257</f>
        <v>-2.6941796091729975E-2</v>
      </c>
      <c r="L257" s="13">
        <f>_xll.FDS(G257,"FF_ROE(ANN_R,12/30/2015)")</f>
        <v>25.660055967879298</v>
      </c>
      <c r="M257" s="8" t="s">
        <v>5954</v>
      </c>
      <c r="N257" s="4" t="s">
        <v>5954</v>
      </c>
      <c r="O257" s="4" t="s">
        <v>5955</v>
      </c>
      <c r="P257" s="4" t="s">
        <v>96</v>
      </c>
      <c r="Q257" s="4" t="s">
        <v>36</v>
      </c>
      <c r="R257" s="4" t="s">
        <v>61</v>
      </c>
      <c r="S257" s="4" t="s">
        <v>62</v>
      </c>
      <c r="T257" s="6" t="e">
        <v>#N/A</v>
      </c>
      <c r="U257" s="5">
        <v>43</v>
      </c>
      <c r="V257" s="5">
        <v>33</v>
      </c>
      <c r="W257" s="5">
        <v>48</v>
      </c>
      <c r="X257" s="5">
        <v>48</v>
      </c>
      <c r="Y257" s="6">
        <v>1.1200000000000001</v>
      </c>
      <c r="Z257" s="6">
        <v>7.43</v>
      </c>
      <c r="AA257" s="6">
        <v>1.1200000000000001</v>
      </c>
      <c r="AB257" s="5">
        <v>27.88</v>
      </c>
      <c r="AC257" s="6">
        <v>0.3</v>
      </c>
      <c r="AD257" s="6">
        <v>0.35</v>
      </c>
      <c r="AE257" s="6">
        <v>0.35</v>
      </c>
      <c r="AF257" s="4" t="s">
        <v>6296</v>
      </c>
      <c r="AG257" s="4" t="s">
        <v>6296</v>
      </c>
      <c r="AH257" s="4" t="s">
        <v>6296</v>
      </c>
      <c r="AI257" s="4" t="s">
        <v>6296</v>
      </c>
      <c r="AJ257" s="4" t="s">
        <v>6296</v>
      </c>
      <c r="AK257" s="4" t="s">
        <v>46</v>
      </c>
      <c r="AL257" s="4" t="s">
        <v>6296</v>
      </c>
      <c r="AM257" s="4" t="s">
        <v>6296</v>
      </c>
      <c r="AN257" s="4" t="s">
        <v>6296</v>
      </c>
      <c r="AO257" s="4" t="s">
        <v>6296</v>
      </c>
      <c r="AP257" s="4" t="s">
        <v>5956</v>
      </c>
      <c r="AQ257" s="4" t="s">
        <v>47</v>
      </c>
    </row>
    <row r="258" spans="1:43" ht="12.6" customHeight="1" x14ac:dyDescent="0.25">
      <c r="A258" s="8" t="s">
        <v>3230</v>
      </c>
      <c r="B258" s="9">
        <v>20151231</v>
      </c>
      <c r="C258" s="12">
        <f>_xll.FDS("SPX","FG_PRICE(12/30/2015)")</f>
        <v>2063.36</v>
      </c>
      <c r="D258" s="12">
        <f>_xll.FDS("SPX","FG_PRICE(12/30/2017)")</f>
        <v>2673.61</v>
      </c>
      <c r="E258" s="15">
        <f>D258/C258-1</f>
        <v>0.2957554668114144</v>
      </c>
      <c r="F258" s="8" t="s">
        <v>3231</v>
      </c>
      <c r="G258" s="8" t="s">
        <v>3232</v>
      </c>
      <c r="H258" s="13">
        <f>_xll.FDS(G258,"FG_PRICE(12/30/2015)")</f>
        <v>72.09</v>
      </c>
      <c r="I258" s="13">
        <f>_xll.FDS(G258,"FG_PRICE(12/31/2017)")</f>
        <v>104.93</v>
      </c>
      <c r="J258" s="13">
        <f>I258/H258-1</f>
        <v>0.45554168400610351</v>
      </c>
      <c r="K258" s="13">
        <f>J258-E258</f>
        <v>0.15978621719468911</v>
      </c>
      <c r="L258" s="13">
        <f>_xll.FDS(G258,"FF_ROE(ANN_R,12/30/2015)")</f>
        <v>23.800338773951619</v>
      </c>
      <c r="M258" s="8" t="s">
        <v>3233</v>
      </c>
      <c r="N258" s="4" t="s">
        <v>3234</v>
      </c>
      <c r="O258" s="4" t="s">
        <v>3235</v>
      </c>
      <c r="P258" s="4" t="s">
        <v>106</v>
      </c>
      <c r="Q258" s="4" t="s">
        <v>36</v>
      </c>
      <c r="R258" s="4" t="s">
        <v>61</v>
      </c>
      <c r="S258" s="4" t="s">
        <v>62</v>
      </c>
      <c r="T258" s="6" t="e">
        <v>#N/A</v>
      </c>
      <c r="U258" s="5">
        <v>65</v>
      </c>
      <c r="V258" s="5">
        <v>58</v>
      </c>
      <c r="W258" s="5">
        <v>70</v>
      </c>
      <c r="X258" s="5">
        <v>66</v>
      </c>
      <c r="Y258" s="5">
        <v>83.64</v>
      </c>
      <c r="Z258" s="5">
        <v>76.95</v>
      </c>
      <c r="AA258" s="5">
        <v>86.25</v>
      </c>
      <c r="AB258" s="5">
        <v>85.13</v>
      </c>
      <c r="AC258" s="6">
        <v>0.3</v>
      </c>
      <c r="AD258" s="6">
        <v>0.35</v>
      </c>
      <c r="AE258" s="6">
        <v>0.35</v>
      </c>
      <c r="AF258" s="4" t="s">
        <v>6296</v>
      </c>
      <c r="AG258" s="4" t="s">
        <v>6296</v>
      </c>
      <c r="AH258" s="4" t="s">
        <v>6296</v>
      </c>
      <c r="AI258" s="4" t="s">
        <v>6296</v>
      </c>
      <c r="AJ258" s="4" t="s">
        <v>6296</v>
      </c>
      <c r="AK258" s="4" t="s">
        <v>6296</v>
      </c>
      <c r="AL258" s="4" t="s">
        <v>37</v>
      </c>
      <c r="AM258" s="4" t="s">
        <v>6296</v>
      </c>
      <c r="AN258" s="4" t="s">
        <v>6296</v>
      </c>
      <c r="AO258" s="4" t="s">
        <v>6296</v>
      </c>
      <c r="AP258" s="4" t="s">
        <v>3236</v>
      </c>
      <c r="AQ258" s="4" t="s">
        <v>47</v>
      </c>
    </row>
    <row r="259" spans="1:43" ht="12.6" customHeight="1" x14ac:dyDescent="0.25">
      <c r="A259" s="8" t="s">
        <v>5871</v>
      </c>
      <c r="B259" s="9">
        <v>20151231</v>
      </c>
      <c r="C259" s="12">
        <f>_xll.FDS("SPX","FG_PRICE(12/30/2015)")</f>
        <v>2063.36</v>
      </c>
      <c r="D259" s="12">
        <f>_xll.FDS("SPX","FG_PRICE(12/30/2017)")</f>
        <v>2673.61</v>
      </c>
      <c r="E259" s="15">
        <f>D259/C259-1</f>
        <v>0.2957554668114144</v>
      </c>
      <c r="F259" s="8" t="s">
        <v>5872</v>
      </c>
      <c r="G259" s="8" t="s">
        <v>5873</v>
      </c>
      <c r="H259" s="13">
        <f>_xll.FDS(G259,"FG_PRICE(12/30/2015)")</f>
        <v>37.270000000000003</v>
      </c>
      <c r="I259" s="13">
        <f>_xll.FDS(G259,"FG_PRICE(12/31/2017)")</f>
        <v>49.47</v>
      </c>
      <c r="J259" s="13">
        <f>I259/H259-1</f>
        <v>0.32734102495304529</v>
      </c>
      <c r="K259" s="13">
        <f>J259-E259</f>
        <v>3.1585558141630887E-2</v>
      </c>
      <c r="L259" s="13">
        <f>_xll.FDS(G259,"FF_ROE(ANN_R,12/30/2015)")</f>
        <v>15.65481397272303</v>
      </c>
      <c r="M259" s="8" t="s">
        <v>5874</v>
      </c>
      <c r="N259" s="4" t="s">
        <v>5875</v>
      </c>
      <c r="O259" s="4" t="s">
        <v>5876</v>
      </c>
      <c r="P259" s="4" t="s">
        <v>96</v>
      </c>
      <c r="Q259" s="4" t="s">
        <v>36</v>
      </c>
      <c r="R259" s="4" t="s">
        <v>61</v>
      </c>
      <c r="S259" s="4" t="s">
        <v>62</v>
      </c>
      <c r="T259" s="6" t="e">
        <v>#N/A</v>
      </c>
      <c r="U259" s="5">
        <v>57</v>
      </c>
      <c r="V259" s="5">
        <v>45</v>
      </c>
      <c r="W259" s="5">
        <v>69</v>
      </c>
      <c r="X259" s="5">
        <v>55</v>
      </c>
      <c r="Y259" s="5">
        <v>64.680000000000007</v>
      </c>
      <c r="Z259" s="5">
        <v>55.02</v>
      </c>
      <c r="AA259" s="5">
        <v>83.64</v>
      </c>
      <c r="AB259" s="5">
        <v>62.83</v>
      </c>
      <c r="AC259" s="6">
        <v>0.3</v>
      </c>
      <c r="AD259" s="6">
        <v>0.35</v>
      </c>
      <c r="AE259" s="6">
        <v>0.35</v>
      </c>
      <c r="AF259" s="4" t="s">
        <v>6296</v>
      </c>
      <c r="AG259" s="4" t="s">
        <v>6296</v>
      </c>
      <c r="AH259" s="4" t="s">
        <v>6296</v>
      </c>
      <c r="AI259" s="4" t="s">
        <v>6296</v>
      </c>
      <c r="AJ259" s="4" t="s">
        <v>6296</v>
      </c>
      <c r="AK259" s="4" t="s">
        <v>42</v>
      </c>
      <c r="AL259" s="4" t="s">
        <v>37</v>
      </c>
      <c r="AM259" s="4" t="s">
        <v>42</v>
      </c>
      <c r="AN259" s="4" t="s">
        <v>6296</v>
      </c>
      <c r="AO259" s="4" t="s">
        <v>6296</v>
      </c>
      <c r="AP259" s="4" t="s">
        <v>5877</v>
      </c>
      <c r="AQ259" s="4" t="s">
        <v>47</v>
      </c>
    </row>
    <row r="260" spans="1:43" ht="12.6" customHeight="1" x14ac:dyDescent="0.25">
      <c r="A260" s="8" t="s">
        <v>834</v>
      </c>
      <c r="B260" s="9">
        <v>20151231</v>
      </c>
      <c r="C260" s="12">
        <f>_xll.FDS("SPX","FG_PRICE(12/30/2015)")</f>
        <v>2063.36</v>
      </c>
      <c r="D260" s="12">
        <f>_xll.FDS("SPX","FG_PRICE(12/30/2017)")</f>
        <v>2673.61</v>
      </c>
      <c r="E260" s="15">
        <f>D260/C260-1</f>
        <v>0.2957554668114144</v>
      </c>
      <c r="F260" s="8" t="s">
        <v>835</v>
      </c>
      <c r="G260" s="8" t="s">
        <v>836</v>
      </c>
      <c r="H260" s="13">
        <f>_xll.FDS(G260,"FG_PRICE(12/30/2015)")</f>
        <v>28.57</v>
      </c>
      <c r="I260" s="13">
        <f>_xll.FDS(G260,"FG_PRICE(12/31/2017)")</f>
        <v>22.34</v>
      </c>
      <c r="J260" s="13">
        <f>I260/H260-1</f>
        <v>-0.21806090304515224</v>
      </c>
      <c r="K260" s="13">
        <f>J260-E260</f>
        <v>-0.51381636985656665</v>
      </c>
      <c r="L260" s="13">
        <f>_xll.FDS(G260,"FF_ROE(ANN_R,12/30/2015)")</f>
        <v>42.530944886271868</v>
      </c>
      <c r="M260" s="8" t="s">
        <v>837</v>
      </c>
      <c r="N260" s="4" t="s">
        <v>838</v>
      </c>
      <c r="O260" s="4" t="s">
        <v>839</v>
      </c>
      <c r="P260" s="4" t="s">
        <v>96</v>
      </c>
      <c r="Q260" s="4" t="s">
        <v>36</v>
      </c>
      <c r="R260" s="4" t="s">
        <v>61</v>
      </c>
      <c r="S260" s="4" t="s">
        <v>62</v>
      </c>
      <c r="T260" s="6" t="e">
        <v>#N/A</v>
      </c>
      <c r="U260" s="5">
        <v>49</v>
      </c>
      <c r="V260" s="5">
        <v>41</v>
      </c>
      <c r="W260" s="5">
        <v>53</v>
      </c>
      <c r="X260" s="5">
        <v>52</v>
      </c>
      <c r="Y260" s="5">
        <v>30.86</v>
      </c>
      <c r="Z260" s="5">
        <v>39.409999999999997</v>
      </c>
      <c r="AA260" s="6">
        <v>9.2899999999999991</v>
      </c>
      <c r="AB260" s="5">
        <v>50.56</v>
      </c>
      <c r="AC260" s="6">
        <v>0.3</v>
      </c>
      <c r="AD260" s="6">
        <v>0.35</v>
      </c>
      <c r="AE260" s="6">
        <v>0.35</v>
      </c>
      <c r="AF260" s="4" t="s">
        <v>6296</v>
      </c>
      <c r="AG260" s="4" t="s">
        <v>6296</v>
      </c>
      <c r="AH260" s="4" t="s">
        <v>6296</v>
      </c>
      <c r="AI260" s="4" t="s">
        <v>42</v>
      </c>
      <c r="AJ260" s="4" t="s">
        <v>6296</v>
      </c>
      <c r="AK260" s="4" t="s">
        <v>6296</v>
      </c>
      <c r="AL260" s="4" t="s">
        <v>37</v>
      </c>
      <c r="AM260" s="4" t="s">
        <v>6296</v>
      </c>
      <c r="AN260" s="4" t="s">
        <v>6296</v>
      </c>
      <c r="AO260" s="4" t="s">
        <v>6296</v>
      </c>
      <c r="AP260" s="4" t="s">
        <v>840</v>
      </c>
      <c r="AQ260" s="4" t="s">
        <v>47</v>
      </c>
    </row>
    <row r="261" spans="1:43" ht="12.6" customHeight="1" x14ac:dyDescent="0.25">
      <c r="A261" s="8" t="s">
        <v>6297</v>
      </c>
      <c r="B261" s="9">
        <v>20151231</v>
      </c>
      <c r="C261" s="12">
        <f>_xll.FDS("SPX","FG_PRICE(12/30/2015)")</f>
        <v>2063.36</v>
      </c>
      <c r="D261" s="12">
        <f>_xll.FDS("SPX","FG_PRICE(12/30/2017)")</f>
        <v>2673.61</v>
      </c>
      <c r="E261" s="15">
        <f>D261/C261-1</f>
        <v>0.2957554668114144</v>
      </c>
      <c r="F261" s="8" t="s">
        <v>6298</v>
      </c>
      <c r="G261" s="8" t="s">
        <v>6299</v>
      </c>
      <c r="H261" s="13">
        <f>_xll.FDS(G261,"FG_PRICE(12/30/2015)")</f>
        <v>22.316369999999999</v>
      </c>
      <c r="I261" s="13">
        <f>_xll.FDS(G261,"FG_PRICE(12/31/2017)")</f>
        <v>53.87</v>
      </c>
      <c r="J261" s="13">
        <f>I261/H261-1</f>
        <v>1.4139230528979398</v>
      </c>
      <c r="K261" s="13">
        <f>J261-E261</f>
        <v>1.1181675860865254</v>
      </c>
      <c r="L261" s="13">
        <f>_xll.FDS(G261,"FF_ROE(ANN_R,12/30/2015)")</f>
        <v>2.3407135682780909</v>
      </c>
      <c r="M261" s="8" t="s">
        <v>6300</v>
      </c>
      <c r="N261" s="4" t="s">
        <v>6301</v>
      </c>
      <c r="O261" s="4" t="s">
        <v>6302</v>
      </c>
      <c r="P261" s="4" t="s">
        <v>96</v>
      </c>
      <c r="Q261" s="4" t="s">
        <v>44</v>
      </c>
      <c r="R261" s="4" t="s">
        <v>61</v>
      </c>
      <c r="S261" s="4" t="s">
        <v>62</v>
      </c>
      <c r="T261" s="6" t="e">
        <v>#N/A</v>
      </c>
      <c r="U261" s="5">
        <v>73</v>
      </c>
      <c r="V261" s="5">
        <v>63</v>
      </c>
      <c r="W261" s="5">
        <v>79</v>
      </c>
      <c r="X261" s="5">
        <v>76</v>
      </c>
      <c r="Y261" s="5">
        <v>80.52</v>
      </c>
      <c r="Z261" s="5">
        <v>67.53</v>
      </c>
      <c r="AA261" s="5">
        <v>94.81</v>
      </c>
      <c r="AB261" s="5">
        <v>74.03</v>
      </c>
      <c r="AC261" s="6">
        <v>0.35</v>
      </c>
      <c r="AD261" s="6">
        <v>0.4</v>
      </c>
      <c r="AE261" s="6">
        <v>0.25</v>
      </c>
      <c r="AF261" s="4" t="s">
        <v>46</v>
      </c>
      <c r="AG261" s="4" t="s">
        <v>6296</v>
      </c>
      <c r="AH261" s="4" t="s">
        <v>6296</v>
      </c>
      <c r="AI261" s="4" t="s">
        <v>37</v>
      </c>
      <c r="AJ261" s="4" t="s">
        <v>6296</v>
      </c>
      <c r="AK261" s="4" t="s">
        <v>6296</v>
      </c>
      <c r="AL261" s="4" t="s">
        <v>6296</v>
      </c>
      <c r="AM261" s="4" t="s">
        <v>46</v>
      </c>
      <c r="AN261" s="4" t="s">
        <v>6296</v>
      </c>
      <c r="AO261" s="4" t="s">
        <v>6296</v>
      </c>
      <c r="AP261" s="4" t="s">
        <v>6303</v>
      </c>
      <c r="AQ261" s="4" t="s">
        <v>47</v>
      </c>
    </row>
    <row r="262" spans="1:43" ht="12.6" customHeight="1" x14ac:dyDescent="0.25">
      <c r="A262" s="8" t="s">
        <v>1052</v>
      </c>
      <c r="B262" s="9">
        <v>20151231</v>
      </c>
      <c r="C262" s="12">
        <f>_xll.FDS("SPX","FG_PRICE(12/30/2015)")</f>
        <v>2063.36</v>
      </c>
      <c r="D262" s="12">
        <f>_xll.FDS("SPX","FG_PRICE(12/30/2017)")</f>
        <v>2673.61</v>
      </c>
      <c r="E262" s="15">
        <f>D262/C262-1</f>
        <v>0.2957554668114144</v>
      </c>
      <c r="F262" s="8" t="s">
        <v>1053</v>
      </c>
      <c r="G262" s="8" t="s">
        <v>1054</v>
      </c>
      <c r="H262" s="13">
        <f>_xll.FDS(G262,"FG_PRICE(12/30/2015)")</f>
        <v>75.81</v>
      </c>
      <c r="I262" s="13">
        <f>_xll.FDS(G262,"FG_PRICE(12/31/2017)")</f>
        <v>72.25</v>
      </c>
      <c r="J262" s="13">
        <f>I262/H262-1</f>
        <v>-4.6959504023215914E-2</v>
      </c>
      <c r="K262" s="13">
        <f>J262-E262</f>
        <v>-0.34271497083463032</v>
      </c>
      <c r="L262" s="13">
        <f>_xll.FDS(G262,"FF_ROE(ANN_R,12/30/2015)")</f>
        <v>35.833747309157147</v>
      </c>
      <c r="M262" s="8" t="s">
        <v>1055</v>
      </c>
      <c r="N262" s="4" t="s">
        <v>1056</v>
      </c>
      <c r="O262" s="4" t="s">
        <v>1057</v>
      </c>
      <c r="P262" s="4" t="s">
        <v>96</v>
      </c>
      <c r="Q262" s="4" t="s">
        <v>44</v>
      </c>
      <c r="R262" s="4" t="s">
        <v>61</v>
      </c>
      <c r="S262" s="4" t="s">
        <v>62</v>
      </c>
      <c r="T262" s="6" t="e">
        <v>#N/A</v>
      </c>
      <c r="U262" s="5">
        <v>48</v>
      </c>
      <c r="V262" s="5">
        <v>41</v>
      </c>
      <c r="W262" s="5">
        <v>50</v>
      </c>
      <c r="X262" s="5">
        <v>56</v>
      </c>
      <c r="Y262" s="5">
        <v>20.78</v>
      </c>
      <c r="Z262" s="5">
        <v>16.88</v>
      </c>
      <c r="AA262" s="5">
        <v>32.47</v>
      </c>
      <c r="AB262" s="5">
        <v>27.27</v>
      </c>
      <c r="AC262" s="6">
        <v>0.35</v>
      </c>
      <c r="AD262" s="6">
        <v>0.4</v>
      </c>
      <c r="AE262" s="6">
        <v>0.25</v>
      </c>
      <c r="AF262" s="4" t="s">
        <v>6296</v>
      </c>
      <c r="AG262" s="4" t="s">
        <v>6296</v>
      </c>
      <c r="AH262" s="4" t="s">
        <v>6296</v>
      </c>
      <c r="AI262" s="4" t="s">
        <v>42</v>
      </c>
      <c r="AJ262" s="4" t="s">
        <v>6296</v>
      </c>
      <c r="AK262" s="4" t="s">
        <v>6296</v>
      </c>
      <c r="AL262" s="4" t="s">
        <v>6296</v>
      </c>
      <c r="AM262" s="4" t="s">
        <v>6296</v>
      </c>
      <c r="AN262" s="4" t="s">
        <v>6296</v>
      </c>
      <c r="AO262" s="4" t="s">
        <v>6296</v>
      </c>
      <c r="AP262" s="4" t="s">
        <v>1058</v>
      </c>
      <c r="AQ262" s="4" t="s">
        <v>47</v>
      </c>
    </row>
    <row r="263" spans="1:43" ht="12.6" customHeight="1" x14ac:dyDescent="0.25">
      <c r="A263" s="8" t="s">
        <v>1678</v>
      </c>
      <c r="B263" s="9">
        <v>20151231</v>
      </c>
      <c r="C263" s="12">
        <f>_xll.FDS("SPX","FG_PRICE(12/30/2015)")</f>
        <v>2063.36</v>
      </c>
      <c r="D263" s="12">
        <f>_xll.FDS("SPX","FG_PRICE(12/30/2017)")</f>
        <v>2673.61</v>
      </c>
      <c r="E263" s="15">
        <f>D263/C263-1</f>
        <v>0.2957554668114144</v>
      </c>
      <c r="F263" s="8" t="s">
        <v>1679</v>
      </c>
      <c r="G263" s="8" t="s">
        <v>1680</v>
      </c>
      <c r="H263" s="13">
        <f>_xll.FDS(G263,"FG_PRICE(12/30/2015)")</f>
        <v>6.77</v>
      </c>
      <c r="I263" s="13">
        <f>_xll.FDS(G263,"FG_PRICE(12/31/2017)")</f>
        <v>18.96</v>
      </c>
      <c r="J263" s="13">
        <f>I263/H263-1</f>
        <v>1.8005908419497789</v>
      </c>
      <c r="K263" s="13">
        <f>J263-E263</f>
        <v>1.5048353751383645</v>
      </c>
      <c r="L263" s="13">
        <f>_xll.FDS(G263,"FF_ROE(ANN_R,12/30/2015)")</f>
        <v>-6.6851941561918364</v>
      </c>
      <c r="M263" s="8" t="s">
        <v>1681</v>
      </c>
      <c r="N263" s="4" t="s">
        <v>1682</v>
      </c>
      <c r="O263" s="4" t="s">
        <v>1683</v>
      </c>
      <c r="P263" s="4" t="s">
        <v>96</v>
      </c>
      <c r="Q263" s="4" t="s">
        <v>44</v>
      </c>
      <c r="R263" s="4" t="s">
        <v>61</v>
      </c>
      <c r="S263" s="4" t="s">
        <v>62</v>
      </c>
      <c r="T263" s="6" t="e">
        <v>#N/A</v>
      </c>
      <c r="U263" s="5">
        <v>70</v>
      </c>
      <c r="V263" s="5">
        <v>54</v>
      </c>
      <c r="W263" s="5">
        <v>74</v>
      </c>
      <c r="X263" s="5">
        <v>86</v>
      </c>
      <c r="Y263" s="5">
        <v>76.62</v>
      </c>
      <c r="Z263" s="5">
        <v>44.16</v>
      </c>
      <c r="AA263" s="5">
        <v>88.31</v>
      </c>
      <c r="AB263" s="5">
        <v>89.61</v>
      </c>
      <c r="AC263" s="6">
        <v>0.35</v>
      </c>
      <c r="AD263" s="6">
        <v>0.4</v>
      </c>
      <c r="AE263" s="6">
        <v>0.25</v>
      </c>
      <c r="AF263" s="4" t="s">
        <v>248</v>
      </c>
      <c r="AG263" s="4" t="s">
        <v>6296</v>
      </c>
      <c r="AH263" s="4" t="s">
        <v>6296</v>
      </c>
      <c r="AI263" s="4" t="s">
        <v>45</v>
      </c>
      <c r="AJ263" s="4" t="s">
        <v>42</v>
      </c>
      <c r="AK263" s="4" t="s">
        <v>6296</v>
      </c>
      <c r="AL263" s="4" t="s">
        <v>37</v>
      </c>
      <c r="AM263" s="4" t="s">
        <v>6296</v>
      </c>
      <c r="AN263" s="4" t="s">
        <v>37</v>
      </c>
      <c r="AO263" s="4" t="s">
        <v>6296</v>
      </c>
      <c r="AP263" s="4" t="s">
        <v>1684</v>
      </c>
      <c r="AQ263" s="4" t="s">
        <v>47</v>
      </c>
    </row>
    <row r="264" spans="1:43" ht="12.6" customHeight="1" x14ac:dyDescent="0.25">
      <c r="A264" s="8" t="s">
        <v>5170</v>
      </c>
      <c r="B264" s="9">
        <v>20151231</v>
      </c>
      <c r="C264" s="12">
        <f>_xll.FDS("SPX","FG_PRICE(12/30/2015)")</f>
        <v>2063.36</v>
      </c>
      <c r="D264" s="12">
        <f>_xll.FDS("SPX","FG_PRICE(12/30/2017)")</f>
        <v>2673.61</v>
      </c>
      <c r="E264" s="15">
        <f>D264/C264-1</f>
        <v>0.2957554668114144</v>
      </c>
      <c r="F264" s="8" t="s">
        <v>5171</v>
      </c>
      <c r="G264" s="8" t="s">
        <v>5172</v>
      </c>
      <c r="H264" s="13">
        <f>_xll.FDS(G264,"FG_PRICE(12/30/2015)")</f>
        <v>2.6499999999999999E-2</v>
      </c>
      <c r="I264" s="13" t="e">
        <f>_xll.FDS(G264,"FG_PRICE(12/31/2017)")</f>
        <v>#N/A</v>
      </c>
      <c r="J264" s="13" t="e">
        <f>I264/H264-1</f>
        <v>#N/A</v>
      </c>
      <c r="K264" s="13" t="e">
        <f>J264-E264</f>
        <v>#N/A</v>
      </c>
      <c r="L264" s="13">
        <f>_xll.FDS(G264,"FF_ROE(ANN_R,12/30/2015)")</f>
        <v>-56.411203275004297</v>
      </c>
      <c r="M264" s="8" t="s">
        <v>5173</v>
      </c>
      <c r="N264" s="4" t="s">
        <v>5174</v>
      </c>
      <c r="O264" s="4" t="s">
        <v>47</v>
      </c>
      <c r="P264" s="4" t="s">
        <v>320</v>
      </c>
      <c r="Q264" s="4" t="s">
        <v>44</v>
      </c>
      <c r="R264" s="4" t="s">
        <v>61</v>
      </c>
      <c r="S264" s="4" t="s">
        <v>62</v>
      </c>
      <c r="T264" s="6" t="e">
        <v>#N/A</v>
      </c>
      <c r="U264" s="5">
        <v>52</v>
      </c>
      <c r="V264" s="5">
        <v>51</v>
      </c>
      <c r="W264" s="5">
        <v>44</v>
      </c>
      <c r="X264" s="5">
        <v>64</v>
      </c>
      <c r="Y264" s="5">
        <v>32.47</v>
      </c>
      <c r="Z264" s="5">
        <v>35.06</v>
      </c>
      <c r="AA264" s="5">
        <v>12.99</v>
      </c>
      <c r="AB264" s="5">
        <v>55.84</v>
      </c>
      <c r="AC264" s="6">
        <v>0.35</v>
      </c>
      <c r="AD264" s="6">
        <v>0.4</v>
      </c>
      <c r="AE264" s="6">
        <v>0.25</v>
      </c>
      <c r="AF264" s="4" t="s">
        <v>42</v>
      </c>
      <c r="AG264" s="4" t="s">
        <v>6296</v>
      </c>
      <c r="AH264" s="4" t="s">
        <v>6296</v>
      </c>
      <c r="AI264" s="4" t="s">
        <v>6296</v>
      </c>
      <c r="AJ264" s="4" t="s">
        <v>6296</v>
      </c>
      <c r="AK264" s="4" t="s">
        <v>6296</v>
      </c>
      <c r="AL264" s="4" t="s">
        <v>6296</v>
      </c>
      <c r="AM264" s="4" t="s">
        <v>6296</v>
      </c>
      <c r="AN264" s="4" t="s">
        <v>42</v>
      </c>
      <c r="AO264" s="4" t="s">
        <v>6296</v>
      </c>
      <c r="AP264" s="4" t="s">
        <v>5175</v>
      </c>
      <c r="AQ264" s="4" t="s">
        <v>47</v>
      </c>
    </row>
    <row r="265" spans="1:43" ht="12.6" customHeight="1" x14ac:dyDescent="0.25">
      <c r="A265" s="8" t="s">
        <v>3733</v>
      </c>
      <c r="B265" s="9">
        <v>20151231</v>
      </c>
      <c r="C265" s="12">
        <f>_xll.FDS("SPX","FG_PRICE(12/30/2015)")</f>
        <v>2063.36</v>
      </c>
      <c r="D265" s="12">
        <f>_xll.FDS("SPX","FG_PRICE(12/30/2017)")</f>
        <v>2673.61</v>
      </c>
      <c r="E265" s="15">
        <f>D265/C265-1</f>
        <v>0.2957554668114144</v>
      </c>
      <c r="F265" s="8" t="s">
        <v>3734</v>
      </c>
      <c r="G265" s="8" t="s">
        <v>3735</v>
      </c>
      <c r="H265" s="13">
        <f>_xll.FDS(G265,"FG_PRICE(12/30/2015)")</f>
        <v>26.34</v>
      </c>
      <c r="I265" s="13">
        <f>_xll.FDS(G265,"FG_PRICE(12/31/2017)")</f>
        <v>47.45</v>
      </c>
      <c r="J265" s="13">
        <f>I265/H265-1</f>
        <v>0.80144267274107839</v>
      </c>
      <c r="K265" s="13">
        <f>J265-E265</f>
        <v>0.50568720592966399</v>
      </c>
      <c r="L265" s="13">
        <f>_xll.FDS(G265,"FF_ROE(ANN_R,12/30/2015)")</f>
        <v>23.513117957277231</v>
      </c>
      <c r="M265" s="8" t="s">
        <v>3736</v>
      </c>
      <c r="N265" s="4" t="s">
        <v>3736</v>
      </c>
      <c r="O265" s="4" t="s">
        <v>3737</v>
      </c>
      <c r="P265" s="4" t="s">
        <v>96</v>
      </c>
      <c r="Q265" s="4" t="s">
        <v>44</v>
      </c>
      <c r="R265" s="4" t="s">
        <v>61</v>
      </c>
      <c r="S265" s="4" t="s">
        <v>62</v>
      </c>
      <c r="T265" s="6" t="e">
        <v>#N/A</v>
      </c>
      <c r="U265" s="5">
        <v>42</v>
      </c>
      <c r="V265" s="5">
        <v>35</v>
      </c>
      <c r="W265" s="5">
        <v>41</v>
      </c>
      <c r="X265" s="5">
        <v>52</v>
      </c>
      <c r="Y265" s="6">
        <v>1.3</v>
      </c>
      <c r="Z265" s="6">
        <v>3.9</v>
      </c>
      <c r="AA265" s="6">
        <v>3.9</v>
      </c>
      <c r="AB265" s="5">
        <v>19.48</v>
      </c>
      <c r="AC265" s="6">
        <v>0.35</v>
      </c>
      <c r="AD265" s="6">
        <v>0.4</v>
      </c>
      <c r="AE265" s="6">
        <v>0.25</v>
      </c>
      <c r="AF265" s="4" t="s">
        <v>45</v>
      </c>
      <c r="AG265" s="4" t="s">
        <v>6296</v>
      </c>
      <c r="AH265" s="4" t="s">
        <v>6296</v>
      </c>
      <c r="AI265" s="4" t="s">
        <v>248</v>
      </c>
      <c r="AJ265" s="4" t="s">
        <v>6296</v>
      </c>
      <c r="AK265" s="4" t="s">
        <v>6296</v>
      </c>
      <c r="AL265" s="4" t="s">
        <v>46</v>
      </c>
      <c r="AM265" s="4" t="s">
        <v>6296</v>
      </c>
      <c r="AN265" s="4" t="s">
        <v>37</v>
      </c>
      <c r="AO265" s="4" t="s">
        <v>6296</v>
      </c>
      <c r="AP265" s="4" t="s">
        <v>3738</v>
      </c>
      <c r="AQ265" s="4" t="s">
        <v>47</v>
      </c>
    </row>
    <row r="266" spans="1:43" ht="12.6" customHeight="1" x14ac:dyDescent="0.25">
      <c r="A266" s="8" t="s">
        <v>2046</v>
      </c>
      <c r="B266" s="9">
        <v>20151231</v>
      </c>
      <c r="C266" s="12">
        <f>_xll.FDS("SPX","FG_PRICE(12/30/2015)")</f>
        <v>2063.36</v>
      </c>
      <c r="D266" s="12">
        <f>_xll.FDS("SPX","FG_PRICE(12/30/2017)")</f>
        <v>2673.61</v>
      </c>
      <c r="E266" s="15">
        <f>D266/C266-1</f>
        <v>0.2957554668114144</v>
      </c>
      <c r="F266" s="8" t="s">
        <v>2047</v>
      </c>
      <c r="G266" s="8" t="s">
        <v>2048</v>
      </c>
      <c r="H266" s="13">
        <f>_xll.FDS(G266,"FG_PRICE(12/30/2015)")</f>
        <v>0.28000000000000003</v>
      </c>
      <c r="I266" s="13" t="e">
        <f>_xll.FDS(G266,"FG_PRICE(12/31/2017)")</f>
        <v>#N/A</v>
      </c>
      <c r="J266" s="13" t="e">
        <f>I266/H266-1</f>
        <v>#N/A</v>
      </c>
      <c r="K266" s="13" t="e">
        <f>J266-E266</f>
        <v>#N/A</v>
      </c>
      <c r="L266" s="13">
        <f>_xll.FDS(G266,"FF_ROE(ANN_R,12/30/2015)")</f>
        <v>-12.451714489622519</v>
      </c>
      <c r="M266" s="8" t="s">
        <v>2049</v>
      </c>
      <c r="N266" s="4" t="s">
        <v>2049</v>
      </c>
      <c r="O266" s="4" t="s">
        <v>2050</v>
      </c>
      <c r="P266" s="4" t="s">
        <v>108</v>
      </c>
      <c r="Q266" s="4" t="s">
        <v>44</v>
      </c>
      <c r="R266" s="4" t="s">
        <v>61</v>
      </c>
      <c r="S266" s="4" t="s">
        <v>62</v>
      </c>
      <c r="T266" s="6" t="e">
        <v>#N/A</v>
      </c>
      <c r="U266" s="5">
        <v>57</v>
      </c>
      <c r="V266" s="5">
        <v>55</v>
      </c>
      <c r="W266" s="5">
        <v>52</v>
      </c>
      <c r="X266" s="5">
        <v>67</v>
      </c>
      <c r="Y266" s="5">
        <v>46.75</v>
      </c>
      <c r="Z266" s="5">
        <v>49.35</v>
      </c>
      <c r="AA266" s="5">
        <v>37.659999999999997</v>
      </c>
      <c r="AB266" s="5">
        <v>59.74</v>
      </c>
      <c r="AC266" s="6">
        <v>0.35</v>
      </c>
      <c r="AD266" s="6">
        <v>0.4</v>
      </c>
      <c r="AE266" s="6">
        <v>0.25</v>
      </c>
      <c r="AF266" s="4" t="s">
        <v>6296</v>
      </c>
      <c r="AG266" s="4" t="s">
        <v>6296</v>
      </c>
      <c r="AH266" s="4" t="s">
        <v>6296</v>
      </c>
      <c r="AI266" s="4" t="s">
        <v>42</v>
      </c>
      <c r="AJ266" s="4" t="s">
        <v>6296</v>
      </c>
      <c r="AK266" s="4" t="s">
        <v>6296</v>
      </c>
      <c r="AL266" s="4" t="s">
        <v>37</v>
      </c>
      <c r="AM266" s="4" t="s">
        <v>6296</v>
      </c>
      <c r="AN266" s="4" t="s">
        <v>6296</v>
      </c>
      <c r="AO266" s="4" t="s">
        <v>6296</v>
      </c>
      <c r="AP266" s="4" t="s">
        <v>2051</v>
      </c>
      <c r="AQ266" s="4" t="s">
        <v>47</v>
      </c>
    </row>
    <row r="267" spans="1:43" ht="12.6" customHeight="1" x14ac:dyDescent="0.25">
      <c r="A267" s="8" t="s">
        <v>580</v>
      </c>
      <c r="B267" s="9">
        <v>20151231</v>
      </c>
      <c r="C267" s="12">
        <f>_xll.FDS("SPX","FG_PRICE(12/30/2015)")</f>
        <v>2063.36</v>
      </c>
      <c r="D267" s="12">
        <f>_xll.FDS("SPX","FG_PRICE(12/30/2017)")</f>
        <v>2673.61</v>
      </c>
      <c r="E267" s="15">
        <f>D267/C267-1</f>
        <v>0.2957554668114144</v>
      </c>
      <c r="F267" s="8" t="s">
        <v>581</v>
      </c>
      <c r="G267" s="8" t="s">
        <v>582</v>
      </c>
      <c r="H267" s="13">
        <f>_xll.FDS(G267,"FG_PRICE(12/30/2015)")</f>
        <v>54.18</v>
      </c>
      <c r="I267" s="13">
        <f>_xll.FDS(G267,"FG_PRICE(12/31/2017)")</f>
        <v>72.47</v>
      </c>
      <c r="J267" s="13">
        <f>I267/H267-1</f>
        <v>0.33757844222960509</v>
      </c>
      <c r="K267" s="13">
        <f>J267-E267</f>
        <v>4.1822975418190689E-2</v>
      </c>
      <c r="L267" s="13">
        <f>_xll.FDS(G267,"FF_ROE(ANN_R,12/30/2015)")</f>
        <v>18.334038617358889</v>
      </c>
      <c r="M267" s="8" t="s">
        <v>583</v>
      </c>
      <c r="N267" s="4" t="s">
        <v>584</v>
      </c>
      <c r="O267" s="4" t="s">
        <v>585</v>
      </c>
      <c r="P267" s="4" t="s">
        <v>96</v>
      </c>
      <c r="Q267" s="4" t="s">
        <v>513</v>
      </c>
      <c r="R267" s="4" t="s">
        <v>61</v>
      </c>
      <c r="S267" s="4" t="s">
        <v>62</v>
      </c>
      <c r="T267" s="6" t="e">
        <v>#N/A</v>
      </c>
      <c r="U267" s="5">
        <v>50</v>
      </c>
      <c r="V267" s="5">
        <v>46</v>
      </c>
      <c r="W267" s="5">
        <v>48</v>
      </c>
      <c r="X267" s="5">
        <v>61</v>
      </c>
      <c r="Y267" s="5">
        <v>14.75</v>
      </c>
      <c r="Z267" s="5">
        <v>22.95</v>
      </c>
      <c r="AA267" s="5">
        <v>13.11</v>
      </c>
      <c r="AB267" s="5">
        <v>39.340000000000003</v>
      </c>
      <c r="AC267" s="6">
        <v>0.4</v>
      </c>
      <c r="AD267" s="6">
        <v>0.35</v>
      </c>
      <c r="AE267" s="6">
        <v>0.25</v>
      </c>
      <c r="AF267" s="4" t="s">
        <v>37</v>
      </c>
      <c r="AG267" s="4" t="s">
        <v>6296</v>
      </c>
      <c r="AH267" s="4" t="s">
        <v>6296</v>
      </c>
      <c r="AI267" s="4" t="s">
        <v>6296</v>
      </c>
      <c r="AJ267" s="4" t="s">
        <v>6296</v>
      </c>
      <c r="AK267" s="4" t="s">
        <v>6296</v>
      </c>
      <c r="AL267" s="4" t="s">
        <v>6296</v>
      </c>
      <c r="AM267" s="4" t="s">
        <v>6296</v>
      </c>
      <c r="AN267" s="4" t="s">
        <v>6296</v>
      </c>
      <c r="AO267" s="4" t="s">
        <v>6296</v>
      </c>
      <c r="AP267" s="4" t="s">
        <v>586</v>
      </c>
      <c r="AQ267" s="4" t="s">
        <v>47</v>
      </c>
    </row>
    <row r="268" spans="1:43" ht="12.6" customHeight="1" x14ac:dyDescent="0.25">
      <c r="A268" s="8" t="s">
        <v>3680</v>
      </c>
      <c r="B268" s="9">
        <v>20151231</v>
      </c>
      <c r="C268" s="12">
        <f>_xll.FDS("SPX","FG_PRICE(12/30/2015)")</f>
        <v>2063.36</v>
      </c>
      <c r="D268" s="12">
        <f>_xll.FDS("SPX","FG_PRICE(12/30/2017)")</f>
        <v>2673.61</v>
      </c>
      <c r="E268" s="15">
        <f>D268/C268-1</f>
        <v>0.2957554668114144</v>
      </c>
      <c r="F268" s="8" t="s">
        <v>3681</v>
      </c>
      <c r="G268" s="8" t="s">
        <v>3682</v>
      </c>
      <c r="H268" s="13">
        <f>_xll.FDS(G268,"FG_PRICE(12/30/2015)")</f>
        <v>235.93</v>
      </c>
      <c r="I268" s="13">
        <f>_xll.FDS(G268,"FG_PRICE(12/31/2017)")</f>
        <v>176</v>
      </c>
      <c r="J268" s="13">
        <f>I268/H268-1</f>
        <v>-0.25401602170135207</v>
      </c>
      <c r="K268" s="13">
        <f>J268-E268</f>
        <v>-0.54977148851276647</v>
      </c>
      <c r="L268" s="13">
        <f>_xll.FDS(G268,"FF_ROE(ANN_R,12/30/2015)")</f>
        <v>17.523281157123041</v>
      </c>
      <c r="M268" s="8" t="s">
        <v>3683</v>
      </c>
      <c r="N268" s="4" t="s">
        <v>3684</v>
      </c>
      <c r="O268" s="4" t="s">
        <v>3685</v>
      </c>
      <c r="P268" s="4" t="s">
        <v>96</v>
      </c>
      <c r="Q268" s="4" t="s">
        <v>513</v>
      </c>
      <c r="R268" s="4" t="s">
        <v>61</v>
      </c>
      <c r="S268" s="4" t="s">
        <v>62</v>
      </c>
      <c r="T268" s="6" t="e">
        <v>#N/A</v>
      </c>
      <c r="U268" s="5">
        <v>50</v>
      </c>
      <c r="V268" s="5">
        <v>44</v>
      </c>
      <c r="W268" s="5">
        <v>45</v>
      </c>
      <c r="X268" s="5">
        <v>64</v>
      </c>
      <c r="Y268" s="5">
        <v>14.75</v>
      </c>
      <c r="Z268" s="5">
        <v>16.39</v>
      </c>
      <c r="AA268" s="6">
        <v>3.28</v>
      </c>
      <c r="AB268" s="5">
        <v>50.82</v>
      </c>
      <c r="AC268" s="6">
        <v>0.4</v>
      </c>
      <c r="AD268" s="6">
        <v>0.35</v>
      </c>
      <c r="AE268" s="6">
        <v>0.25</v>
      </c>
      <c r="AF268" s="4" t="s">
        <v>6296</v>
      </c>
      <c r="AG268" s="4" t="s">
        <v>6296</v>
      </c>
      <c r="AH268" s="4" t="s">
        <v>6296</v>
      </c>
      <c r="AI268" s="4" t="s">
        <v>6296</v>
      </c>
      <c r="AJ268" s="4" t="s">
        <v>6296</v>
      </c>
      <c r="AK268" s="4" t="s">
        <v>6296</v>
      </c>
      <c r="AL268" s="4" t="s">
        <v>6296</v>
      </c>
      <c r="AM268" s="4" t="s">
        <v>6296</v>
      </c>
      <c r="AN268" s="4" t="s">
        <v>6296</v>
      </c>
      <c r="AO268" s="4" t="s">
        <v>6296</v>
      </c>
      <c r="AP268" s="4" t="s">
        <v>3686</v>
      </c>
      <c r="AQ268" s="4" t="s">
        <v>47</v>
      </c>
    </row>
    <row r="269" spans="1:43" ht="12.6" customHeight="1" x14ac:dyDescent="0.25">
      <c r="A269" s="8" t="s">
        <v>1756</v>
      </c>
      <c r="B269" s="9">
        <v>20151231</v>
      </c>
      <c r="C269" s="12">
        <f>_xll.FDS("SPX","FG_PRICE(12/30/2015)")</f>
        <v>2063.36</v>
      </c>
      <c r="D269" s="12">
        <f>_xll.FDS("SPX","FG_PRICE(12/30/2017)")</f>
        <v>2673.61</v>
      </c>
      <c r="E269" s="15">
        <f>D269/C269-1</f>
        <v>0.2957554668114144</v>
      </c>
      <c r="F269" s="8" t="s">
        <v>1757</v>
      </c>
      <c r="G269" s="8" t="s">
        <v>1758</v>
      </c>
      <c r="H269" s="13">
        <f>_xll.FDS(G269,"FG_PRICE(12/30/2015)")</f>
        <v>13.65</v>
      </c>
      <c r="I269" s="13">
        <f>_xll.FDS(G269,"FG_PRICE(12/31/2017)")</f>
        <v>29.6</v>
      </c>
      <c r="J269" s="13">
        <f>I269/H269-1</f>
        <v>1.1684981684981683</v>
      </c>
      <c r="K269" s="13">
        <f>J269-E269</f>
        <v>0.87274270168675394</v>
      </c>
      <c r="L269" s="13">
        <f>_xll.FDS(G269,"FF_ROE(ANN_R,12/30/2015)")</f>
        <v>-72.458581077180611</v>
      </c>
      <c r="M269" s="8" t="s">
        <v>1759</v>
      </c>
      <c r="N269" s="4" t="s">
        <v>1759</v>
      </c>
      <c r="O269" s="4" t="s">
        <v>1760</v>
      </c>
      <c r="P269" s="4" t="s">
        <v>96</v>
      </c>
      <c r="Q269" s="4" t="s">
        <v>513</v>
      </c>
      <c r="R269" s="4" t="s">
        <v>61</v>
      </c>
      <c r="S269" s="4" t="s">
        <v>62</v>
      </c>
      <c r="T269" s="6" t="e">
        <v>#N/A</v>
      </c>
      <c r="U269" s="5">
        <v>57</v>
      </c>
      <c r="V269" s="5">
        <v>47</v>
      </c>
      <c r="W269" s="5">
        <v>54</v>
      </c>
      <c r="X269" s="5">
        <v>78</v>
      </c>
      <c r="Y269" s="5">
        <v>44.26</v>
      </c>
      <c r="Z269" s="5">
        <v>29.51</v>
      </c>
      <c r="AA269" s="5">
        <v>40.98</v>
      </c>
      <c r="AB269" s="5">
        <v>95.08</v>
      </c>
      <c r="AC269" s="6">
        <v>0.4</v>
      </c>
      <c r="AD269" s="6">
        <v>0.35</v>
      </c>
      <c r="AE269" s="6">
        <v>0.25</v>
      </c>
      <c r="AF269" s="4" t="s">
        <v>6296</v>
      </c>
      <c r="AG269" s="4" t="s">
        <v>6296</v>
      </c>
      <c r="AH269" s="4" t="s">
        <v>6296</v>
      </c>
      <c r="AI269" s="4" t="s">
        <v>6296</v>
      </c>
      <c r="AJ269" s="4" t="s">
        <v>6296</v>
      </c>
      <c r="AK269" s="4" t="s">
        <v>42</v>
      </c>
      <c r="AL269" s="4" t="s">
        <v>6296</v>
      </c>
      <c r="AM269" s="4" t="s">
        <v>37</v>
      </c>
      <c r="AN269" s="4" t="s">
        <v>6296</v>
      </c>
      <c r="AO269" s="4" t="s">
        <v>6296</v>
      </c>
      <c r="AP269" s="4" t="s">
        <v>1761</v>
      </c>
      <c r="AQ269" s="4" t="s">
        <v>47</v>
      </c>
    </row>
    <row r="270" spans="1:43" ht="12.6" customHeight="1" x14ac:dyDescent="0.25">
      <c r="A270" s="8" t="s">
        <v>6255</v>
      </c>
      <c r="B270" s="9">
        <v>20151231</v>
      </c>
      <c r="C270" s="12">
        <f>_xll.FDS("SPX","FG_PRICE(12/30/2015)")</f>
        <v>2063.36</v>
      </c>
      <c r="D270" s="12">
        <f>_xll.FDS("SPX","FG_PRICE(12/30/2017)")</f>
        <v>2673.61</v>
      </c>
      <c r="E270" s="15">
        <f>D270/C270-1</f>
        <v>0.2957554668114144</v>
      </c>
      <c r="F270" s="8" t="s">
        <v>6256</v>
      </c>
      <c r="G270" s="8" t="s">
        <v>6257</v>
      </c>
      <c r="H270" s="13">
        <f>_xll.FDS(G270,"FG_PRICE(12/30/2015)")</f>
        <v>32.19</v>
      </c>
      <c r="I270" s="13">
        <f>_xll.FDS(G270,"FG_PRICE(12/31/2017)")</f>
        <v>60.49</v>
      </c>
      <c r="J270" s="13">
        <f>I270/H270-1</f>
        <v>0.87915501708605182</v>
      </c>
      <c r="K270" s="13">
        <f>J270-E270</f>
        <v>0.58339955027463741</v>
      </c>
      <c r="L270" s="13">
        <f>_xll.FDS(G270,"FF_ROE(ANN_R,12/30/2015)")</f>
        <v>2.7168459145850199</v>
      </c>
      <c r="M270" s="8" t="s">
        <v>6258</v>
      </c>
      <c r="N270" s="4" t="s">
        <v>6259</v>
      </c>
      <c r="O270" s="4" t="s">
        <v>6260</v>
      </c>
      <c r="P270" s="4" t="s">
        <v>96</v>
      </c>
      <c r="Q270" s="4" t="s">
        <v>513</v>
      </c>
      <c r="R270" s="4" t="s">
        <v>61</v>
      </c>
      <c r="S270" s="4" t="s">
        <v>62</v>
      </c>
      <c r="T270" s="6" t="e">
        <v>#N/A</v>
      </c>
      <c r="U270" s="5">
        <v>50</v>
      </c>
      <c r="V270" s="5">
        <v>39</v>
      </c>
      <c r="W270" s="5">
        <v>51</v>
      </c>
      <c r="X270" s="5">
        <v>66</v>
      </c>
      <c r="Y270" s="5">
        <v>14.75</v>
      </c>
      <c r="Z270" s="6">
        <v>4.92</v>
      </c>
      <c r="AA270" s="5">
        <v>21.31</v>
      </c>
      <c r="AB270" s="5">
        <v>59.02</v>
      </c>
      <c r="AC270" s="6">
        <v>0.4</v>
      </c>
      <c r="AD270" s="6">
        <v>0.35</v>
      </c>
      <c r="AE270" s="6">
        <v>0.25</v>
      </c>
      <c r="AF270" s="4" t="s">
        <v>6296</v>
      </c>
      <c r="AG270" s="4" t="s">
        <v>6296</v>
      </c>
      <c r="AH270" s="4" t="s">
        <v>6296</v>
      </c>
      <c r="AI270" s="4" t="s">
        <v>6296</v>
      </c>
      <c r="AJ270" s="4" t="s">
        <v>6296</v>
      </c>
      <c r="AK270" s="4" t="s">
        <v>6296</v>
      </c>
      <c r="AL270" s="4" t="s">
        <v>6296</v>
      </c>
      <c r="AM270" s="4" t="s">
        <v>42</v>
      </c>
      <c r="AN270" s="4" t="s">
        <v>6296</v>
      </c>
      <c r="AO270" s="4" t="s">
        <v>6296</v>
      </c>
      <c r="AP270" s="4" t="s">
        <v>6261</v>
      </c>
      <c r="AQ270" s="4" t="s">
        <v>47</v>
      </c>
    </row>
    <row r="271" spans="1:43" ht="12.6" customHeight="1" x14ac:dyDescent="0.25">
      <c r="A271" s="8" t="s">
        <v>1504</v>
      </c>
      <c r="B271" s="9">
        <v>20151231</v>
      </c>
      <c r="C271" s="12">
        <f>_xll.FDS("SPX","FG_PRICE(12/30/2015)")</f>
        <v>2063.36</v>
      </c>
      <c r="D271" s="12">
        <f>_xll.FDS("SPX","FG_PRICE(12/30/2017)")</f>
        <v>2673.61</v>
      </c>
      <c r="E271" s="15">
        <f>D271/C271-1</f>
        <v>0.2957554668114144</v>
      </c>
      <c r="F271" s="8" t="s">
        <v>1505</v>
      </c>
      <c r="G271" s="8" t="s">
        <v>1506</v>
      </c>
      <c r="H271" s="13">
        <f>_xll.FDS(G271,"FG_PRICE(12/30/2015)")</f>
        <v>48.53</v>
      </c>
      <c r="I271" s="13">
        <f>_xll.FDS(G271,"FG_PRICE(12/31/2017)")</f>
        <v>69.69</v>
      </c>
      <c r="J271" s="13">
        <f>I271/H271-1</f>
        <v>0.4360189573459714</v>
      </c>
      <c r="K271" s="13">
        <f>J271-E271</f>
        <v>0.140263490534557</v>
      </c>
      <c r="L271" s="13">
        <f>_xll.FDS(G271,"FF_ROE(ANN_R,12/30/2015)")</f>
        <v>27.659340659340661</v>
      </c>
      <c r="M271" s="8" t="s">
        <v>1507</v>
      </c>
      <c r="N271" s="4" t="s">
        <v>1507</v>
      </c>
      <c r="O271" s="4" t="s">
        <v>1508</v>
      </c>
      <c r="P271" s="4" t="s">
        <v>96</v>
      </c>
      <c r="Q271" s="4" t="s">
        <v>513</v>
      </c>
      <c r="R271" s="4" t="s">
        <v>61</v>
      </c>
      <c r="S271" s="4" t="s">
        <v>62</v>
      </c>
      <c r="T271" s="6" t="e">
        <v>#N/A</v>
      </c>
      <c r="U271" s="5">
        <v>62</v>
      </c>
      <c r="V271" s="5">
        <v>64</v>
      </c>
      <c r="W271" s="5">
        <v>63</v>
      </c>
      <c r="X271" s="5">
        <v>60</v>
      </c>
      <c r="Y271" s="5">
        <v>65.569999999999993</v>
      </c>
      <c r="Z271" s="5">
        <v>65.569999999999993</v>
      </c>
      <c r="AA271" s="5">
        <v>70.489999999999995</v>
      </c>
      <c r="AB271" s="5">
        <v>37.700000000000003</v>
      </c>
      <c r="AC271" s="6">
        <v>0.4</v>
      </c>
      <c r="AD271" s="6">
        <v>0.35</v>
      </c>
      <c r="AE271" s="6">
        <v>0.25</v>
      </c>
      <c r="AF271" s="4" t="s">
        <v>6296</v>
      </c>
      <c r="AG271" s="4" t="s">
        <v>6296</v>
      </c>
      <c r="AH271" s="4" t="s">
        <v>6296</v>
      </c>
      <c r="AI271" s="4" t="s">
        <v>6296</v>
      </c>
      <c r="AJ271" s="4" t="s">
        <v>6296</v>
      </c>
      <c r="AK271" s="4" t="s">
        <v>42</v>
      </c>
      <c r="AL271" s="4" t="s">
        <v>6296</v>
      </c>
      <c r="AM271" s="4" t="s">
        <v>42</v>
      </c>
      <c r="AN271" s="4" t="s">
        <v>6296</v>
      </c>
      <c r="AO271" s="4" t="s">
        <v>6296</v>
      </c>
      <c r="AP271" s="4" t="s">
        <v>1509</v>
      </c>
      <c r="AQ271" s="4" t="s">
        <v>47</v>
      </c>
    </row>
    <row r="272" spans="1:43" ht="12.6" customHeight="1" x14ac:dyDescent="0.25">
      <c r="A272" s="8" t="s">
        <v>5780</v>
      </c>
      <c r="B272" s="9">
        <v>20151231</v>
      </c>
      <c r="C272" s="12">
        <f>_xll.FDS("SPX","FG_PRICE(12/30/2015)")</f>
        <v>2063.36</v>
      </c>
      <c r="D272" s="12">
        <f>_xll.FDS("SPX","FG_PRICE(12/30/2017)")</f>
        <v>2673.61</v>
      </c>
      <c r="E272" s="15">
        <f>D272/C272-1</f>
        <v>0.2957554668114144</v>
      </c>
      <c r="F272" s="8" t="s">
        <v>5781</v>
      </c>
      <c r="G272" s="8" t="s">
        <v>5782</v>
      </c>
      <c r="H272" s="13">
        <f>_xll.FDS(G272,"FG_PRICE(12/30/2015)")</f>
        <v>103.3</v>
      </c>
      <c r="I272" s="13">
        <f>_xll.FDS(G272,"FG_PRICE(12/31/2017)")</f>
        <v>135.34</v>
      </c>
      <c r="J272" s="13">
        <f>I272/H272-1</f>
        <v>0.3101645692158761</v>
      </c>
      <c r="K272" s="13">
        <f>J272-E272</f>
        <v>1.4409102404461693E-2</v>
      </c>
      <c r="L272" s="13">
        <f>_xll.FDS(G272,"FF_ROE(ANN_R,12/30/2015)")</f>
        <v>16.924481544280681</v>
      </c>
      <c r="M272" s="8" t="s">
        <v>5783</v>
      </c>
      <c r="N272" s="4" t="s">
        <v>5784</v>
      </c>
      <c r="O272" s="4" t="s">
        <v>5785</v>
      </c>
      <c r="P272" s="4" t="s">
        <v>96</v>
      </c>
      <c r="Q272" s="4" t="s">
        <v>513</v>
      </c>
      <c r="R272" s="4" t="s">
        <v>61</v>
      </c>
      <c r="S272" s="4" t="s">
        <v>62</v>
      </c>
      <c r="T272" s="6" t="e">
        <v>#N/A</v>
      </c>
      <c r="U272" s="5">
        <v>52</v>
      </c>
      <c r="V272" s="5">
        <v>46</v>
      </c>
      <c r="W272" s="5">
        <v>50</v>
      </c>
      <c r="X272" s="5">
        <v>66</v>
      </c>
      <c r="Y272" s="5">
        <v>27.87</v>
      </c>
      <c r="Z272" s="5">
        <v>22.95</v>
      </c>
      <c r="AA272" s="5">
        <v>19.670000000000002</v>
      </c>
      <c r="AB272" s="5">
        <v>59.02</v>
      </c>
      <c r="AC272" s="6">
        <v>0.4</v>
      </c>
      <c r="AD272" s="6">
        <v>0.35</v>
      </c>
      <c r="AE272" s="6">
        <v>0.25</v>
      </c>
      <c r="AF272" s="4" t="s">
        <v>6296</v>
      </c>
      <c r="AG272" s="4" t="s">
        <v>6296</v>
      </c>
      <c r="AH272" s="4" t="s">
        <v>6296</v>
      </c>
      <c r="AI272" s="4" t="s">
        <v>6296</v>
      </c>
      <c r="AJ272" s="4" t="s">
        <v>6296</v>
      </c>
      <c r="AK272" s="4" t="s">
        <v>6296</v>
      </c>
      <c r="AL272" s="4" t="s">
        <v>6296</v>
      </c>
      <c r="AM272" s="4" t="s">
        <v>42</v>
      </c>
      <c r="AN272" s="4" t="s">
        <v>6296</v>
      </c>
      <c r="AO272" s="4" t="s">
        <v>6296</v>
      </c>
      <c r="AP272" s="4" t="s">
        <v>5786</v>
      </c>
      <c r="AQ272" s="4" t="s">
        <v>47</v>
      </c>
    </row>
    <row r="273" spans="1:43" ht="12.6" customHeight="1" x14ac:dyDescent="0.25">
      <c r="A273" s="8" t="s">
        <v>6164</v>
      </c>
      <c r="B273" s="9">
        <v>20151231</v>
      </c>
      <c r="C273" s="12">
        <f>_xll.FDS("SPX","FG_PRICE(12/30/2015)")</f>
        <v>2063.36</v>
      </c>
      <c r="D273" s="12">
        <f>_xll.FDS("SPX","FG_PRICE(12/30/2017)")</f>
        <v>2673.61</v>
      </c>
      <c r="E273" s="15">
        <f>D273/C273-1</f>
        <v>0.2957554668114144</v>
      </c>
      <c r="F273" s="8" t="s">
        <v>6165</v>
      </c>
      <c r="G273" s="8" t="s">
        <v>6166</v>
      </c>
      <c r="H273" s="13">
        <f>_xll.FDS(G273,"FG_PRICE(12/30/2015)")</f>
        <v>2.27</v>
      </c>
      <c r="I273" s="13">
        <f>_xll.FDS(G273,"FG_PRICE(12/31/2017)")</f>
        <v>1.1000000000000001</v>
      </c>
      <c r="J273" s="13">
        <f>I273/H273-1</f>
        <v>-0.51541850220264318</v>
      </c>
      <c r="K273" s="13">
        <f>J273-E273</f>
        <v>-0.81117396901405758</v>
      </c>
      <c r="L273" s="13">
        <f>_xll.FDS(G273,"FF_ROE(ANN_R,12/30/2015)")</f>
        <v>-59.391333740791872</v>
      </c>
      <c r="M273" s="8" t="s">
        <v>6167</v>
      </c>
      <c r="N273" s="4" t="s">
        <v>6168</v>
      </c>
      <c r="O273" s="4" t="s">
        <v>6169</v>
      </c>
      <c r="P273" s="4" t="s">
        <v>130</v>
      </c>
      <c r="Q273" s="4" t="s">
        <v>513</v>
      </c>
      <c r="R273" s="4" t="s">
        <v>61</v>
      </c>
      <c r="S273" s="4" t="s">
        <v>62</v>
      </c>
      <c r="T273" s="6" t="e">
        <v>#N/A</v>
      </c>
      <c r="U273" s="5">
        <v>49</v>
      </c>
      <c r="V273" s="5">
        <v>47</v>
      </c>
      <c r="W273" s="5">
        <v>47</v>
      </c>
      <c r="X273" s="5">
        <v>56</v>
      </c>
      <c r="Y273" s="6">
        <v>8.1999999999999993</v>
      </c>
      <c r="Z273" s="5">
        <v>29.51</v>
      </c>
      <c r="AA273" s="6">
        <v>8.1999999999999993</v>
      </c>
      <c r="AB273" s="5">
        <v>13.11</v>
      </c>
      <c r="AC273" s="6">
        <v>0.4</v>
      </c>
      <c r="AD273" s="6">
        <v>0.35</v>
      </c>
      <c r="AE273" s="6">
        <v>0.25</v>
      </c>
      <c r="AF273" s="4" t="s">
        <v>6296</v>
      </c>
      <c r="AG273" s="4" t="s">
        <v>6296</v>
      </c>
      <c r="AH273" s="4" t="s">
        <v>6296</v>
      </c>
      <c r="AI273" s="4" t="s">
        <v>6296</v>
      </c>
      <c r="AJ273" s="4" t="s">
        <v>6296</v>
      </c>
      <c r="AK273" s="4" t="s">
        <v>6296</v>
      </c>
      <c r="AL273" s="4" t="s">
        <v>6296</v>
      </c>
      <c r="AM273" s="4" t="s">
        <v>6296</v>
      </c>
      <c r="AN273" s="4" t="s">
        <v>6296</v>
      </c>
      <c r="AO273" s="4" t="s">
        <v>6296</v>
      </c>
      <c r="AP273" s="4" t="s">
        <v>6170</v>
      </c>
      <c r="AQ273" s="4" t="s">
        <v>47</v>
      </c>
    </row>
    <row r="274" spans="1:43" ht="12.6" customHeight="1" x14ac:dyDescent="0.25">
      <c r="A274" s="8" t="s">
        <v>3362</v>
      </c>
      <c r="B274" s="9">
        <v>20151231</v>
      </c>
      <c r="C274" s="12">
        <f>_xll.FDS("SPX","FG_PRICE(12/30/2015)")</f>
        <v>2063.36</v>
      </c>
      <c r="D274" s="12">
        <f>_xll.FDS("SPX","FG_PRICE(12/30/2017)")</f>
        <v>2673.61</v>
      </c>
      <c r="E274" s="15">
        <f>D274/C274-1</f>
        <v>0.2957554668114144</v>
      </c>
      <c r="F274" s="8" t="s">
        <v>3363</v>
      </c>
      <c r="G274" s="8" t="s">
        <v>3364</v>
      </c>
      <c r="H274" s="13">
        <f>_xll.FDS(G274,"FG_PRICE(12/30/2015)")</f>
        <v>58.64</v>
      </c>
      <c r="I274" s="13">
        <f>_xll.FDS(G274,"FG_PRICE(12/31/2017)")</f>
        <v>76.599999999999994</v>
      </c>
      <c r="J274" s="13">
        <f>I274/H274-1</f>
        <v>0.30627557980900399</v>
      </c>
      <c r="K274" s="13">
        <f>J274-E274</f>
        <v>1.0520112997589592E-2</v>
      </c>
      <c r="L274" s="13">
        <f>_xll.FDS(G274,"FF_ROE(ANN_R,12/30/2015)")</f>
        <v>1.55365108003809</v>
      </c>
      <c r="M274" s="8" t="s">
        <v>3365</v>
      </c>
      <c r="N274" s="4" t="s">
        <v>3366</v>
      </c>
      <c r="O274" s="4" t="s">
        <v>3367</v>
      </c>
      <c r="P274" s="4" t="s">
        <v>96</v>
      </c>
      <c r="Q274" s="4" t="s">
        <v>513</v>
      </c>
      <c r="R274" s="4" t="s">
        <v>61</v>
      </c>
      <c r="S274" s="4" t="s">
        <v>62</v>
      </c>
      <c r="T274" s="6" t="e">
        <v>#N/A</v>
      </c>
      <c r="U274" s="5">
        <v>59</v>
      </c>
      <c r="V274" s="5">
        <v>51</v>
      </c>
      <c r="W274" s="5">
        <v>62</v>
      </c>
      <c r="X274" s="5">
        <v>68</v>
      </c>
      <c r="Y274" s="5">
        <v>55.74</v>
      </c>
      <c r="Z274" s="5">
        <v>36.07</v>
      </c>
      <c r="AA274" s="5">
        <v>67.209999999999994</v>
      </c>
      <c r="AB274" s="5">
        <v>73.77</v>
      </c>
      <c r="AC274" s="6">
        <v>0.4</v>
      </c>
      <c r="AD274" s="6">
        <v>0.35</v>
      </c>
      <c r="AE274" s="6">
        <v>0.25</v>
      </c>
      <c r="AF274" s="4" t="s">
        <v>6296</v>
      </c>
      <c r="AG274" s="4" t="s">
        <v>6296</v>
      </c>
      <c r="AH274" s="4" t="s">
        <v>6296</v>
      </c>
      <c r="AI274" s="4" t="s">
        <v>6296</v>
      </c>
      <c r="AJ274" s="4" t="s">
        <v>6296</v>
      </c>
      <c r="AK274" s="4" t="s">
        <v>6296</v>
      </c>
      <c r="AL274" s="4" t="s">
        <v>6296</v>
      </c>
      <c r="AM274" s="4" t="s">
        <v>6296</v>
      </c>
      <c r="AN274" s="4" t="s">
        <v>6296</v>
      </c>
      <c r="AO274" s="4" t="s">
        <v>6296</v>
      </c>
      <c r="AP274" s="4" t="s">
        <v>3368</v>
      </c>
      <c r="AQ274" s="4" t="s">
        <v>47</v>
      </c>
    </row>
    <row r="275" spans="1:43" ht="12.6" customHeight="1" x14ac:dyDescent="0.25">
      <c r="A275" s="8" t="s">
        <v>3437</v>
      </c>
      <c r="B275" s="9">
        <v>20151231</v>
      </c>
      <c r="C275" s="12">
        <f>_xll.FDS("SPX","FG_PRICE(12/30/2015)")</f>
        <v>2063.36</v>
      </c>
      <c r="D275" s="12">
        <f>_xll.FDS("SPX","FG_PRICE(12/30/2017)")</f>
        <v>2673.61</v>
      </c>
      <c r="E275" s="15">
        <f>D275/C275-1</f>
        <v>0.2957554668114144</v>
      </c>
      <c r="F275" s="8" t="s">
        <v>3438</v>
      </c>
      <c r="G275" s="8" t="s">
        <v>3439</v>
      </c>
      <c r="H275" s="13">
        <f>_xll.FDS(G275,"FG_PRICE(12/30/2015)")</f>
        <v>103.98</v>
      </c>
      <c r="I275" s="13">
        <f>_xll.FDS(G275,"FG_PRICE(12/31/2017)")</f>
        <v>196.35</v>
      </c>
      <c r="J275" s="13">
        <f>I275/H275-1</f>
        <v>0.88834391229082499</v>
      </c>
      <c r="K275" s="13">
        <f>J275-E275</f>
        <v>0.59258844547941059</v>
      </c>
      <c r="L275" s="13">
        <f>_xll.FDS(G275,"FF_ROE(ANN_R,12/30/2015)")</f>
        <v>33.648700889133053</v>
      </c>
      <c r="M275" s="8" t="s">
        <v>3440</v>
      </c>
      <c r="N275" s="4" t="s">
        <v>3441</v>
      </c>
      <c r="O275" s="4" t="s">
        <v>3442</v>
      </c>
      <c r="P275" s="4" t="s">
        <v>96</v>
      </c>
      <c r="Q275" s="4" t="s">
        <v>513</v>
      </c>
      <c r="R275" s="4" t="s">
        <v>61</v>
      </c>
      <c r="S275" s="4" t="s">
        <v>62</v>
      </c>
      <c r="T275" s="6" t="e">
        <v>#N/A</v>
      </c>
      <c r="U275" s="5">
        <v>70</v>
      </c>
      <c r="V275" s="5">
        <v>62</v>
      </c>
      <c r="W275" s="5">
        <v>79</v>
      </c>
      <c r="X275" s="5">
        <v>71</v>
      </c>
      <c r="Y275" s="5">
        <v>78.69</v>
      </c>
      <c r="Z275" s="5">
        <v>62.3</v>
      </c>
      <c r="AA275" s="5">
        <v>95.08</v>
      </c>
      <c r="AB275" s="5">
        <v>80.33</v>
      </c>
      <c r="AC275" s="6">
        <v>0.4</v>
      </c>
      <c r="AD275" s="6">
        <v>0.35</v>
      </c>
      <c r="AE275" s="6">
        <v>0.25</v>
      </c>
      <c r="AF275" s="4" t="s">
        <v>6296</v>
      </c>
      <c r="AG275" s="4" t="s">
        <v>6296</v>
      </c>
      <c r="AH275" s="4" t="s">
        <v>6296</v>
      </c>
      <c r="AI275" s="4" t="s">
        <v>6296</v>
      </c>
      <c r="AJ275" s="4" t="s">
        <v>6296</v>
      </c>
      <c r="AK275" s="4" t="s">
        <v>6296</v>
      </c>
      <c r="AL275" s="4" t="s">
        <v>6296</v>
      </c>
      <c r="AM275" s="4" t="s">
        <v>6296</v>
      </c>
      <c r="AN275" s="4" t="s">
        <v>6296</v>
      </c>
      <c r="AO275" s="4" t="s">
        <v>6296</v>
      </c>
      <c r="AP275" s="4" t="s">
        <v>3443</v>
      </c>
      <c r="AQ275" s="4" t="s">
        <v>47</v>
      </c>
    </row>
    <row r="276" spans="1:43" ht="12.6" customHeight="1" x14ac:dyDescent="0.25">
      <c r="A276" s="8" t="s">
        <v>3430</v>
      </c>
      <c r="B276" s="9">
        <v>20151231</v>
      </c>
      <c r="C276" s="12">
        <f>_xll.FDS("SPX","FG_PRICE(12/30/2015)")</f>
        <v>2063.36</v>
      </c>
      <c r="D276" s="12">
        <f>_xll.FDS("SPX","FG_PRICE(12/30/2017)")</f>
        <v>2673.61</v>
      </c>
      <c r="E276" s="15">
        <f>D276/C276-1</f>
        <v>0.2957554668114144</v>
      </c>
      <c r="F276" s="8" t="s">
        <v>3431</v>
      </c>
      <c r="G276" s="8" t="s">
        <v>3432</v>
      </c>
      <c r="H276" s="13">
        <f>_xll.FDS(G276,"FG_PRICE(12/30/2015)")</f>
        <v>190.58</v>
      </c>
      <c r="I276" s="13">
        <f>_xll.FDS(G276,"FG_PRICE(12/31/2017)")</f>
        <v>259</v>
      </c>
      <c r="J276" s="13">
        <f>I276/H276-1</f>
        <v>0.35900933990974915</v>
      </c>
      <c r="K276" s="13">
        <f>J276-E276</f>
        <v>6.3253873098334745E-2</v>
      </c>
      <c r="L276" s="13">
        <f>_xll.FDS(G276,"FF_ROE(ANN_R,12/30/2015)")</f>
        <v>14.40685695680728</v>
      </c>
      <c r="M276" s="8" t="s">
        <v>3433</v>
      </c>
      <c r="N276" s="4" t="s">
        <v>3434</v>
      </c>
      <c r="O276" s="4" t="s">
        <v>3435</v>
      </c>
      <c r="P276" s="4" t="s">
        <v>96</v>
      </c>
      <c r="Q276" s="4" t="s">
        <v>513</v>
      </c>
      <c r="R276" s="4" t="s">
        <v>61</v>
      </c>
      <c r="S276" s="4" t="s">
        <v>62</v>
      </c>
      <c r="T276" s="6" t="e">
        <v>#N/A</v>
      </c>
      <c r="U276" s="5">
        <v>54</v>
      </c>
      <c r="V276" s="5">
        <v>52</v>
      </c>
      <c r="W276" s="5">
        <v>51</v>
      </c>
      <c r="X276" s="5">
        <v>63</v>
      </c>
      <c r="Y276" s="5">
        <v>34.43</v>
      </c>
      <c r="Z276" s="5">
        <v>39.340000000000003</v>
      </c>
      <c r="AA276" s="5">
        <v>21.31</v>
      </c>
      <c r="AB276" s="5">
        <v>44.26</v>
      </c>
      <c r="AC276" s="6">
        <v>0.4</v>
      </c>
      <c r="AD276" s="6">
        <v>0.35</v>
      </c>
      <c r="AE276" s="6">
        <v>0.25</v>
      </c>
      <c r="AF276" s="4" t="s">
        <v>6296</v>
      </c>
      <c r="AG276" s="4" t="s">
        <v>6296</v>
      </c>
      <c r="AH276" s="4" t="s">
        <v>6296</v>
      </c>
      <c r="AI276" s="4" t="s">
        <v>6296</v>
      </c>
      <c r="AJ276" s="4" t="s">
        <v>6296</v>
      </c>
      <c r="AK276" s="4" t="s">
        <v>6296</v>
      </c>
      <c r="AL276" s="4" t="s">
        <v>6296</v>
      </c>
      <c r="AM276" s="4" t="s">
        <v>6296</v>
      </c>
      <c r="AN276" s="4" t="s">
        <v>6296</v>
      </c>
      <c r="AO276" s="4" t="s">
        <v>6296</v>
      </c>
      <c r="AP276" s="4" t="s">
        <v>3436</v>
      </c>
      <c r="AQ276" s="4" t="s">
        <v>47</v>
      </c>
    </row>
    <row r="277" spans="1:43" ht="12.6" customHeight="1" x14ac:dyDescent="0.25">
      <c r="A277" s="8" t="s">
        <v>6151</v>
      </c>
      <c r="B277" s="9">
        <v>20151231</v>
      </c>
      <c r="C277" s="12">
        <f>_xll.FDS("SPX","FG_PRICE(12/30/2015)")</f>
        <v>2063.36</v>
      </c>
      <c r="D277" s="12">
        <f>_xll.FDS("SPX","FG_PRICE(12/30/2017)")</f>
        <v>2673.61</v>
      </c>
      <c r="E277" s="15">
        <f>D277/C277-1</f>
        <v>0.2957554668114144</v>
      </c>
      <c r="F277" s="8" t="s">
        <v>6152</v>
      </c>
      <c r="G277" s="8" t="s">
        <v>6153</v>
      </c>
      <c r="H277" s="13">
        <f>_xll.FDS(G277,"FG_PRICE(12/30/2015)")</f>
        <v>7.21</v>
      </c>
      <c r="I277" s="13">
        <f>_xll.FDS(G277,"FG_PRICE(12/31/2017)")</f>
        <v>10.5</v>
      </c>
      <c r="J277" s="13">
        <f>I277/H277-1</f>
        <v>0.4563106796116505</v>
      </c>
      <c r="K277" s="13">
        <f>J277-E277</f>
        <v>0.1605552128002361</v>
      </c>
      <c r="L277" s="13">
        <f>_xll.FDS(G277,"FF_ROE(ANN_R,12/30/2015)")</f>
        <v>-2.6881677382506091</v>
      </c>
      <c r="M277" s="8" t="s">
        <v>6154</v>
      </c>
      <c r="N277" s="4" t="s">
        <v>6154</v>
      </c>
      <c r="O277" s="4" t="s">
        <v>6155</v>
      </c>
      <c r="P277" s="4" t="s">
        <v>96</v>
      </c>
      <c r="Q277" s="4" t="s">
        <v>41</v>
      </c>
      <c r="R277" s="4" t="s">
        <v>61</v>
      </c>
      <c r="S277" s="4" t="s">
        <v>62</v>
      </c>
      <c r="T277" s="6" t="e">
        <v>#N/A</v>
      </c>
      <c r="U277" s="5">
        <v>61</v>
      </c>
      <c r="V277" s="5">
        <v>47</v>
      </c>
      <c r="W277" s="5">
        <v>70</v>
      </c>
      <c r="X277" s="5">
        <v>73</v>
      </c>
      <c r="Y277" s="5">
        <v>58.67</v>
      </c>
      <c r="Z277" s="6">
        <v>6.67</v>
      </c>
      <c r="AA277" s="5">
        <v>76</v>
      </c>
      <c r="AB277" s="5">
        <v>80</v>
      </c>
      <c r="AC277" s="6">
        <v>0.4</v>
      </c>
      <c r="AD277" s="6">
        <v>0.35</v>
      </c>
      <c r="AE277" s="6">
        <v>0.25</v>
      </c>
      <c r="AF277" s="4" t="s">
        <v>6296</v>
      </c>
      <c r="AG277" s="4" t="s">
        <v>6296</v>
      </c>
      <c r="AH277" s="4" t="s">
        <v>6296</v>
      </c>
      <c r="AI277" s="4" t="s">
        <v>6296</v>
      </c>
      <c r="AJ277" s="4" t="s">
        <v>6296</v>
      </c>
      <c r="AK277" s="4" t="s">
        <v>6296</v>
      </c>
      <c r="AL277" s="4" t="s">
        <v>6296</v>
      </c>
      <c r="AM277" s="4" t="s">
        <v>6296</v>
      </c>
      <c r="AN277" s="4" t="s">
        <v>6296</v>
      </c>
      <c r="AO277" s="4" t="s">
        <v>6296</v>
      </c>
      <c r="AP277" s="4" t="s">
        <v>6156</v>
      </c>
      <c r="AQ277" s="4" t="s">
        <v>47</v>
      </c>
    </row>
    <row r="278" spans="1:43" ht="12.6" customHeight="1" x14ac:dyDescent="0.25">
      <c r="A278" s="8" t="s">
        <v>450</v>
      </c>
      <c r="B278" s="9">
        <v>20151231</v>
      </c>
      <c r="C278" s="12">
        <f>_xll.FDS("SPX","FG_PRICE(12/30/2015)")</f>
        <v>2063.36</v>
      </c>
      <c r="D278" s="12">
        <f>_xll.FDS("SPX","FG_PRICE(12/30/2017)")</f>
        <v>2673.61</v>
      </c>
      <c r="E278" s="15">
        <f>D278/C278-1</f>
        <v>0.2957554668114144</v>
      </c>
      <c r="F278" s="8" t="s">
        <v>451</v>
      </c>
      <c r="G278" s="8" t="s">
        <v>452</v>
      </c>
      <c r="H278" s="13">
        <f>_xll.FDS(G278,"FG_PRICE(12/30/2015)")</f>
        <v>10.119999999999999</v>
      </c>
      <c r="I278" s="13" t="e">
        <f>_xll.FDS(G278,"FG_PRICE(12/31/2017)")</f>
        <v>#N/A</v>
      </c>
      <c r="J278" s="13" t="e">
        <f>I278/H278-1</f>
        <v>#N/A</v>
      </c>
      <c r="K278" s="13" t="e">
        <f>J278-E278</f>
        <v>#N/A</v>
      </c>
      <c r="L278" s="13">
        <f>_xll.FDS(G278,"FF_ROE(ANN_R,12/30/2015)")</f>
        <v>15.72222624045604</v>
      </c>
      <c r="M278" s="8" t="s">
        <v>453</v>
      </c>
      <c r="N278" s="4" t="s">
        <v>454</v>
      </c>
      <c r="O278" s="4" t="s">
        <v>455</v>
      </c>
      <c r="P278" s="4" t="s">
        <v>96</v>
      </c>
      <c r="Q278" s="4" t="s">
        <v>41</v>
      </c>
      <c r="R278" s="4" t="s">
        <v>61</v>
      </c>
      <c r="S278" s="4" t="s">
        <v>62</v>
      </c>
      <c r="T278" s="6" t="e">
        <v>#N/A</v>
      </c>
      <c r="U278" s="5">
        <v>56</v>
      </c>
      <c r="V278" s="5">
        <v>53</v>
      </c>
      <c r="W278" s="5">
        <v>50</v>
      </c>
      <c r="X278" s="5">
        <v>69</v>
      </c>
      <c r="Y278" s="5">
        <v>26.67</v>
      </c>
      <c r="Z278" s="5">
        <v>33.33</v>
      </c>
      <c r="AA278" s="6">
        <v>6.67</v>
      </c>
      <c r="AB278" s="5">
        <v>62.67</v>
      </c>
      <c r="AC278" s="6">
        <v>0.4</v>
      </c>
      <c r="AD278" s="6">
        <v>0.35</v>
      </c>
      <c r="AE278" s="6">
        <v>0.25</v>
      </c>
      <c r="AF278" s="4" t="s">
        <v>6296</v>
      </c>
      <c r="AG278" s="4" t="s">
        <v>6296</v>
      </c>
      <c r="AH278" s="4" t="s">
        <v>6296</v>
      </c>
      <c r="AI278" s="4" t="s">
        <v>6296</v>
      </c>
      <c r="AJ278" s="4" t="s">
        <v>6296</v>
      </c>
      <c r="AK278" s="4" t="s">
        <v>6296</v>
      </c>
      <c r="AL278" s="4" t="s">
        <v>37</v>
      </c>
      <c r="AM278" s="4" t="s">
        <v>6296</v>
      </c>
      <c r="AN278" s="4" t="s">
        <v>6296</v>
      </c>
      <c r="AO278" s="4" t="s">
        <v>6296</v>
      </c>
      <c r="AP278" s="4" t="s">
        <v>456</v>
      </c>
      <c r="AQ278" s="4" t="s">
        <v>47</v>
      </c>
    </row>
    <row r="279" spans="1:43" ht="12.6" customHeight="1" x14ac:dyDescent="0.25">
      <c r="A279" s="8" t="s">
        <v>520</v>
      </c>
      <c r="B279" s="9">
        <v>20151231</v>
      </c>
      <c r="C279" s="12">
        <f>_xll.FDS("SPX","FG_PRICE(12/30/2015)")</f>
        <v>2063.36</v>
      </c>
      <c r="D279" s="12">
        <f>_xll.FDS("SPX","FG_PRICE(12/30/2017)")</f>
        <v>2673.61</v>
      </c>
      <c r="E279" s="15">
        <f>D279/C279-1</f>
        <v>0.2957554668114144</v>
      </c>
      <c r="F279" s="8" t="s">
        <v>521</v>
      </c>
      <c r="G279" s="8" t="s">
        <v>522</v>
      </c>
      <c r="H279" s="13">
        <f>_xll.FDS(G279,"FG_PRICE(12/30/2015)")</f>
        <v>45.76</v>
      </c>
      <c r="I279" s="13">
        <f>_xll.FDS(G279,"FG_PRICE(12/31/2017)")</f>
        <v>31.64</v>
      </c>
      <c r="J279" s="13">
        <f>I279/H279-1</f>
        <v>-0.30856643356643354</v>
      </c>
      <c r="K279" s="13">
        <f>J279-E279</f>
        <v>-0.60432190037784794</v>
      </c>
      <c r="L279" s="13">
        <f>_xll.FDS(G279,"FF_ROE(ANN_R,12/30/2015)")</f>
        <v>9.4611701249380822</v>
      </c>
      <c r="M279" s="8" t="s">
        <v>523</v>
      </c>
      <c r="N279" s="4" t="s">
        <v>524</v>
      </c>
      <c r="O279" s="4" t="s">
        <v>525</v>
      </c>
      <c r="P279" s="4" t="s">
        <v>96</v>
      </c>
      <c r="Q279" s="4" t="s">
        <v>41</v>
      </c>
      <c r="R279" s="4" t="s">
        <v>61</v>
      </c>
      <c r="S279" s="4" t="s">
        <v>62</v>
      </c>
      <c r="T279" s="6" t="e">
        <v>#N/A</v>
      </c>
      <c r="U279" s="5">
        <v>73</v>
      </c>
      <c r="V279" s="5">
        <v>75</v>
      </c>
      <c r="W279" s="5">
        <v>74</v>
      </c>
      <c r="X279" s="5">
        <v>70</v>
      </c>
      <c r="Y279" s="5">
        <v>93.33</v>
      </c>
      <c r="Z279" s="5">
        <v>93.33</v>
      </c>
      <c r="AA279" s="5">
        <v>88</v>
      </c>
      <c r="AB279" s="5">
        <v>70.67</v>
      </c>
      <c r="AC279" s="6">
        <v>0.4</v>
      </c>
      <c r="AD279" s="6">
        <v>0.35</v>
      </c>
      <c r="AE279" s="6">
        <v>0.25</v>
      </c>
      <c r="AF279" s="4" t="s">
        <v>37</v>
      </c>
      <c r="AG279" s="4" t="s">
        <v>6296</v>
      </c>
      <c r="AH279" s="4" t="s">
        <v>6296</v>
      </c>
      <c r="AI279" s="4" t="s">
        <v>37</v>
      </c>
      <c r="AJ279" s="4" t="s">
        <v>6296</v>
      </c>
      <c r="AK279" s="4" t="s">
        <v>6296</v>
      </c>
      <c r="AL279" s="4" t="s">
        <v>6296</v>
      </c>
      <c r="AM279" s="4" t="s">
        <v>6296</v>
      </c>
      <c r="AN279" s="4" t="s">
        <v>6296</v>
      </c>
      <c r="AO279" s="4" t="s">
        <v>6296</v>
      </c>
      <c r="AP279" s="4" t="s">
        <v>526</v>
      </c>
      <c r="AQ279" s="4" t="s">
        <v>47</v>
      </c>
    </row>
    <row r="280" spans="1:43" ht="12.6" customHeight="1" x14ac:dyDescent="0.25">
      <c r="A280" s="8" t="s">
        <v>6317</v>
      </c>
      <c r="B280" s="9">
        <v>20151231</v>
      </c>
      <c r="C280" s="12">
        <f>_xll.FDS("SPX","FG_PRICE(12/30/2015)")</f>
        <v>2063.36</v>
      </c>
      <c r="D280" s="12">
        <f>_xll.FDS("SPX","FG_PRICE(12/30/2017)")</f>
        <v>2673.61</v>
      </c>
      <c r="E280" s="15">
        <f>D280/C280-1</f>
        <v>0.2957554668114144</v>
      </c>
      <c r="F280" s="8" t="s">
        <v>6318</v>
      </c>
      <c r="G280" s="8" t="s">
        <v>6319</v>
      </c>
      <c r="H280" s="13">
        <f>_xll.FDS(G280,"FG_PRICE(12/30/2015)")</f>
        <v>63.13</v>
      </c>
      <c r="I280" s="13" t="e">
        <f>_xll.FDS(G280,"FG_PRICE(12/31/2017)")</f>
        <v>#N/A</v>
      </c>
      <c r="J280" s="13" t="e">
        <f>I280/H280-1</f>
        <v>#N/A</v>
      </c>
      <c r="K280" s="13" t="e">
        <f>J280-E280</f>
        <v>#N/A</v>
      </c>
      <c r="L280" s="13">
        <f>_xll.FDS(G280,"FF_ROE(ANN_R,12/30/2015)")</f>
        <v>15.08599980782166</v>
      </c>
      <c r="M280" s="8" t="s">
        <v>3469</v>
      </c>
      <c r="N280" s="4" t="s">
        <v>3469</v>
      </c>
      <c r="O280" s="4" t="s">
        <v>6320</v>
      </c>
      <c r="P280" s="4" t="s">
        <v>96</v>
      </c>
      <c r="Q280" s="4" t="s">
        <v>41</v>
      </c>
      <c r="R280" s="4" t="s">
        <v>61</v>
      </c>
      <c r="S280" s="4" t="s">
        <v>62</v>
      </c>
      <c r="T280" s="6" t="e">
        <v>#N/A</v>
      </c>
      <c r="U280" s="5">
        <v>59</v>
      </c>
      <c r="V280" s="5">
        <v>53</v>
      </c>
      <c r="W280" s="5">
        <v>62</v>
      </c>
      <c r="X280" s="5">
        <v>63</v>
      </c>
      <c r="Y280" s="5">
        <v>49.33</v>
      </c>
      <c r="Z280" s="5">
        <v>33.33</v>
      </c>
      <c r="AA280" s="5">
        <v>64</v>
      </c>
      <c r="AB280" s="5">
        <v>30.67</v>
      </c>
      <c r="AC280" s="6">
        <v>0.4</v>
      </c>
      <c r="AD280" s="6">
        <v>0.35</v>
      </c>
      <c r="AE280" s="6">
        <v>0.25</v>
      </c>
      <c r="AF280" s="4" t="s">
        <v>37</v>
      </c>
      <c r="AG280" s="4" t="s">
        <v>6296</v>
      </c>
      <c r="AH280" s="4" t="s">
        <v>6296</v>
      </c>
      <c r="AI280" s="4" t="s">
        <v>6296</v>
      </c>
      <c r="AJ280" s="4" t="s">
        <v>6296</v>
      </c>
      <c r="AK280" s="4" t="s">
        <v>6296</v>
      </c>
      <c r="AL280" s="4" t="s">
        <v>42</v>
      </c>
      <c r="AM280" s="4" t="s">
        <v>6296</v>
      </c>
      <c r="AN280" s="4" t="s">
        <v>42</v>
      </c>
      <c r="AO280" s="4" t="s">
        <v>6296</v>
      </c>
      <c r="AP280" s="4" t="s">
        <v>6321</v>
      </c>
      <c r="AQ280" s="4" t="s">
        <v>47</v>
      </c>
    </row>
    <row r="281" spans="1:43" ht="12.6" customHeight="1" x14ac:dyDescent="0.25">
      <c r="A281" s="8" t="s">
        <v>3614</v>
      </c>
      <c r="B281" s="9">
        <v>20151231</v>
      </c>
      <c r="C281" s="12">
        <f>_xll.FDS("SPX","FG_PRICE(12/30/2015)")</f>
        <v>2063.36</v>
      </c>
      <c r="D281" s="12">
        <f>_xll.FDS("SPX","FG_PRICE(12/30/2017)")</f>
        <v>2673.61</v>
      </c>
      <c r="E281" s="15">
        <f>D281/C281-1</f>
        <v>0.2957554668114144</v>
      </c>
      <c r="F281" s="8" t="s">
        <v>3615</v>
      </c>
      <c r="G281" s="8" t="s">
        <v>3616</v>
      </c>
      <c r="H281" s="13">
        <f>_xll.FDS(G281,"FG_PRICE(12/30/2015)")</f>
        <v>32.426346000000002</v>
      </c>
      <c r="I281" s="13">
        <f>_xll.FDS(G281,"FG_PRICE(12/31/2017)")</f>
        <v>46.22</v>
      </c>
      <c r="J281" s="13">
        <f>I281/H281-1</f>
        <v>0.42538416138531288</v>
      </c>
      <c r="K281" s="13">
        <f>J281-E281</f>
        <v>0.12962869457389847</v>
      </c>
      <c r="L281" s="13">
        <f>_xll.FDS(G281,"FF_ROE(ANN_R,12/30/2015)")</f>
        <v>7.1514020053236287</v>
      </c>
      <c r="M281" s="8" t="s">
        <v>3617</v>
      </c>
      <c r="N281" s="4" t="s">
        <v>3617</v>
      </c>
      <c r="O281" s="4" t="s">
        <v>3618</v>
      </c>
      <c r="P281" s="4" t="s">
        <v>96</v>
      </c>
      <c r="Q281" s="4" t="s">
        <v>41</v>
      </c>
      <c r="R281" s="4" t="s">
        <v>61</v>
      </c>
      <c r="S281" s="4" t="s">
        <v>62</v>
      </c>
      <c r="T281" s="6" t="e">
        <v>#N/A</v>
      </c>
      <c r="U281" s="5">
        <v>57</v>
      </c>
      <c r="V281" s="5">
        <v>45</v>
      </c>
      <c r="W281" s="5">
        <v>61</v>
      </c>
      <c r="X281" s="5">
        <v>68</v>
      </c>
      <c r="Y281" s="5">
        <v>29.33</v>
      </c>
      <c r="Z281" s="6">
        <v>1.33</v>
      </c>
      <c r="AA281" s="5">
        <v>61.33</v>
      </c>
      <c r="AB281" s="5">
        <v>54.67</v>
      </c>
      <c r="AC281" s="6">
        <v>0.4</v>
      </c>
      <c r="AD281" s="6">
        <v>0.35</v>
      </c>
      <c r="AE281" s="6">
        <v>0.25</v>
      </c>
      <c r="AF281" s="4" t="s">
        <v>6296</v>
      </c>
      <c r="AG281" s="4" t="s">
        <v>6296</v>
      </c>
      <c r="AH281" s="4" t="s">
        <v>6296</v>
      </c>
      <c r="AI281" s="4" t="s">
        <v>6296</v>
      </c>
      <c r="AJ281" s="4" t="s">
        <v>6296</v>
      </c>
      <c r="AK281" s="4" t="s">
        <v>6296</v>
      </c>
      <c r="AL281" s="4" t="s">
        <v>6296</v>
      </c>
      <c r="AM281" s="4" t="s">
        <v>6296</v>
      </c>
      <c r="AN281" s="4" t="s">
        <v>6296</v>
      </c>
      <c r="AO281" s="4" t="s">
        <v>6296</v>
      </c>
      <c r="AP281" s="4" t="s">
        <v>3619</v>
      </c>
      <c r="AQ281" s="4" t="s">
        <v>47</v>
      </c>
    </row>
    <row r="282" spans="1:43" ht="12.6" customHeight="1" x14ac:dyDescent="0.25">
      <c r="A282" s="8" t="s">
        <v>1220</v>
      </c>
      <c r="B282" s="9">
        <v>20151231</v>
      </c>
      <c r="C282" s="12">
        <f>_xll.FDS("SPX","FG_PRICE(12/30/2015)")</f>
        <v>2063.36</v>
      </c>
      <c r="D282" s="12">
        <f>_xll.FDS("SPX","FG_PRICE(12/30/2017)")</f>
        <v>2673.61</v>
      </c>
      <c r="E282" s="15">
        <f>D282/C282-1</f>
        <v>0.2957554668114144</v>
      </c>
      <c r="F282" s="8" t="s">
        <v>1221</v>
      </c>
      <c r="G282" s="8" t="s">
        <v>1222</v>
      </c>
      <c r="H282" s="13">
        <f>_xll.FDS(G282,"FG_PRICE(12/30/2015)")</f>
        <v>17.309999999999999</v>
      </c>
      <c r="I282" s="13">
        <f>_xll.FDS(G282,"FG_PRICE(12/31/2017)")</f>
        <v>10.18</v>
      </c>
      <c r="J282" s="13">
        <f>I282/H282-1</f>
        <v>-0.41190063547082612</v>
      </c>
      <c r="K282" s="13">
        <f>J282-E282</f>
        <v>-0.70765610228224052</v>
      </c>
      <c r="L282" s="13">
        <f>_xll.FDS(G282,"FF_ROE(ANN_R,12/30/2015)")</f>
        <v>7.1488317049106467</v>
      </c>
      <c r="M282" s="8" t="s">
        <v>1223</v>
      </c>
      <c r="N282" s="4" t="s">
        <v>1223</v>
      </c>
      <c r="O282" s="4" t="s">
        <v>1224</v>
      </c>
      <c r="P282" s="4" t="s">
        <v>96</v>
      </c>
      <c r="Q282" s="4" t="s">
        <v>41</v>
      </c>
      <c r="R282" s="4" t="s">
        <v>61</v>
      </c>
      <c r="S282" s="4" t="s">
        <v>62</v>
      </c>
      <c r="T282" s="6" t="e">
        <v>#N/A</v>
      </c>
      <c r="U282" s="5">
        <v>55</v>
      </c>
      <c r="V282" s="5">
        <v>55</v>
      </c>
      <c r="W282" s="5">
        <v>49</v>
      </c>
      <c r="X282" s="5">
        <v>64</v>
      </c>
      <c r="Y282" s="5">
        <v>20</v>
      </c>
      <c r="Z282" s="5">
        <v>44</v>
      </c>
      <c r="AA282" s="6">
        <v>2.67</v>
      </c>
      <c r="AB282" s="5">
        <v>33.33</v>
      </c>
      <c r="AC282" s="6">
        <v>0.4</v>
      </c>
      <c r="AD282" s="6">
        <v>0.35</v>
      </c>
      <c r="AE282" s="6">
        <v>0.25</v>
      </c>
      <c r="AF282" s="4" t="s">
        <v>6296</v>
      </c>
      <c r="AG282" s="4" t="s">
        <v>6296</v>
      </c>
      <c r="AH282" s="4" t="s">
        <v>6296</v>
      </c>
      <c r="AI282" s="4" t="s">
        <v>6296</v>
      </c>
      <c r="AJ282" s="4" t="s">
        <v>6296</v>
      </c>
      <c r="AK282" s="4" t="s">
        <v>6296</v>
      </c>
      <c r="AL282" s="4" t="s">
        <v>6296</v>
      </c>
      <c r="AM282" s="4" t="s">
        <v>6296</v>
      </c>
      <c r="AN282" s="4" t="s">
        <v>42</v>
      </c>
      <c r="AO282" s="4" t="s">
        <v>6296</v>
      </c>
      <c r="AP282" s="4" t="s">
        <v>1225</v>
      </c>
      <c r="AQ282" s="4" t="s">
        <v>47</v>
      </c>
    </row>
    <row r="283" spans="1:43" ht="12.6" customHeight="1" x14ac:dyDescent="0.25">
      <c r="A283" s="8" t="s">
        <v>1290</v>
      </c>
      <c r="B283" s="9">
        <v>20151231</v>
      </c>
      <c r="C283" s="12">
        <f>_xll.FDS("SPX","FG_PRICE(12/30/2015)")</f>
        <v>2063.36</v>
      </c>
      <c r="D283" s="12">
        <f>_xll.FDS("SPX","FG_PRICE(12/30/2017)")</f>
        <v>2673.61</v>
      </c>
      <c r="E283" s="15">
        <f>D283/C283-1</f>
        <v>0.2957554668114144</v>
      </c>
      <c r="F283" s="8" t="s">
        <v>1291</v>
      </c>
      <c r="G283" s="8" t="s">
        <v>1292</v>
      </c>
      <c r="H283" s="13">
        <f>_xll.FDS(G283,"FG_PRICE(12/30/2015)")</f>
        <v>20.85</v>
      </c>
      <c r="I283" s="13">
        <f>_xll.FDS(G283,"FG_PRICE(12/31/2017)")</f>
        <v>18.59</v>
      </c>
      <c r="J283" s="13">
        <f>I283/H283-1</f>
        <v>-0.10839328537170267</v>
      </c>
      <c r="K283" s="13">
        <f>J283-E283</f>
        <v>-0.40414875218311708</v>
      </c>
      <c r="L283" s="13">
        <f>_xll.FDS(G283,"FF_ROE(ANN_R,12/30/2015)")</f>
        <v>8.5161980855382673</v>
      </c>
      <c r="M283" s="8" t="s">
        <v>1293</v>
      </c>
      <c r="N283" s="4" t="s">
        <v>1294</v>
      </c>
      <c r="O283" s="4" t="s">
        <v>1295</v>
      </c>
      <c r="P283" s="4" t="s">
        <v>96</v>
      </c>
      <c r="Q283" s="4" t="s">
        <v>41</v>
      </c>
      <c r="R283" s="4" t="s">
        <v>61</v>
      </c>
      <c r="S283" s="4" t="s">
        <v>62</v>
      </c>
      <c r="T283" s="6" t="e">
        <v>#N/A</v>
      </c>
      <c r="U283" s="5">
        <v>52</v>
      </c>
      <c r="V283" s="5">
        <v>49</v>
      </c>
      <c r="W283" s="5">
        <v>49</v>
      </c>
      <c r="X283" s="5">
        <v>60</v>
      </c>
      <c r="Y283" s="6">
        <v>6.67</v>
      </c>
      <c r="Z283" s="5">
        <v>20</v>
      </c>
      <c r="AA283" s="6">
        <v>2.67</v>
      </c>
      <c r="AB283" s="5">
        <v>16</v>
      </c>
      <c r="AC283" s="6">
        <v>0.4</v>
      </c>
      <c r="AD283" s="6">
        <v>0.35</v>
      </c>
      <c r="AE283" s="6">
        <v>0.25</v>
      </c>
      <c r="AF283" s="4" t="s">
        <v>6296</v>
      </c>
      <c r="AG283" s="4" t="s">
        <v>6296</v>
      </c>
      <c r="AH283" s="4" t="s">
        <v>6296</v>
      </c>
      <c r="AI283" s="4" t="s">
        <v>42</v>
      </c>
      <c r="AJ283" s="4" t="s">
        <v>6296</v>
      </c>
      <c r="AK283" s="4" t="s">
        <v>6296</v>
      </c>
      <c r="AL283" s="4" t="s">
        <v>6296</v>
      </c>
      <c r="AM283" s="4" t="s">
        <v>6296</v>
      </c>
      <c r="AN283" s="4" t="s">
        <v>6296</v>
      </c>
      <c r="AO283" s="4" t="s">
        <v>6296</v>
      </c>
      <c r="AP283" s="4" t="s">
        <v>1296</v>
      </c>
      <c r="AQ283" s="4" t="s">
        <v>47</v>
      </c>
    </row>
    <row r="284" spans="1:43" ht="12.6" customHeight="1" x14ac:dyDescent="0.25">
      <c r="A284" s="8" t="s">
        <v>720</v>
      </c>
      <c r="B284" s="9">
        <v>20151231</v>
      </c>
      <c r="C284" s="12">
        <f>_xll.FDS("SPX","FG_PRICE(12/30/2015)")</f>
        <v>2063.36</v>
      </c>
      <c r="D284" s="12">
        <f>_xll.FDS("SPX","FG_PRICE(12/30/2017)")</f>
        <v>2673.61</v>
      </c>
      <c r="E284" s="15">
        <f>D284/C284-1</f>
        <v>0.2957554668114144</v>
      </c>
      <c r="F284" s="8" t="s">
        <v>721</v>
      </c>
      <c r="G284" s="8" t="s">
        <v>722</v>
      </c>
      <c r="H284" s="13">
        <f>_xll.FDS(G284,"FG_PRICE(12/30/2015)")</f>
        <v>59.44</v>
      </c>
      <c r="I284" s="13">
        <f>_xll.FDS(G284,"FG_PRICE(12/31/2017)")</f>
        <v>47.7</v>
      </c>
      <c r="J284" s="13">
        <f>I284/H284-1</f>
        <v>-0.19751009421265131</v>
      </c>
      <c r="K284" s="13">
        <f>J284-E284</f>
        <v>-0.49326556102406571</v>
      </c>
      <c r="L284" s="13">
        <f>_xll.FDS(G284,"FF_ROE(ANN_R,12/30/2015)")</f>
        <v>16.78282091178469</v>
      </c>
      <c r="M284" s="8" t="s">
        <v>723</v>
      </c>
      <c r="N284" s="4" t="s">
        <v>724</v>
      </c>
      <c r="O284" s="4" t="s">
        <v>725</v>
      </c>
      <c r="P284" s="4" t="s">
        <v>96</v>
      </c>
      <c r="Q284" s="4" t="s">
        <v>41</v>
      </c>
      <c r="R284" s="4" t="s">
        <v>61</v>
      </c>
      <c r="S284" s="4" t="s">
        <v>62</v>
      </c>
      <c r="T284" s="6" t="e">
        <v>#N/A</v>
      </c>
      <c r="U284" s="5">
        <v>61</v>
      </c>
      <c r="V284" s="5">
        <v>55</v>
      </c>
      <c r="W284" s="5">
        <v>56</v>
      </c>
      <c r="X284" s="5">
        <v>77</v>
      </c>
      <c r="Y284" s="5">
        <v>58.67</v>
      </c>
      <c r="Z284" s="5">
        <v>44</v>
      </c>
      <c r="AA284" s="5">
        <v>28</v>
      </c>
      <c r="AB284" s="5">
        <v>88</v>
      </c>
      <c r="AC284" s="6">
        <v>0.4</v>
      </c>
      <c r="AD284" s="6">
        <v>0.35</v>
      </c>
      <c r="AE284" s="6">
        <v>0.25</v>
      </c>
      <c r="AF284" s="4" t="s">
        <v>6296</v>
      </c>
      <c r="AG284" s="4" t="s">
        <v>6296</v>
      </c>
      <c r="AH284" s="4" t="s">
        <v>6296</v>
      </c>
      <c r="AI284" s="4" t="s">
        <v>6296</v>
      </c>
      <c r="AJ284" s="4" t="s">
        <v>6296</v>
      </c>
      <c r="AK284" s="4" t="s">
        <v>6296</v>
      </c>
      <c r="AL284" s="4" t="s">
        <v>6296</v>
      </c>
      <c r="AM284" s="4" t="s">
        <v>6296</v>
      </c>
      <c r="AN284" s="4" t="s">
        <v>6296</v>
      </c>
      <c r="AO284" s="4" t="s">
        <v>6296</v>
      </c>
      <c r="AP284" s="4" t="s">
        <v>726</v>
      </c>
      <c r="AQ284" s="4" t="s">
        <v>47</v>
      </c>
    </row>
    <row r="285" spans="1:43" ht="12.6" customHeight="1" x14ac:dyDescent="0.25">
      <c r="A285" s="8" t="s">
        <v>3489</v>
      </c>
      <c r="B285" s="9">
        <v>20151231</v>
      </c>
      <c r="C285" s="12">
        <f>_xll.FDS("SPX","FG_PRICE(12/30/2015)")</f>
        <v>2063.36</v>
      </c>
      <c r="D285" s="12">
        <f>_xll.FDS("SPX","FG_PRICE(12/30/2017)")</f>
        <v>2673.61</v>
      </c>
      <c r="E285" s="15">
        <f>D285/C285-1</f>
        <v>0.2957554668114144</v>
      </c>
      <c r="F285" s="8" t="s">
        <v>3490</v>
      </c>
      <c r="G285" s="8" t="s">
        <v>3491</v>
      </c>
      <c r="H285" s="13">
        <f>_xll.FDS(G285,"FG_PRICE(12/30/2015)")</f>
        <v>29.16</v>
      </c>
      <c r="I285" s="13" t="e">
        <f>_xll.FDS(G285,"FG_PRICE(12/31/2017)")</f>
        <v>#N/A</v>
      </c>
      <c r="J285" s="13" t="e">
        <f>I285/H285-1</f>
        <v>#N/A</v>
      </c>
      <c r="K285" s="13" t="e">
        <f>J285-E285</f>
        <v>#N/A</v>
      </c>
      <c r="L285" s="13">
        <f>_xll.FDS(G285,"FF_ROE(ANN_R,12/30/2015)")</f>
        <v>29.32439509793652</v>
      </c>
      <c r="M285" s="8" t="s">
        <v>3492</v>
      </c>
      <c r="N285" s="4" t="s">
        <v>3493</v>
      </c>
      <c r="O285" s="4" t="s">
        <v>47</v>
      </c>
      <c r="P285" s="4" t="s">
        <v>96</v>
      </c>
      <c r="Q285" s="4" t="s">
        <v>41</v>
      </c>
      <c r="R285" s="4" t="s">
        <v>61</v>
      </c>
      <c r="S285" s="4" t="s">
        <v>62</v>
      </c>
      <c r="T285" s="6" t="e">
        <v>#N/A</v>
      </c>
      <c r="U285" s="5">
        <v>59</v>
      </c>
      <c r="V285" s="5">
        <v>57</v>
      </c>
      <c r="W285" s="5">
        <v>58</v>
      </c>
      <c r="X285" s="5">
        <v>64</v>
      </c>
      <c r="Y285" s="5">
        <v>49.33</v>
      </c>
      <c r="Z285" s="5">
        <v>58.67</v>
      </c>
      <c r="AA285" s="5">
        <v>48</v>
      </c>
      <c r="AB285" s="5">
        <v>33.33</v>
      </c>
      <c r="AC285" s="6">
        <v>0.4</v>
      </c>
      <c r="AD285" s="6">
        <v>0.35</v>
      </c>
      <c r="AE285" s="6">
        <v>0.25</v>
      </c>
      <c r="AF285" s="4" t="s">
        <v>6296</v>
      </c>
      <c r="AG285" s="4" t="s">
        <v>6296</v>
      </c>
      <c r="AH285" s="4" t="s">
        <v>6296</v>
      </c>
      <c r="AI285" s="4" t="s">
        <v>6296</v>
      </c>
      <c r="AJ285" s="4" t="s">
        <v>6296</v>
      </c>
      <c r="AK285" s="4" t="s">
        <v>6296</v>
      </c>
      <c r="AL285" s="4" t="s">
        <v>6296</v>
      </c>
      <c r="AM285" s="4" t="s">
        <v>6296</v>
      </c>
      <c r="AN285" s="4" t="s">
        <v>6296</v>
      </c>
      <c r="AO285" s="4" t="s">
        <v>6296</v>
      </c>
      <c r="AP285" s="4" t="s">
        <v>3494</v>
      </c>
      <c r="AQ285" s="4" t="s">
        <v>47</v>
      </c>
    </row>
    <row r="286" spans="1:43" ht="12.6" customHeight="1" x14ac:dyDescent="0.25">
      <c r="A286" s="8" t="s">
        <v>1829</v>
      </c>
      <c r="B286" s="9">
        <v>20151231</v>
      </c>
      <c r="C286" s="12">
        <f>_xll.FDS("SPX","FG_PRICE(12/30/2015)")</f>
        <v>2063.36</v>
      </c>
      <c r="D286" s="12">
        <f>_xll.FDS("SPX","FG_PRICE(12/30/2017)")</f>
        <v>2673.61</v>
      </c>
      <c r="E286" s="15">
        <f>D286/C286-1</f>
        <v>0.2957554668114144</v>
      </c>
      <c r="F286" s="8" t="s">
        <v>1830</v>
      </c>
      <c r="G286" s="8" t="s">
        <v>1831</v>
      </c>
      <c r="H286" s="13">
        <f>_xll.FDS(G286,"FG_PRICE(12/30/2015)")</f>
        <v>34.130000000000003</v>
      </c>
      <c r="I286" s="13">
        <f>_xll.FDS(G286,"FG_PRICE(12/31/2017)")</f>
        <v>48.87</v>
      </c>
      <c r="J286" s="13">
        <f>I286/H286-1</f>
        <v>0.43187811309698199</v>
      </c>
      <c r="K286" s="13">
        <f>J286-E286</f>
        <v>0.13612264628556758</v>
      </c>
      <c r="L286" s="13">
        <f>_xll.FDS(G286,"FF_ROE(ANN_R,12/30/2015)")</f>
        <v>23.023318145269361</v>
      </c>
      <c r="M286" s="8" t="s">
        <v>1832</v>
      </c>
      <c r="N286" s="4" t="s">
        <v>1832</v>
      </c>
      <c r="O286" s="4" t="s">
        <v>1833</v>
      </c>
      <c r="P286" s="4" t="s">
        <v>96</v>
      </c>
      <c r="Q286" s="4" t="s">
        <v>41</v>
      </c>
      <c r="R286" s="4" t="s">
        <v>61</v>
      </c>
      <c r="S286" s="4" t="s">
        <v>62</v>
      </c>
      <c r="T286" s="6" t="e">
        <v>#N/A</v>
      </c>
      <c r="U286" s="5">
        <v>62</v>
      </c>
      <c r="V286" s="5">
        <v>63</v>
      </c>
      <c r="W286" s="5">
        <v>68</v>
      </c>
      <c r="X286" s="5">
        <v>53</v>
      </c>
      <c r="Y286" s="5">
        <v>62.67</v>
      </c>
      <c r="Z286" s="5">
        <v>69.33</v>
      </c>
      <c r="AA286" s="5">
        <v>72</v>
      </c>
      <c r="AB286" s="6">
        <v>5.33</v>
      </c>
      <c r="AC286" s="6">
        <v>0.4</v>
      </c>
      <c r="AD286" s="6">
        <v>0.35</v>
      </c>
      <c r="AE286" s="6">
        <v>0.25</v>
      </c>
      <c r="AF286" s="4" t="s">
        <v>37</v>
      </c>
      <c r="AG286" s="4" t="s">
        <v>6296</v>
      </c>
      <c r="AH286" s="4" t="s">
        <v>6296</v>
      </c>
      <c r="AI286" s="4" t="s">
        <v>37</v>
      </c>
      <c r="AJ286" s="4" t="s">
        <v>6296</v>
      </c>
      <c r="AK286" s="4" t="s">
        <v>42</v>
      </c>
      <c r="AL286" s="4" t="s">
        <v>6296</v>
      </c>
      <c r="AM286" s="4" t="s">
        <v>45</v>
      </c>
      <c r="AN286" s="4" t="s">
        <v>42</v>
      </c>
      <c r="AO286" s="4" t="s">
        <v>6296</v>
      </c>
      <c r="AP286" s="4" t="s">
        <v>1834</v>
      </c>
      <c r="AQ286" s="4" t="s">
        <v>47</v>
      </c>
    </row>
    <row r="287" spans="1:43" ht="12.6" customHeight="1" x14ac:dyDescent="0.25">
      <c r="A287" s="8" t="s">
        <v>301</v>
      </c>
      <c r="B287" s="9">
        <v>20151231</v>
      </c>
      <c r="C287" s="12">
        <f>_xll.FDS("SPX","FG_PRICE(12/30/2015)")</f>
        <v>2063.36</v>
      </c>
      <c r="D287" s="12">
        <f>_xll.FDS("SPX","FG_PRICE(12/30/2017)")</f>
        <v>2673.61</v>
      </c>
      <c r="E287" s="15">
        <f>D287/C287-1</f>
        <v>0.2957554668114144</v>
      </c>
      <c r="F287" s="8" t="s">
        <v>302</v>
      </c>
      <c r="G287" s="8" t="s">
        <v>303</v>
      </c>
      <c r="H287" s="13">
        <f>_xll.FDS(G287,"FG_PRICE(12/30/2015)")</f>
        <v>5.23</v>
      </c>
      <c r="I287" s="13">
        <f>_xll.FDS(G287,"FG_PRICE(12/31/2017)")</f>
        <v>7.54</v>
      </c>
      <c r="J287" s="13">
        <f>I287/H287-1</f>
        <v>0.44168260038240903</v>
      </c>
      <c r="K287" s="13">
        <f>J287-E287</f>
        <v>0.14592713357099463</v>
      </c>
      <c r="L287" s="13">
        <f>_xll.FDS(G287,"FF_ROE(ANN_R,12/30/2015)")</f>
        <v>12.30943450091593</v>
      </c>
      <c r="M287" s="8" t="s">
        <v>304</v>
      </c>
      <c r="N287" s="4" t="s">
        <v>305</v>
      </c>
      <c r="O287" s="4" t="s">
        <v>306</v>
      </c>
      <c r="P287" s="4" t="s">
        <v>96</v>
      </c>
      <c r="Q287" s="4" t="s">
        <v>41</v>
      </c>
      <c r="R287" s="4" t="s">
        <v>61</v>
      </c>
      <c r="S287" s="4" t="s">
        <v>62</v>
      </c>
      <c r="T287" s="6" t="e">
        <v>#N/A</v>
      </c>
      <c r="U287" s="5">
        <v>58</v>
      </c>
      <c r="V287" s="5">
        <v>58</v>
      </c>
      <c r="W287" s="5">
        <v>53</v>
      </c>
      <c r="X287" s="5">
        <v>64</v>
      </c>
      <c r="Y287" s="5">
        <v>38.67</v>
      </c>
      <c r="Z287" s="5">
        <v>61.33</v>
      </c>
      <c r="AA287" s="5">
        <v>20</v>
      </c>
      <c r="AB287" s="5">
        <v>33.33</v>
      </c>
      <c r="AC287" s="6">
        <v>0.4</v>
      </c>
      <c r="AD287" s="6">
        <v>0.35</v>
      </c>
      <c r="AE287" s="6">
        <v>0.25</v>
      </c>
      <c r="AF287" s="4" t="s">
        <v>6296</v>
      </c>
      <c r="AG287" s="4" t="s">
        <v>6296</v>
      </c>
      <c r="AH287" s="4" t="s">
        <v>6296</v>
      </c>
      <c r="AI287" s="4" t="s">
        <v>6296</v>
      </c>
      <c r="AJ287" s="4" t="s">
        <v>6296</v>
      </c>
      <c r="AK287" s="4" t="s">
        <v>6296</v>
      </c>
      <c r="AL287" s="4" t="s">
        <v>6296</v>
      </c>
      <c r="AM287" s="4" t="s">
        <v>6296</v>
      </c>
      <c r="AN287" s="4" t="s">
        <v>6296</v>
      </c>
      <c r="AO287" s="4" t="s">
        <v>6296</v>
      </c>
      <c r="AP287" s="4" t="s">
        <v>307</v>
      </c>
      <c r="AQ287" s="4" t="s">
        <v>47</v>
      </c>
    </row>
    <row r="288" spans="1:43" ht="12.6" customHeight="1" x14ac:dyDescent="0.25">
      <c r="A288" s="8" t="s">
        <v>1941</v>
      </c>
      <c r="B288" s="9">
        <v>20151231</v>
      </c>
      <c r="C288" s="12">
        <f>_xll.FDS("SPX","FG_PRICE(12/30/2015)")</f>
        <v>2063.36</v>
      </c>
      <c r="D288" s="12">
        <f>_xll.FDS("SPX","FG_PRICE(12/30/2017)")</f>
        <v>2673.61</v>
      </c>
      <c r="E288" s="15">
        <f>D288/C288-1</f>
        <v>0.2957554668114144</v>
      </c>
      <c r="F288" s="8" t="s">
        <v>1942</v>
      </c>
      <c r="G288" s="8" t="s">
        <v>1943</v>
      </c>
      <c r="H288" s="13">
        <f>_xll.FDS(G288,"FG_PRICE(12/30/2015)")</f>
        <v>52.76</v>
      </c>
      <c r="I288" s="13">
        <f>_xll.FDS(G288,"FG_PRICE(12/31/2017)")</f>
        <v>64.64</v>
      </c>
      <c r="J288" s="13">
        <f>I288/H288-1</f>
        <v>0.22517058377558752</v>
      </c>
      <c r="K288" s="13">
        <f>J288-E288</f>
        <v>-7.0584883035826884E-2</v>
      </c>
      <c r="L288" s="13">
        <f>_xll.FDS(G288,"FF_ROE(ANN_R,12/30/2015)")</f>
        <v>8.5835633072477719</v>
      </c>
      <c r="M288" s="8" t="s">
        <v>1944</v>
      </c>
      <c r="N288" s="4" t="s">
        <v>1945</v>
      </c>
      <c r="O288" s="4" t="s">
        <v>1946</v>
      </c>
      <c r="P288" s="4" t="s">
        <v>96</v>
      </c>
      <c r="Q288" s="4" t="s">
        <v>41</v>
      </c>
      <c r="R288" s="4" t="s">
        <v>61</v>
      </c>
      <c r="S288" s="4" t="s">
        <v>62</v>
      </c>
      <c r="T288" s="6" t="e">
        <v>#N/A</v>
      </c>
      <c r="U288" s="5">
        <v>53</v>
      </c>
      <c r="V288" s="5">
        <v>48</v>
      </c>
      <c r="W288" s="5">
        <v>51</v>
      </c>
      <c r="X288" s="5">
        <v>65</v>
      </c>
      <c r="Y288" s="5">
        <v>10.67</v>
      </c>
      <c r="Z288" s="5">
        <v>16</v>
      </c>
      <c r="AA288" s="5">
        <v>16</v>
      </c>
      <c r="AB288" s="5">
        <v>41.33</v>
      </c>
      <c r="AC288" s="6">
        <v>0.4</v>
      </c>
      <c r="AD288" s="6">
        <v>0.35</v>
      </c>
      <c r="AE288" s="6">
        <v>0.25</v>
      </c>
      <c r="AF288" s="4" t="s">
        <v>6296</v>
      </c>
      <c r="AG288" s="4" t="s">
        <v>6296</v>
      </c>
      <c r="AH288" s="4" t="s">
        <v>6296</v>
      </c>
      <c r="AI288" s="4" t="s">
        <v>42</v>
      </c>
      <c r="AJ288" s="4" t="s">
        <v>6296</v>
      </c>
      <c r="AK288" s="4" t="s">
        <v>42</v>
      </c>
      <c r="AL288" s="4" t="s">
        <v>6296</v>
      </c>
      <c r="AM288" s="4" t="s">
        <v>6296</v>
      </c>
      <c r="AN288" s="4" t="s">
        <v>6296</v>
      </c>
      <c r="AO288" s="4" t="s">
        <v>6296</v>
      </c>
      <c r="AP288" s="4" t="s">
        <v>1947</v>
      </c>
      <c r="AQ288" s="4" t="s">
        <v>47</v>
      </c>
    </row>
    <row r="289" spans="1:43" ht="12.6" customHeight="1" x14ac:dyDescent="0.25">
      <c r="A289" s="8" t="s">
        <v>2544</v>
      </c>
      <c r="B289" s="9">
        <v>20151231</v>
      </c>
      <c r="C289" s="12">
        <f>_xll.FDS("SPX","FG_PRICE(12/30/2015)")</f>
        <v>2063.36</v>
      </c>
      <c r="D289" s="12">
        <f>_xll.FDS("SPX","FG_PRICE(12/30/2017)")</f>
        <v>2673.61</v>
      </c>
      <c r="E289" s="15">
        <f>D289/C289-1</f>
        <v>0.2957554668114144</v>
      </c>
      <c r="F289" s="8" t="s">
        <v>2545</v>
      </c>
      <c r="G289" s="8" t="s">
        <v>2546</v>
      </c>
      <c r="H289" s="13">
        <f>_xll.FDS(G289,"FG_PRICE(12/30/2015)")</f>
        <v>3.32</v>
      </c>
      <c r="I289" s="13">
        <f>_xll.FDS(G289,"FG_PRICE(12/31/2017)")</f>
        <v>6.58</v>
      </c>
      <c r="J289" s="13">
        <f>I289/H289-1</f>
        <v>0.98192771084337371</v>
      </c>
      <c r="K289" s="13">
        <f>J289-E289</f>
        <v>0.68617224403195931</v>
      </c>
      <c r="L289" s="13">
        <f>_xll.FDS(G289,"FF_ROE(ANN_R,12/30/2015)")</f>
        <v>-5.3559937950141636</v>
      </c>
      <c r="M289" s="8" t="s">
        <v>2547</v>
      </c>
      <c r="N289" s="4" t="s">
        <v>2548</v>
      </c>
      <c r="O289" s="4" t="s">
        <v>2549</v>
      </c>
      <c r="P289" s="4" t="s">
        <v>96</v>
      </c>
      <c r="Q289" s="4" t="s">
        <v>41</v>
      </c>
      <c r="R289" s="4" t="s">
        <v>61</v>
      </c>
      <c r="S289" s="4" t="s">
        <v>62</v>
      </c>
      <c r="T289" s="6" t="e">
        <v>#N/A</v>
      </c>
      <c r="U289" s="5">
        <v>58</v>
      </c>
      <c r="V289" s="5">
        <v>55</v>
      </c>
      <c r="W289" s="5">
        <v>59</v>
      </c>
      <c r="X289" s="5">
        <v>62</v>
      </c>
      <c r="Y289" s="5">
        <v>38.67</v>
      </c>
      <c r="Z289" s="5">
        <v>44</v>
      </c>
      <c r="AA289" s="5">
        <v>50.67</v>
      </c>
      <c r="AB289" s="5">
        <v>24</v>
      </c>
      <c r="AC289" s="6">
        <v>0.4</v>
      </c>
      <c r="AD289" s="6">
        <v>0.35</v>
      </c>
      <c r="AE289" s="6">
        <v>0.25</v>
      </c>
      <c r="AF289" s="4" t="s">
        <v>6296</v>
      </c>
      <c r="AG289" s="4" t="s">
        <v>6296</v>
      </c>
      <c r="AH289" s="4" t="s">
        <v>6296</v>
      </c>
      <c r="AI289" s="4" t="s">
        <v>6296</v>
      </c>
      <c r="AJ289" s="4" t="s">
        <v>6296</v>
      </c>
      <c r="AK289" s="4" t="s">
        <v>6296</v>
      </c>
      <c r="AL289" s="4" t="s">
        <v>6296</v>
      </c>
      <c r="AM289" s="4" t="s">
        <v>6296</v>
      </c>
      <c r="AN289" s="4" t="s">
        <v>6296</v>
      </c>
      <c r="AO289" s="4" t="s">
        <v>6296</v>
      </c>
      <c r="AP289" s="4" t="s">
        <v>2550</v>
      </c>
      <c r="AQ289" s="4" t="s">
        <v>47</v>
      </c>
    </row>
    <row r="290" spans="1:43" ht="12.6" customHeight="1" x14ac:dyDescent="0.25">
      <c r="A290" s="8" t="s">
        <v>2818</v>
      </c>
      <c r="B290" s="9">
        <v>20151231</v>
      </c>
      <c r="C290" s="12">
        <f>_xll.FDS("SPX","FG_PRICE(12/30/2015)")</f>
        <v>2063.36</v>
      </c>
      <c r="D290" s="12">
        <f>_xll.FDS("SPX","FG_PRICE(12/30/2017)")</f>
        <v>2673.61</v>
      </c>
      <c r="E290" s="15">
        <f>D290/C290-1</f>
        <v>0.2957554668114144</v>
      </c>
      <c r="F290" s="8" t="s">
        <v>2819</v>
      </c>
      <c r="G290" s="8" t="s">
        <v>2820</v>
      </c>
      <c r="H290" s="13">
        <f>_xll.FDS(G290,"FG_PRICE(12/30/2015)")</f>
        <v>33.74</v>
      </c>
      <c r="I290" s="13">
        <f>_xll.FDS(G290,"FG_PRICE(12/31/2017)")</f>
        <v>36.020000000000003</v>
      </c>
      <c r="J290" s="13">
        <f>I290/H290-1</f>
        <v>6.7575577949021914E-2</v>
      </c>
      <c r="K290" s="13">
        <f>J290-E290</f>
        <v>-0.22817988886239249</v>
      </c>
      <c r="L290" s="13">
        <f>_xll.FDS(G290,"FF_ROE(ANN_R,12/30/2015)")</f>
        <v>11.41605703368902</v>
      </c>
      <c r="M290" s="8" t="s">
        <v>2821</v>
      </c>
      <c r="N290" s="4" t="s">
        <v>2822</v>
      </c>
      <c r="O290" s="4" t="s">
        <v>2823</v>
      </c>
      <c r="P290" s="4" t="s">
        <v>96</v>
      </c>
      <c r="Q290" s="4" t="s">
        <v>41</v>
      </c>
      <c r="R290" s="4" t="s">
        <v>61</v>
      </c>
      <c r="S290" s="4" t="s">
        <v>62</v>
      </c>
      <c r="T290" s="6" t="e">
        <v>#N/A</v>
      </c>
      <c r="U290" s="5">
        <v>54</v>
      </c>
      <c r="V290" s="5">
        <v>57</v>
      </c>
      <c r="W290" s="5">
        <v>50</v>
      </c>
      <c r="X290" s="5">
        <v>57</v>
      </c>
      <c r="Y290" s="5">
        <v>13.33</v>
      </c>
      <c r="Z290" s="5">
        <v>58.67</v>
      </c>
      <c r="AA290" s="6">
        <v>6.67</v>
      </c>
      <c r="AB290" s="5">
        <v>13.33</v>
      </c>
      <c r="AC290" s="6">
        <v>0.4</v>
      </c>
      <c r="AD290" s="6">
        <v>0.35</v>
      </c>
      <c r="AE290" s="6">
        <v>0.25</v>
      </c>
      <c r="AF290" s="4" t="s">
        <v>6296</v>
      </c>
      <c r="AG290" s="4" t="s">
        <v>6296</v>
      </c>
      <c r="AH290" s="4" t="s">
        <v>6296</v>
      </c>
      <c r="AI290" s="4" t="s">
        <v>42</v>
      </c>
      <c r="AJ290" s="4" t="s">
        <v>6296</v>
      </c>
      <c r="AK290" s="4" t="s">
        <v>6296</v>
      </c>
      <c r="AL290" s="4" t="s">
        <v>37</v>
      </c>
      <c r="AM290" s="4" t="s">
        <v>6296</v>
      </c>
      <c r="AN290" s="4" t="s">
        <v>6296</v>
      </c>
      <c r="AO290" s="4" t="s">
        <v>6296</v>
      </c>
      <c r="AP290" s="4" t="s">
        <v>2824</v>
      </c>
      <c r="AQ290" s="4" t="s">
        <v>47</v>
      </c>
    </row>
    <row r="291" spans="1:43" ht="12.6" customHeight="1" x14ac:dyDescent="0.25">
      <c r="A291" s="8" t="s">
        <v>2996</v>
      </c>
      <c r="B291" s="9">
        <v>20151231</v>
      </c>
      <c r="C291" s="12">
        <f>_xll.FDS("SPX","FG_PRICE(12/30/2015)")</f>
        <v>2063.36</v>
      </c>
      <c r="D291" s="12">
        <f>_xll.FDS("SPX","FG_PRICE(12/30/2017)")</f>
        <v>2673.61</v>
      </c>
      <c r="E291" s="15">
        <f>D291/C291-1</f>
        <v>0.2957554668114144</v>
      </c>
      <c r="F291" s="8" t="s">
        <v>2997</v>
      </c>
      <c r="G291" s="8" t="s">
        <v>2998</v>
      </c>
      <c r="H291" s="13">
        <f>_xll.FDS(G291,"FG_PRICE(12/30/2015)")</f>
        <v>37.450000000000003</v>
      </c>
      <c r="I291" s="13">
        <f>_xll.FDS(G291,"FG_PRICE(12/31/2017)")</f>
        <v>21.14</v>
      </c>
      <c r="J291" s="13">
        <f>I291/H291-1</f>
        <v>-0.43551401869158879</v>
      </c>
      <c r="K291" s="13">
        <f>J291-E291</f>
        <v>-0.73126948550300319</v>
      </c>
      <c r="L291" s="13">
        <f>_xll.FDS(G291,"FF_ROE(ANN_R,12/30/2015)")</f>
        <v>23.146287820246091</v>
      </c>
      <c r="M291" s="8" t="s">
        <v>2999</v>
      </c>
      <c r="N291" s="4" t="s">
        <v>3000</v>
      </c>
      <c r="O291" s="4" t="s">
        <v>3001</v>
      </c>
      <c r="P291" s="4" t="s">
        <v>96</v>
      </c>
      <c r="Q291" s="4" t="s">
        <v>41</v>
      </c>
      <c r="R291" s="4" t="s">
        <v>61</v>
      </c>
      <c r="S291" s="4" t="s">
        <v>62</v>
      </c>
      <c r="T291" s="6" t="e">
        <v>#N/A</v>
      </c>
      <c r="U291" s="5">
        <v>58</v>
      </c>
      <c r="V291" s="5">
        <v>58</v>
      </c>
      <c r="W291" s="5">
        <v>57</v>
      </c>
      <c r="X291" s="5">
        <v>61</v>
      </c>
      <c r="Y291" s="5">
        <v>38.67</v>
      </c>
      <c r="Z291" s="5">
        <v>61.33</v>
      </c>
      <c r="AA291" s="5">
        <v>44</v>
      </c>
      <c r="AB291" s="5">
        <v>21.33</v>
      </c>
      <c r="AC291" s="6">
        <v>0.4</v>
      </c>
      <c r="AD291" s="6">
        <v>0.35</v>
      </c>
      <c r="AE291" s="6">
        <v>0.25</v>
      </c>
      <c r="AF291" s="4" t="s">
        <v>6296</v>
      </c>
      <c r="AG291" s="4" t="s">
        <v>6296</v>
      </c>
      <c r="AH291" s="4" t="s">
        <v>6296</v>
      </c>
      <c r="AI291" s="4" t="s">
        <v>42</v>
      </c>
      <c r="AJ291" s="4" t="s">
        <v>6296</v>
      </c>
      <c r="AK291" s="4" t="s">
        <v>6296</v>
      </c>
      <c r="AL291" s="4" t="s">
        <v>6296</v>
      </c>
      <c r="AM291" s="4" t="s">
        <v>6296</v>
      </c>
      <c r="AN291" s="4" t="s">
        <v>6296</v>
      </c>
      <c r="AO291" s="4" t="s">
        <v>6296</v>
      </c>
      <c r="AP291" s="4" t="s">
        <v>3002</v>
      </c>
      <c r="AQ291" s="4" t="s">
        <v>47</v>
      </c>
    </row>
    <row r="292" spans="1:43" ht="12.6" customHeight="1" x14ac:dyDescent="0.25">
      <c r="A292" s="8" t="s">
        <v>3336</v>
      </c>
      <c r="B292" s="9">
        <v>20151231</v>
      </c>
      <c r="C292" s="12">
        <f>_xll.FDS("SPX","FG_PRICE(12/30/2015)")</f>
        <v>2063.36</v>
      </c>
      <c r="D292" s="12">
        <f>_xll.FDS("SPX","FG_PRICE(12/30/2017)")</f>
        <v>2673.61</v>
      </c>
      <c r="E292" s="15">
        <f>D292/C292-1</f>
        <v>0.2957554668114144</v>
      </c>
      <c r="F292" s="8" t="s">
        <v>3337</v>
      </c>
      <c r="G292" s="8" t="s">
        <v>3338</v>
      </c>
      <c r="H292" s="13">
        <f>_xll.FDS(G292,"FG_PRICE(12/30/2015)")</f>
        <v>27.2</v>
      </c>
      <c r="I292" s="13">
        <f>_xll.FDS(G292,"FG_PRICE(12/31/2017)")</f>
        <v>28.3</v>
      </c>
      <c r="J292" s="13">
        <f>I292/H292-1</f>
        <v>4.0441176470588314E-2</v>
      </c>
      <c r="K292" s="13">
        <f>J292-E292</f>
        <v>-0.25531429034082609</v>
      </c>
      <c r="L292" s="13">
        <f>_xll.FDS(G292,"FF_ROE(ANN_R,12/30/2015)")</f>
        <v>6.3133029302682058</v>
      </c>
      <c r="M292" s="8" t="s">
        <v>3339</v>
      </c>
      <c r="N292" s="4" t="s">
        <v>3340</v>
      </c>
      <c r="O292" s="4" t="s">
        <v>3341</v>
      </c>
      <c r="P292" s="4" t="s">
        <v>96</v>
      </c>
      <c r="Q292" s="4" t="s">
        <v>41</v>
      </c>
      <c r="R292" s="4" t="s">
        <v>61</v>
      </c>
      <c r="S292" s="4" t="s">
        <v>62</v>
      </c>
      <c r="T292" s="6" t="e">
        <v>#N/A</v>
      </c>
      <c r="U292" s="5">
        <v>56</v>
      </c>
      <c r="V292" s="5">
        <v>47</v>
      </c>
      <c r="W292" s="5">
        <v>56</v>
      </c>
      <c r="X292" s="5">
        <v>73</v>
      </c>
      <c r="Y292" s="5">
        <v>26.67</v>
      </c>
      <c r="Z292" s="6">
        <v>6.67</v>
      </c>
      <c r="AA292" s="5">
        <v>28</v>
      </c>
      <c r="AB292" s="5">
        <v>80</v>
      </c>
      <c r="AC292" s="6">
        <v>0.4</v>
      </c>
      <c r="AD292" s="6">
        <v>0.35</v>
      </c>
      <c r="AE292" s="6">
        <v>0.25</v>
      </c>
      <c r="AF292" s="4" t="s">
        <v>6296</v>
      </c>
      <c r="AG292" s="4" t="s">
        <v>6296</v>
      </c>
      <c r="AH292" s="4" t="s">
        <v>6296</v>
      </c>
      <c r="AI292" s="4" t="s">
        <v>6296</v>
      </c>
      <c r="AJ292" s="4" t="s">
        <v>6296</v>
      </c>
      <c r="AK292" s="4" t="s">
        <v>6296</v>
      </c>
      <c r="AL292" s="4" t="s">
        <v>6296</v>
      </c>
      <c r="AM292" s="4" t="s">
        <v>6296</v>
      </c>
      <c r="AN292" s="4" t="s">
        <v>6296</v>
      </c>
      <c r="AO292" s="4" t="s">
        <v>6296</v>
      </c>
      <c r="AP292" s="4" t="s">
        <v>3342</v>
      </c>
      <c r="AQ292" s="4" t="s">
        <v>47</v>
      </c>
    </row>
    <row r="293" spans="1:43" ht="12.6" customHeight="1" x14ac:dyDescent="0.25">
      <c r="A293" s="8" t="s">
        <v>3061</v>
      </c>
      <c r="B293" s="9">
        <v>20151231</v>
      </c>
      <c r="C293" s="12">
        <f>_xll.FDS("SPX","FG_PRICE(12/30/2015)")</f>
        <v>2063.36</v>
      </c>
      <c r="D293" s="12">
        <f>_xll.FDS("SPX","FG_PRICE(12/30/2017)")</f>
        <v>2673.61</v>
      </c>
      <c r="E293" s="15">
        <f>D293/C293-1</f>
        <v>0.2957554668114144</v>
      </c>
      <c r="F293" s="8" t="s">
        <v>3062</v>
      </c>
      <c r="G293" s="8" t="s">
        <v>3063</v>
      </c>
      <c r="H293" s="13">
        <f>_xll.FDS(G293,"FG_PRICE(12/30/2015)")</f>
        <v>15.2</v>
      </c>
      <c r="I293" s="13">
        <f>_xll.FDS(G293,"FG_PRICE(12/31/2017)")</f>
        <v>23.01</v>
      </c>
      <c r="J293" s="13">
        <f>I293/H293-1</f>
        <v>0.51381578947368434</v>
      </c>
      <c r="K293" s="13">
        <f>J293-E293</f>
        <v>0.21806032266226993</v>
      </c>
      <c r="L293" s="13">
        <f>_xll.FDS(G293,"FF_ROE(ANN_R,12/30/2015)")</f>
        <v>5.6872655673356576</v>
      </c>
      <c r="M293" s="8" t="s">
        <v>3064</v>
      </c>
      <c r="N293" s="4" t="s">
        <v>3065</v>
      </c>
      <c r="O293" s="4" t="s">
        <v>3066</v>
      </c>
      <c r="P293" s="4" t="s">
        <v>106</v>
      </c>
      <c r="Q293" s="4" t="s">
        <v>41</v>
      </c>
      <c r="R293" s="4" t="s">
        <v>61</v>
      </c>
      <c r="S293" s="4" t="s">
        <v>62</v>
      </c>
      <c r="T293" s="6" t="e">
        <v>#N/A</v>
      </c>
      <c r="U293" s="5">
        <v>57</v>
      </c>
      <c r="V293" s="5">
        <v>54</v>
      </c>
      <c r="W293" s="5">
        <v>53</v>
      </c>
      <c r="X293" s="5">
        <v>68</v>
      </c>
      <c r="Y293" s="5">
        <v>29.33</v>
      </c>
      <c r="Z293" s="5">
        <v>40</v>
      </c>
      <c r="AA293" s="5">
        <v>20</v>
      </c>
      <c r="AB293" s="5">
        <v>54.67</v>
      </c>
      <c r="AC293" s="6">
        <v>0.4</v>
      </c>
      <c r="AD293" s="6">
        <v>0.35</v>
      </c>
      <c r="AE293" s="6">
        <v>0.25</v>
      </c>
      <c r="AF293" s="4" t="s">
        <v>6296</v>
      </c>
      <c r="AG293" s="4" t="s">
        <v>6296</v>
      </c>
      <c r="AH293" s="4" t="s">
        <v>6296</v>
      </c>
      <c r="AI293" s="4" t="s">
        <v>37</v>
      </c>
      <c r="AJ293" s="4" t="s">
        <v>6296</v>
      </c>
      <c r="AK293" s="4" t="s">
        <v>6296</v>
      </c>
      <c r="AL293" s="4" t="s">
        <v>6296</v>
      </c>
      <c r="AM293" s="4" t="s">
        <v>6296</v>
      </c>
      <c r="AN293" s="4" t="s">
        <v>6296</v>
      </c>
      <c r="AO293" s="4" t="s">
        <v>6296</v>
      </c>
      <c r="AP293" s="4" t="s">
        <v>3067</v>
      </c>
      <c r="AQ293" s="4" t="s">
        <v>47</v>
      </c>
    </row>
    <row r="294" spans="1:43" ht="12.6" customHeight="1" x14ac:dyDescent="0.25">
      <c r="A294" s="8" t="s">
        <v>5557</v>
      </c>
      <c r="B294" s="9">
        <v>20151231</v>
      </c>
      <c r="C294" s="12">
        <f>_xll.FDS("SPX","FG_PRICE(12/30/2015)")</f>
        <v>2063.36</v>
      </c>
      <c r="D294" s="12">
        <f>_xll.FDS("SPX","FG_PRICE(12/30/2017)")</f>
        <v>2673.61</v>
      </c>
      <c r="E294" s="15">
        <f>D294/C294-1</f>
        <v>0.2957554668114144</v>
      </c>
      <c r="F294" s="8" t="s">
        <v>5558</v>
      </c>
      <c r="G294" s="8" t="s">
        <v>5559</v>
      </c>
      <c r="H294" s="13">
        <f>_xll.FDS(G294,"FG_PRICE(12/30/2015)")</f>
        <v>16.78</v>
      </c>
      <c r="I294" s="13">
        <f>_xll.FDS(G294,"FG_PRICE(12/31/2017)")</f>
        <v>15.66</v>
      </c>
      <c r="J294" s="13">
        <f>I294/H294-1</f>
        <v>-6.6746126340882062E-2</v>
      </c>
      <c r="K294" s="13">
        <f>J294-E294</f>
        <v>-0.36250159315229646</v>
      </c>
      <c r="L294" s="13">
        <f>_xll.FDS(G294,"FF_ROE(ANN_R,12/30/2015)")</f>
        <v>-2.4803967800224509</v>
      </c>
      <c r="M294" s="8" t="s">
        <v>5560</v>
      </c>
      <c r="N294" s="4" t="s">
        <v>5561</v>
      </c>
      <c r="O294" s="4" t="s">
        <v>5562</v>
      </c>
      <c r="P294" s="4" t="s">
        <v>96</v>
      </c>
      <c r="Q294" s="4" t="s">
        <v>41</v>
      </c>
      <c r="R294" s="4" t="s">
        <v>61</v>
      </c>
      <c r="S294" s="4" t="s">
        <v>62</v>
      </c>
      <c r="T294" s="6" t="e">
        <v>#N/A</v>
      </c>
      <c r="U294" s="5">
        <v>57</v>
      </c>
      <c r="V294" s="5">
        <v>50</v>
      </c>
      <c r="W294" s="5">
        <v>57</v>
      </c>
      <c r="X294" s="5">
        <v>69</v>
      </c>
      <c r="Y294" s="5">
        <v>29.33</v>
      </c>
      <c r="Z294" s="5">
        <v>24</v>
      </c>
      <c r="AA294" s="5">
        <v>44</v>
      </c>
      <c r="AB294" s="5">
        <v>62.67</v>
      </c>
      <c r="AC294" s="6">
        <v>0.4</v>
      </c>
      <c r="AD294" s="6">
        <v>0.35</v>
      </c>
      <c r="AE294" s="6">
        <v>0.25</v>
      </c>
      <c r="AF294" s="4" t="s">
        <v>6296</v>
      </c>
      <c r="AG294" s="4" t="s">
        <v>6296</v>
      </c>
      <c r="AH294" s="4" t="s">
        <v>6296</v>
      </c>
      <c r="AI294" s="4" t="s">
        <v>6296</v>
      </c>
      <c r="AJ294" s="4" t="s">
        <v>6296</v>
      </c>
      <c r="AK294" s="4" t="s">
        <v>6296</v>
      </c>
      <c r="AL294" s="4" t="s">
        <v>6296</v>
      </c>
      <c r="AM294" s="4" t="s">
        <v>42</v>
      </c>
      <c r="AN294" s="4" t="s">
        <v>6296</v>
      </c>
      <c r="AO294" s="4" t="s">
        <v>6296</v>
      </c>
      <c r="AP294" s="4" t="s">
        <v>5563</v>
      </c>
      <c r="AQ294" s="4" t="s">
        <v>47</v>
      </c>
    </row>
    <row r="295" spans="1:43" ht="12.6" customHeight="1" x14ac:dyDescent="0.25">
      <c r="A295" s="8" t="s">
        <v>3317</v>
      </c>
      <c r="B295" s="9">
        <v>20151231</v>
      </c>
      <c r="C295" s="12">
        <f>_xll.FDS("SPX","FG_PRICE(12/30/2015)")</f>
        <v>2063.36</v>
      </c>
      <c r="D295" s="12">
        <f>_xll.FDS("SPX","FG_PRICE(12/30/2017)")</f>
        <v>2673.61</v>
      </c>
      <c r="E295" s="15">
        <f>D295/C295-1</f>
        <v>0.2957554668114144</v>
      </c>
      <c r="F295" s="8" t="s">
        <v>3318</v>
      </c>
      <c r="G295" s="8" t="s">
        <v>3319</v>
      </c>
      <c r="H295" s="13">
        <f>_xll.FDS(G295,"FG_PRICE(12/30/2015)")</f>
        <v>11.94</v>
      </c>
      <c r="I295" s="13">
        <f>_xll.FDS(G295,"FG_PRICE(12/31/2017)")</f>
        <v>25.53</v>
      </c>
      <c r="J295" s="13">
        <f>I295/H295-1</f>
        <v>1.1381909547738696</v>
      </c>
      <c r="K295" s="13">
        <f>J295-E295</f>
        <v>0.84243548796245515</v>
      </c>
      <c r="L295" s="13">
        <f>_xll.FDS(G295,"FF_ROE(ANN_R,12/30/2015)")</f>
        <v>23.955343307846679</v>
      </c>
      <c r="M295" s="8" t="s">
        <v>3320</v>
      </c>
      <c r="N295" s="4" t="s">
        <v>3321</v>
      </c>
      <c r="O295" s="4" t="s">
        <v>3322</v>
      </c>
      <c r="P295" s="4" t="s">
        <v>96</v>
      </c>
      <c r="Q295" s="4" t="s">
        <v>41</v>
      </c>
      <c r="R295" s="4" t="s">
        <v>61</v>
      </c>
      <c r="S295" s="4" t="s">
        <v>62</v>
      </c>
      <c r="T295" s="6" t="e">
        <v>#N/A</v>
      </c>
      <c r="U295" s="5">
        <v>55</v>
      </c>
      <c r="V295" s="5">
        <v>47</v>
      </c>
      <c r="W295" s="5">
        <v>56</v>
      </c>
      <c r="X295" s="5">
        <v>66</v>
      </c>
      <c r="Y295" s="5">
        <v>20</v>
      </c>
      <c r="Z295" s="6">
        <v>6.67</v>
      </c>
      <c r="AA295" s="5">
        <v>28</v>
      </c>
      <c r="AB295" s="5">
        <v>49.33</v>
      </c>
      <c r="AC295" s="6">
        <v>0.4</v>
      </c>
      <c r="AD295" s="6">
        <v>0.35</v>
      </c>
      <c r="AE295" s="6">
        <v>0.25</v>
      </c>
      <c r="AF295" s="4" t="s">
        <v>6296</v>
      </c>
      <c r="AG295" s="4" t="s">
        <v>6296</v>
      </c>
      <c r="AH295" s="4" t="s">
        <v>6296</v>
      </c>
      <c r="AI295" s="4" t="s">
        <v>6296</v>
      </c>
      <c r="AJ295" s="4" t="s">
        <v>6296</v>
      </c>
      <c r="AK295" s="4" t="s">
        <v>6296</v>
      </c>
      <c r="AL295" s="4" t="s">
        <v>6296</v>
      </c>
      <c r="AM295" s="4" t="s">
        <v>6296</v>
      </c>
      <c r="AN295" s="4" t="s">
        <v>6296</v>
      </c>
      <c r="AO295" s="4" t="s">
        <v>6296</v>
      </c>
      <c r="AP295" s="4" t="s">
        <v>3323</v>
      </c>
      <c r="AQ295" s="4" t="s">
        <v>47</v>
      </c>
    </row>
    <row r="296" spans="1:43" ht="12.6" customHeight="1" x14ac:dyDescent="0.25">
      <c r="A296" s="8" t="s">
        <v>3634</v>
      </c>
      <c r="B296" s="9">
        <v>20151231</v>
      </c>
      <c r="C296" s="12">
        <f>_xll.FDS("SPX","FG_PRICE(12/30/2015)")</f>
        <v>2063.36</v>
      </c>
      <c r="D296" s="12">
        <f>_xll.FDS("SPX","FG_PRICE(12/30/2017)")</f>
        <v>2673.61</v>
      </c>
      <c r="E296" s="15">
        <f>D296/C296-1</f>
        <v>0.2957554668114144</v>
      </c>
      <c r="F296" s="8" t="s">
        <v>3635</v>
      </c>
      <c r="G296" s="8" t="s">
        <v>3636</v>
      </c>
      <c r="H296" s="13">
        <f>_xll.FDS(G296,"FG_PRICE(12/30/2015)")</f>
        <v>13.39</v>
      </c>
      <c r="I296" s="13">
        <f>_xll.FDS(G296,"FG_PRICE(12/31/2017)")</f>
        <v>9.6300000000000008</v>
      </c>
      <c r="J296" s="13">
        <f>I296/H296-1</f>
        <v>-0.28080657206870796</v>
      </c>
      <c r="K296" s="13">
        <f>J296-E296</f>
        <v>-0.57656203888012236</v>
      </c>
      <c r="L296" s="13">
        <f>_xll.FDS(G296,"FF_ROE(ANN_R,12/30/2015)")</f>
        <v>6.8392102379413826</v>
      </c>
      <c r="M296" s="8" t="s">
        <v>3637</v>
      </c>
      <c r="N296" s="4" t="s">
        <v>3638</v>
      </c>
      <c r="O296" s="4" t="s">
        <v>3639</v>
      </c>
      <c r="P296" s="4" t="s">
        <v>96</v>
      </c>
      <c r="Q296" s="4" t="s">
        <v>41</v>
      </c>
      <c r="R296" s="4" t="s">
        <v>61</v>
      </c>
      <c r="S296" s="4" t="s">
        <v>62</v>
      </c>
      <c r="T296" s="6" t="e">
        <v>#N/A</v>
      </c>
      <c r="U296" s="5">
        <v>55</v>
      </c>
      <c r="V296" s="5">
        <v>49</v>
      </c>
      <c r="W296" s="5">
        <v>58</v>
      </c>
      <c r="X296" s="5">
        <v>62</v>
      </c>
      <c r="Y296" s="5">
        <v>20</v>
      </c>
      <c r="Z296" s="5">
        <v>20</v>
      </c>
      <c r="AA296" s="5">
        <v>48</v>
      </c>
      <c r="AB296" s="5">
        <v>24</v>
      </c>
      <c r="AC296" s="6">
        <v>0.4</v>
      </c>
      <c r="AD296" s="6">
        <v>0.35</v>
      </c>
      <c r="AE296" s="6">
        <v>0.25</v>
      </c>
      <c r="AF296" s="4" t="s">
        <v>42</v>
      </c>
      <c r="AG296" s="4" t="s">
        <v>6296</v>
      </c>
      <c r="AH296" s="4" t="s">
        <v>6296</v>
      </c>
      <c r="AI296" s="4" t="s">
        <v>6296</v>
      </c>
      <c r="AJ296" s="4" t="s">
        <v>6296</v>
      </c>
      <c r="AK296" s="4" t="s">
        <v>6296</v>
      </c>
      <c r="AL296" s="4" t="s">
        <v>6296</v>
      </c>
      <c r="AM296" s="4" t="s">
        <v>6296</v>
      </c>
      <c r="AN296" s="4" t="s">
        <v>6296</v>
      </c>
      <c r="AO296" s="4" t="s">
        <v>6296</v>
      </c>
      <c r="AP296" s="4" t="s">
        <v>3640</v>
      </c>
      <c r="AQ296" s="4" t="s">
        <v>47</v>
      </c>
    </row>
    <row r="297" spans="1:43" ht="12.6" customHeight="1" x14ac:dyDescent="0.25">
      <c r="A297" s="8" t="s">
        <v>4023</v>
      </c>
      <c r="B297" s="9">
        <v>20151231</v>
      </c>
      <c r="C297" s="12">
        <f>_xll.FDS("SPX","FG_PRICE(12/30/2015)")</f>
        <v>2063.36</v>
      </c>
      <c r="D297" s="12">
        <f>_xll.FDS("SPX","FG_PRICE(12/30/2017)")</f>
        <v>2673.61</v>
      </c>
      <c r="E297" s="15">
        <f>D297/C297-1</f>
        <v>0.2957554668114144</v>
      </c>
      <c r="F297" s="8" t="s">
        <v>4024</v>
      </c>
      <c r="G297" s="8" t="s">
        <v>4025</v>
      </c>
      <c r="H297" s="13">
        <f>_xll.FDS(G297,"FG_PRICE(12/30/2015)")</f>
        <v>214.24554000000001</v>
      </c>
      <c r="I297" s="13">
        <f>_xll.FDS(G297,"FG_PRICE(12/31/2017)")</f>
        <v>24.4</v>
      </c>
      <c r="J297" s="13">
        <f>I297/H297-1</f>
        <v>-0.88611198160764515</v>
      </c>
      <c r="K297" s="13">
        <f>J297-E297</f>
        <v>-1.1818674484190597</v>
      </c>
      <c r="L297" s="13">
        <f>_xll.FDS(G297,"FF_ROE(ANN_R,12/30/2015)")</f>
        <v>-2.5297485075298729</v>
      </c>
      <c r="M297" s="8" t="s">
        <v>4026</v>
      </c>
      <c r="N297" s="4" t="s">
        <v>4027</v>
      </c>
      <c r="O297" s="4" t="s">
        <v>4028</v>
      </c>
      <c r="P297" s="4" t="s">
        <v>96</v>
      </c>
      <c r="Q297" s="4" t="s">
        <v>41</v>
      </c>
      <c r="R297" s="4" t="s">
        <v>61</v>
      </c>
      <c r="S297" s="4" t="s">
        <v>62</v>
      </c>
      <c r="T297" s="6" t="e">
        <v>#N/A</v>
      </c>
      <c r="U297" s="5">
        <v>62</v>
      </c>
      <c r="V297" s="5">
        <v>50</v>
      </c>
      <c r="W297" s="5">
        <v>70</v>
      </c>
      <c r="X297" s="5">
        <v>68</v>
      </c>
      <c r="Y297" s="5">
        <v>62.67</v>
      </c>
      <c r="Z297" s="5">
        <v>24</v>
      </c>
      <c r="AA297" s="5">
        <v>76</v>
      </c>
      <c r="AB297" s="5">
        <v>54.67</v>
      </c>
      <c r="AC297" s="6">
        <v>0.4</v>
      </c>
      <c r="AD297" s="6">
        <v>0.35</v>
      </c>
      <c r="AE297" s="6">
        <v>0.25</v>
      </c>
      <c r="AF297" s="4" t="s">
        <v>6296</v>
      </c>
      <c r="AG297" s="4" t="s">
        <v>6296</v>
      </c>
      <c r="AH297" s="4" t="s">
        <v>6296</v>
      </c>
      <c r="AI297" s="4" t="s">
        <v>6296</v>
      </c>
      <c r="AJ297" s="4" t="s">
        <v>6296</v>
      </c>
      <c r="AK297" s="4" t="s">
        <v>6296</v>
      </c>
      <c r="AL297" s="4" t="s">
        <v>6296</v>
      </c>
      <c r="AM297" s="4" t="s">
        <v>6296</v>
      </c>
      <c r="AN297" s="4" t="s">
        <v>6296</v>
      </c>
      <c r="AO297" s="4" t="s">
        <v>6296</v>
      </c>
      <c r="AP297" s="4" t="s">
        <v>4029</v>
      </c>
      <c r="AQ297" s="4" t="s">
        <v>47</v>
      </c>
    </row>
    <row r="298" spans="1:43" ht="12.6" customHeight="1" x14ac:dyDescent="0.25">
      <c r="A298" s="8" t="s">
        <v>4171</v>
      </c>
      <c r="B298" s="9">
        <v>20151231</v>
      </c>
      <c r="C298" s="12">
        <f>_xll.FDS("SPX","FG_PRICE(12/30/2015)")</f>
        <v>2063.36</v>
      </c>
      <c r="D298" s="12">
        <f>_xll.FDS("SPX","FG_PRICE(12/30/2017)")</f>
        <v>2673.61</v>
      </c>
      <c r="E298" s="15">
        <f>D298/C298-1</f>
        <v>0.2957554668114144</v>
      </c>
      <c r="F298" s="8" t="s">
        <v>4172</v>
      </c>
      <c r="G298" s="8" t="s">
        <v>4173</v>
      </c>
      <c r="H298" s="13">
        <f>_xll.FDS(G298,"FG_PRICE(12/30/2015)")</f>
        <v>11.95</v>
      </c>
      <c r="I298" s="13">
        <f>_xll.FDS(G298,"FG_PRICE(12/31/2017)")</f>
        <v>22</v>
      </c>
      <c r="J298" s="13">
        <f>I298/H298-1</f>
        <v>0.84100418410041855</v>
      </c>
      <c r="K298" s="13">
        <f>J298-E298</f>
        <v>0.54524871728900415</v>
      </c>
      <c r="L298" s="13">
        <f>_xll.FDS(G298,"FF_ROE(ANN_R,12/30/2015)")</f>
        <v>6.0489335268030926</v>
      </c>
      <c r="M298" s="8" t="s">
        <v>4174</v>
      </c>
      <c r="N298" s="4" t="s">
        <v>4174</v>
      </c>
      <c r="O298" s="4" t="s">
        <v>4175</v>
      </c>
      <c r="P298" s="4" t="s">
        <v>96</v>
      </c>
      <c r="Q298" s="4" t="s">
        <v>41</v>
      </c>
      <c r="R298" s="4" t="s">
        <v>61</v>
      </c>
      <c r="S298" s="4" t="s">
        <v>62</v>
      </c>
      <c r="T298" s="6" t="e">
        <v>#N/A</v>
      </c>
      <c r="U298" s="5">
        <v>58</v>
      </c>
      <c r="V298" s="5">
        <v>55</v>
      </c>
      <c r="W298" s="5">
        <v>56</v>
      </c>
      <c r="X298" s="5">
        <v>64</v>
      </c>
      <c r="Y298" s="5">
        <v>38.67</v>
      </c>
      <c r="Z298" s="5">
        <v>44</v>
      </c>
      <c r="AA298" s="5">
        <v>28</v>
      </c>
      <c r="AB298" s="5">
        <v>33.33</v>
      </c>
      <c r="AC298" s="6">
        <v>0.4</v>
      </c>
      <c r="AD298" s="6">
        <v>0.35</v>
      </c>
      <c r="AE298" s="6">
        <v>0.25</v>
      </c>
      <c r="AF298" s="4" t="s">
        <v>6296</v>
      </c>
      <c r="AG298" s="4" t="s">
        <v>6296</v>
      </c>
      <c r="AH298" s="4" t="s">
        <v>6296</v>
      </c>
      <c r="AI298" s="4" t="s">
        <v>6296</v>
      </c>
      <c r="AJ298" s="4" t="s">
        <v>6296</v>
      </c>
      <c r="AK298" s="4" t="s">
        <v>6296</v>
      </c>
      <c r="AL298" s="4" t="s">
        <v>6296</v>
      </c>
      <c r="AM298" s="4" t="s">
        <v>6296</v>
      </c>
      <c r="AN298" s="4" t="s">
        <v>6296</v>
      </c>
      <c r="AO298" s="4" t="s">
        <v>6296</v>
      </c>
      <c r="AP298" s="4" t="s">
        <v>4176</v>
      </c>
      <c r="AQ298" s="4" t="s">
        <v>47</v>
      </c>
    </row>
    <row r="299" spans="1:43" ht="12.6" customHeight="1" x14ac:dyDescent="0.25">
      <c r="A299" s="8" t="s">
        <v>380</v>
      </c>
      <c r="B299" s="9">
        <v>20151231</v>
      </c>
      <c r="C299" s="12">
        <f>_xll.FDS("SPX","FG_PRICE(12/30/2015)")</f>
        <v>2063.36</v>
      </c>
      <c r="D299" s="12">
        <f>_xll.FDS("SPX","FG_PRICE(12/30/2017)")</f>
        <v>2673.61</v>
      </c>
      <c r="E299" s="15">
        <f>D299/C299-1</f>
        <v>0.2957554668114144</v>
      </c>
      <c r="F299" s="8" t="s">
        <v>381</v>
      </c>
      <c r="G299" s="8" t="s">
        <v>382</v>
      </c>
      <c r="H299" s="13">
        <f>_xll.FDS(G299,"FG_PRICE(12/30/2015)")</f>
        <v>36.880000000000003</v>
      </c>
      <c r="I299" s="13">
        <f>_xll.FDS(G299,"FG_PRICE(12/31/2017)")</f>
        <v>40.08</v>
      </c>
      <c r="J299" s="13">
        <f>I299/H299-1</f>
        <v>8.6767895878524737E-2</v>
      </c>
      <c r="K299" s="13">
        <f>J299-E299</f>
        <v>-0.20898757093288967</v>
      </c>
      <c r="L299" s="13">
        <f>_xll.FDS(G299,"FF_ROE(ANN_R,12/30/2015)")</f>
        <v>11.31610077773024</v>
      </c>
      <c r="M299" s="8" t="s">
        <v>383</v>
      </c>
      <c r="N299" s="4" t="s">
        <v>384</v>
      </c>
      <c r="O299" s="4" t="s">
        <v>385</v>
      </c>
      <c r="P299" s="4" t="s">
        <v>96</v>
      </c>
      <c r="Q299" s="4" t="s">
        <v>38</v>
      </c>
      <c r="R299" s="4" t="s">
        <v>61</v>
      </c>
      <c r="S299" s="4" t="s">
        <v>62</v>
      </c>
      <c r="T299" s="6" t="e">
        <v>#N/A</v>
      </c>
      <c r="U299" s="5">
        <v>59</v>
      </c>
      <c r="V299" s="5">
        <v>64</v>
      </c>
      <c r="W299" s="5">
        <v>51</v>
      </c>
      <c r="X299" s="5">
        <v>63</v>
      </c>
      <c r="Y299" s="5">
        <v>62.72</v>
      </c>
      <c r="Z299" s="5">
        <v>74.91</v>
      </c>
      <c r="AA299" s="5">
        <v>43.21</v>
      </c>
      <c r="AB299" s="5">
        <v>32.75</v>
      </c>
      <c r="AC299" s="6">
        <v>0.35</v>
      </c>
      <c r="AD299" s="6">
        <v>0.4</v>
      </c>
      <c r="AE299" s="6">
        <v>0.25</v>
      </c>
      <c r="AF299" s="4" t="s">
        <v>42</v>
      </c>
      <c r="AG299" s="4" t="s">
        <v>6296</v>
      </c>
      <c r="AH299" s="4" t="s">
        <v>6296</v>
      </c>
      <c r="AI299" s="4" t="s">
        <v>37</v>
      </c>
      <c r="AJ299" s="4" t="s">
        <v>46</v>
      </c>
      <c r="AK299" s="4" t="s">
        <v>42</v>
      </c>
      <c r="AL299" s="4" t="s">
        <v>6296</v>
      </c>
      <c r="AM299" s="4" t="s">
        <v>37</v>
      </c>
      <c r="AN299" s="4" t="s">
        <v>6296</v>
      </c>
      <c r="AO299" s="4" t="s">
        <v>6296</v>
      </c>
      <c r="AP299" s="4" t="s">
        <v>386</v>
      </c>
      <c r="AQ299" s="4" t="s">
        <v>47</v>
      </c>
    </row>
    <row r="300" spans="1:43" ht="12.6" customHeight="1" x14ac:dyDescent="0.25">
      <c r="A300" s="8" t="s">
        <v>813</v>
      </c>
      <c r="B300" s="9">
        <v>20151231</v>
      </c>
      <c r="C300" s="12">
        <f>_xll.FDS("SPX","FG_PRICE(12/30/2015)")</f>
        <v>2063.36</v>
      </c>
      <c r="D300" s="12">
        <f>_xll.FDS("SPX","FG_PRICE(12/30/2017)")</f>
        <v>2673.61</v>
      </c>
      <c r="E300" s="15">
        <f>D300/C300-1</f>
        <v>0.2957554668114144</v>
      </c>
      <c r="F300" s="8" t="s">
        <v>814</v>
      </c>
      <c r="G300" s="8" t="s">
        <v>815</v>
      </c>
      <c r="H300" s="13">
        <f>_xll.FDS(G300,"FG_PRICE(12/30/2015)")</f>
        <v>40.567999999999998</v>
      </c>
      <c r="I300" s="13">
        <f>_xll.FDS(G300,"FG_PRICE(12/31/2017)")</f>
        <v>54.936</v>
      </c>
      <c r="J300" s="13">
        <f>I300/H300-1</f>
        <v>0.35417077499506999</v>
      </c>
      <c r="K300" s="13">
        <f>J300-E300</f>
        <v>5.841530818365559E-2</v>
      </c>
      <c r="L300" s="13">
        <f>_xll.FDS(G300,"FF_ROE(ANN_R,12/30/2015)")</f>
        <v>34.74726949453899</v>
      </c>
      <c r="M300" s="8" t="s">
        <v>816</v>
      </c>
      <c r="N300" s="4" t="s">
        <v>817</v>
      </c>
      <c r="O300" s="4" t="s">
        <v>818</v>
      </c>
      <c r="P300" s="4" t="s">
        <v>96</v>
      </c>
      <c r="Q300" s="4" t="s">
        <v>38</v>
      </c>
      <c r="R300" s="4" t="s">
        <v>61</v>
      </c>
      <c r="S300" s="4" t="s">
        <v>62</v>
      </c>
      <c r="T300" s="6" t="e">
        <v>#N/A</v>
      </c>
      <c r="U300" s="5">
        <v>64</v>
      </c>
      <c r="V300" s="5">
        <v>64</v>
      </c>
      <c r="W300" s="5">
        <v>59</v>
      </c>
      <c r="X300" s="5">
        <v>73</v>
      </c>
      <c r="Y300" s="5">
        <v>75.260000000000005</v>
      </c>
      <c r="Z300" s="5">
        <v>74.91</v>
      </c>
      <c r="AA300" s="5">
        <v>68.290000000000006</v>
      </c>
      <c r="AB300" s="5">
        <v>83.97</v>
      </c>
      <c r="AC300" s="6">
        <v>0.35</v>
      </c>
      <c r="AD300" s="6">
        <v>0.4</v>
      </c>
      <c r="AE300" s="6">
        <v>0.25</v>
      </c>
      <c r="AF300" s="4" t="s">
        <v>42</v>
      </c>
      <c r="AG300" s="4" t="s">
        <v>6296</v>
      </c>
      <c r="AH300" s="4" t="s">
        <v>6296</v>
      </c>
      <c r="AI300" s="4" t="s">
        <v>6296</v>
      </c>
      <c r="AJ300" s="4" t="s">
        <v>6296</v>
      </c>
      <c r="AK300" s="4" t="s">
        <v>6296</v>
      </c>
      <c r="AL300" s="4" t="s">
        <v>6296</v>
      </c>
      <c r="AM300" s="4" t="s">
        <v>6296</v>
      </c>
      <c r="AN300" s="4" t="s">
        <v>6296</v>
      </c>
      <c r="AO300" s="4" t="s">
        <v>6296</v>
      </c>
      <c r="AP300" s="4" t="s">
        <v>819</v>
      </c>
      <c r="AQ300" s="4" t="s">
        <v>47</v>
      </c>
    </row>
    <row r="301" spans="1:43" ht="12.6" customHeight="1" x14ac:dyDescent="0.25">
      <c r="A301" s="8" t="s">
        <v>3588</v>
      </c>
      <c r="B301" s="9">
        <v>20151231</v>
      </c>
      <c r="C301" s="12">
        <f>_xll.FDS("SPX","FG_PRICE(12/30/2015)")</f>
        <v>2063.36</v>
      </c>
      <c r="D301" s="12">
        <f>_xll.FDS("SPX","FG_PRICE(12/30/2017)")</f>
        <v>2673.61</v>
      </c>
      <c r="E301" s="15">
        <f>D301/C301-1</f>
        <v>0.2957554668114144</v>
      </c>
      <c r="F301" s="8" t="s">
        <v>3589</v>
      </c>
      <c r="G301" s="8" t="s">
        <v>3590</v>
      </c>
      <c r="H301" s="13">
        <f>_xll.FDS(G301,"FG_PRICE(12/30/2015)")</f>
        <v>68.75</v>
      </c>
      <c r="I301" s="13">
        <f>_xll.FDS(G301,"FG_PRICE(12/31/2017)")</f>
        <v>67.08</v>
      </c>
      <c r="J301" s="13">
        <f>I301/H301-1</f>
        <v>-2.4290909090909141E-2</v>
      </c>
      <c r="K301" s="13">
        <f>J301-E301</f>
        <v>-0.32004637590232354</v>
      </c>
      <c r="L301" s="13">
        <f>_xll.FDS(G301,"FF_ROE(ANN_R,12/30/2015)")</f>
        <v>5.1248429219253673</v>
      </c>
      <c r="M301" s="8" t="s">
        <v>3591</v>
      </c>
      <c r="N301" s="4" t="s">
        <v>3591</v>
      </c>
      <c r="O301" s="4" t="s">
        <v>3592</v>
      </c>
      <c r="P301" s="4" t="s">
        <v>96</v>
      </c>
      <c r="Q301" s="4" t="s">
        <v>38</v>
      </c>
      <c r="R301" s="4" t="s">
        <v>61</v>
      </c>
      <c r="S301" s="4" t="s">
        <v>62</v>
      </c>
      <c r="T301" s="6" t="e">
        <v>#N/A</v>
      </c>
      <c r="U301" s="5">
        <v>61</v>
      </c>
      <c r="V301" s="5">
        <v>62</v>
      </c>
      <c r="W301" s="5">
        <v>53</v>
      </c>
      <c r="X301" s="5">
        <v>71</v>
      </c>
      <c r="Y301" s="5">
        <v>67.94</v>
      </c>
      <c r="Z301" s="5">
        <v>70.73</v>
      </c>
      <c r="AA301" s="5">
        <v>49.83</v>
      </c>
      <c r="AB301" s="5">
        <v>77</v>
      </c>
      <c r="AC301" s="6">
        <v>0.35</v>
      </c>
      <c r="AD301" s="6">
        <v>0.4</v>
      </c>
      <c r="AE301" s="6">
        <v>0.25</v>
      </c>
      <c r="AF301" s="4" t="s">
        <v>6296</v>
      </c>
      <c r="AG301" s="4" t="s">
        <v>37</v>
      </c>
      <c r="AH301" s="4" t="s">
        <v>6296</v>
      </c>
      <c r="AI301" s="4" t="s">
        <v>42</v>
      </c>
      <c r="AJ301" s="4" t="s">
        <v>46</v>
      </c>
      <c r="AK301" s="4" t="s">
        <v>42</v>
      </c>
      <c r="AL301" s="4" t="s">
        <v>6296</v>
      </c>
      <c r="AM301" s="4" t="s">
        <v>42</v>
      </c>
      <c r="AN301" s="4" t="s">
        <v>6296</v>
      </c>
      <c r="AO301" s="4" t="s">
        <v>6296</v>
      </c>
      <c r="AP301" s="4" t="s">
        <v>3593</v>
      </c>
      <c r="AQ301" s="4" t="s">
        <v>47</v>
      </c>
    </row>
    <row r="302" spans="1:43" ht="12.6" customHeight="1" x14ac:dyDescent="0.25">
      <c r="A302" s="8" t="s">
        <v>1140</v>
      </c>
      <c r="B302" s="9">
        <v>20151231</v>
      </c>
      <c r="C302" s="12">
        <f>_xll.FDS("SPX","FG_PRICE(12/30/2015)")</f>
        <v>2063.36</v>
      </c>
      <c r="D302" s="12">
        <f>_xll.FDS("SPX","FG_PRICE(12/30/2017)")</f>
        <v>2673.61</v>
      </c>
      <c r="E302" s="15">
        <f>D302/C302-1</f>
        <v>0.2957554668114144</v>
      </c>
      <c r="F302" s="8" t="s">
        <v>1141</v>
      </c>
      <c r="G302" s="8" t="s">
        <v>1142</v>
      </c>
      <c r="H302" s="13">
        <f>_xll.FDS(G302,"FG_PRICE(12/30/2015)")</f>
        <v>33.141379999999998</v>
      </c>
      <c r="I302" s="13">
        <f>_xll.FDS(G302,"FG_PRICE(12/31/2017)")</f>
        <v>37.67</v>
      </c>
      <c r="J302" s="13">
        <f>I302/H302-1</f>
        <v>0.13664548669970911</v>
      </c>
      <c r="K302" s="13">
        <f>J302-E302</f>
        <v>-0.1591099801117053</v>
      </c>
      <c r="L302" s="13">
        <f>_xll.FDS(G302,"FF_ROE(ANN_R,12/30/2015)")</f>
        <v>33.000441891294741</v>
      </c>
      <c r="M302" s="8" t="s">
        <v>1143</v>
      </c>
      <c r="N302" s="4" t="s">
        <v>1144</v>
      </c>
      <c r="O302" s="4" t="s">
        <v>1145</v>
      </c>
      <c r="P302" s="4" t="s">
        <v>96</v>
      </c>
      <c r="Q302" s="4" t="s">
        <v>38</v>
      </c>
      <c r="R302" s="4" t="s">
        <v>61</v>
      </c>
      <c r="S302" s="4" t="s">
        <v>62</v>
      </c>
      <c r="T302" s="6" t="e">
        <v>#N/A</v>
      </c>
      <c r="U302" s="5">
        <v>59</v>
      </c>
      <c r="V302" s="5">
        <v>58</v>
      </c>
      <c r="W302" s="5">
        <v>47</v>
      </c>
      <c r="X302" s="5">
        <v>77</v>
      </c>
      <c r="Y302" s="5">
        <v>62.72</v>
      </c>
      <c r="Z302" s="5">
        <v>64.11</v>
      </c>
      <c r="AA302" s="6">
        <v>9.06</v>
      </c>
      <c r="AB302" s="5">
        <v>90.59</v>
      </c>
      <c r="AC302" s="6">
        <v>0.35</v>
      </c>
      <c r="AD302" s="6">
        <v>0.4</v>
      </c>
      <c r="AE302" s="6">
        <v>0.25</v>
      </c>
      <c r="AF302" s="4" t="s">
        <v>37</v>
      </c>
      <c r="AG302" s="4" t="s">
        <v>6296</v>
      </c>
      <c r="AH302" s="4" t="s">
        <v>6296</v>
      </c>
      <c r="AI302" s="4" t="s">
        <v>37</v>
      </c>
      <c r="AJ302" s="4" t="s">
        <v>42</v>
      </c>
      <c r="AK302" s="4" t="s">
        <v>46</v>
      </c>
      <c r="AL302" s="4" t="s">
        <v>37</v>
      </c>
      <c r="AM302" s="4" t="s">
        <v>6296</v>
      </c>
      <c r="AN302" s="4" t="s">
        <v>6296</v>
      </c>
      <c r="AO302" s="4" t="s">
        <v>42</v>
      </c>
      <c r="AP302" s="4" t="s">
        <v>1146</v>
      </c>
      <c r="AQ302" s="4" t="s">
        <v>47</v>
      </c>
    </row>
    <row r="303" spans="1:43" ht="12.6" customHeight="1" x14ac:dyDescent="0.25">
      <c r="A303" s="8" t="s">
        <v>6490</v>
      </c>
      <c r="B303" s="9">
        <v>20151231</v>
      </c>
      <c r="C303" s="12">
        <f>_xll.FDS("SPX","FG_PRICE(12/30/2015)")</f>
        <v>2063.36</v>
      </c>
      <c r="D303" s="12">
        <f>_xll.FDS("SPX","FG_PRICE(12/30/2017)")</f>
        <v>2673.61</v>
      </c>
      <c r="E303" s="15">
        <f>D303/C303-1</f>
        <v>0.2957554668114144</v>
      </c>
      <c r="F303" s="8" t="s">
        <v>6140</v>
      </c>
      <c r="G303" s="8" t="s">
        <v>6141</v>
      </c>
      <c r="H303" s="13">
        <f>_xll.FDS(G303,"FG_PRICE(12/30/2015)")</f>
        <v>49.62</v>
      </c>
      <c r="I303" s="13">
        <f>_xll.FDS(G303,"FG_PRICE(12/31/2017)")</f>
        <v>39.85</v>
      </c>
      <c r="J303" s="13">
        <f>I303/H303-1</f>
        <v>-0.19689641273679959</v>
      </c>
      <c r="K303" s="13">
        <f>J303-E303</f>
        <v>-0.49265187954821399</v>
      </c>
      <c r="L303" s="13">
        <f>_xll.FDS(G303,"FF_ROE(ANN_R,12/30/2015)")</f>
        <v>35.731608730919064</v>
      </c>
      <c r="M303" s="8" t="s">
        <v>6142</v>
      </c>
      <c r="N303" s="4" t="s">
        <v>6491</v>
      </c>
      <c r="O303" s="4" t="s">
        <v>6143</v>
      </c>
      <c r="P303" s="4" t="s">
        <v>96</v>
      </c>
      <c r="Q303" s="4" t="s">
        <v>38</v>
      </c>
      <c r="R303" s="4" t="s">
        <v>61</v>
      </c>
      <c r="S303" s="4" t="s">
        <v>62</v>
      </c>
      <c r="T303" s="6" t="e">
        <v>#N/A</v>
      </c>
      <c r="U303" s="5">
        <v>77</v>
      </c>
      <c r="V303" s="5">
        <v>80</v>
      </c>
      <c r="W303" s="5">
        <v>70</v>
      </c>
      <c r="X303" s="5">
        <v>82</v>
      </c>
      <c r="Y303" s="5">
        <v>96.17</v>
      </c>
      <c r="Z303" s="5">
        <v>98.95</v>
      </c>
      <c r="AA303" s="5">
        <v>87.8</v>
      </c>
      <c r="AB303" s="5">
        <v>97.21</v>
      </c>
      <c r="AC303" s="6">
        <v>0.35</v>
      </c>
      <c r="AD303" s="6">
        <v>0.4</v>
      </c>
      <c r="AE303" s="6">
        <v>0.25</v>
      </c>
      <c r="AF303" s="4" t="s">
        <v>6296</v>
      </c>
      <c r="AG303" s="4" t="s">
        <v>6296</v>
      </c>
      <c r="AH303" s="4" t="s">
        <v>6296</v>
      </c>
      <c r="AI303" s="4" t="s">
        <v>6296</v>
      </c>
      <c r="AJ303" s="4" t="s">
        <v>6296</v>
      </c>
      <c r="AK303" s="4" t="s">
        <v>6296</v>
      </c>
      <c r="AL303" s="4" t="s">
        <v>6296</v>
      </c>
      <c r="AM303" s="4" t="s">
        <v>6296</v>
      </c>
      <c r="AN303" s="4" t="s">
        <v>6296</v>
      </c>
      <c r="AO303" s="4" t="s">
        <v>6296</v>
      </c>
      <c r="AP303" s="4" t="s">
        <v>6492</v>
      </c>
      <c r="AQ303" s="4" t="s">
        <v>47</v>
      </c>
    </row>
    <row r="304" spans="1:43" ht="12.6" customHeight="1" x14ac:dyDescent="0.25">
      <c r="A304" s="8" t="s">
        <v>865</v>
      </c>
      <c r="B304" s="9">
        <v>20151231</v>
      </c>
      <c r="C304" s="12">
        <f>_xll.FDS("SPX","FG_PRICE(12/30/2015)")</f>
        <v>2063.36</v>
      </c>
      <c r="D304" s="12">
        <f>_xll.FDS("SPX","FG_PRICE(12/30/2017)")</f>
        <v>2673.61</v>
      </c>
      <c r="E304" s="15">
        <f>D304/C304-1</f>
        <v>0.2957554668114144</v>
      </c>
      <c r="F304" s="8" t="s">
        <v>866</v>
      </c>
      <c r="G304" s="8" t="s">
        <v>867</v>
      </c>
      <c r="H304" s="13">
        <f>_xll.FDS(G304,"FG_PRICE(12/30/2015)")</f>
        <v>53.21</v>
      </c>
      <c r="I304" s="13">
        <f>_xll.FDS(G304,"FG_PRICE(12/31/2017)")</f>
        <v>48.11</v>
      </c>
      <c r="J304" s="13">
        <f>I304/H304-1</f>
        <v>-9.5846645367412164E-2</v>
      </c>
      <c r="K304" s="13">
        <f>J304-E304</f>
        <v>-0.39160211217882657</v>
      </c>
      <c r="L304" s="13">
        <f>_xll.FDS(G304,"FF_ROE(ANN_R,12/30/2015)")</f>
        <v>46.143572621035062</v>
      </c>
      <c r="M304" s="8" t="s">
        <v>868</v>
      </c>
      <c r="N304" s="4" t="s">
        <v>868</v>
      </c>
      <c r="O304" s="4" t="s">
        <v>869</v>
      </c>
      <c r="P304" s="4" t="s">
        <v>96</v>
      </c>
      <c r="Q304" s="4" t="s">
        <v>38</v>
      </c>
      <c r="R304" s="4" t="s">
        <v>61</v>
      </c>
      <c r="S304" s="4" t="s">
        <v>62</v>
      </c>
      <c r="T304" s="6" t="e">
        <v>#N/A</v>
      </c>
      <c r="U304" s="5">
        <v>78</v>
      </c>
      <c r="V304" s="5">
        <v>78</v>
      </c>
      <c r="W304" s="5">
        <v>77</v>
      </c>
      <c r="X304" s="5">
        <v>79</v>
      </c>
      <c r="Y304" s="5">
        <v>97.91</v>
      </c>
      <c r="Z304" s="5">
        <v>95.82</v>
      </c>
      <c r="AA304" s="5">
        <v>95.47</v>
      </c>
      <c r="AB304" s="5">
        <v>94.08</v>
      </c>
      <c r="AC304" s="6">
        <v>0.35</v>
      </c>
      <c r="AD304" s="6">
        <v>0.4</v>
      </c>
      <c r="AE304" s="6">
        <v>0.25</v>
      </c>
      <c r="AF304" s="4" t="s">
        <v>6296</v>
      </c>
      <c r="AG304" s="4" t="s">
        <v>6296</v>
      </c>
      <c r="AH304" s="4" t="s">
        <v>6296</v>
      </c>
      <c r="AI304" s="4" t="s">
        <v>42</v>
      </c>
      <c r="AJ304" s="4" t="s">
        <v>6296</v>
      </c>
      <c r="AK304" s="4" t="s">
        <v>42</v>
      </c>
      <c r="AL304" s="4" t="s">
        <v>6296</v>
      </c>
      <c r="AM304" s="4" t="s">
        <v>6296</v>
      </c>
      <c r="AN304" s="4" t="s">
        <v>6296</v>
      </c>
      <c r="AO304" s="4" t="s">
        <v>6296</v>
      </c>
      <c r="AP304" s="4" t="s">
        <v>870</v>
      </c>
      <c r="AQ304" s="4" t="s">
        <v>47</v>
      </c>
    </row>
    <row r="305" spans="1:43" ht="12.6" customHeight="1" x14ac:dyDescent="0.25">
      <c r="A305" s="8" t="s">
        <v>5753</v>
      </c>
      <c r="B305" s="9">
        <v>20151231</v>
      </c>
      <c r="C305" s="12">
        <f>_xll.FDS("SPX","FG_PRICE(12/30/2015)")</f>
        <v>2063.36</v>
      </c>
      <c r="D305" s="12">
        <f>_xll.FDS("SPX","FG_PRICE(12/30/2017)")</f>
        <v>2673.61</v>
      </c>
      <c r="E305" s="15">
        <f>D305/C305-1</f>
        <v>0.2957554668114144</v>
      </c>
      <c r="F305" s="8" t="s">
        <v>5754</v>
      </c>
      <c r="G305" s="8" t="s">
        <v>5755</v>
      </c>
      <c r="H305" s="13">
        <f>_xll.FDS(G305,"FG_PRICE(12/30/2015)")</f>
        <v>17.66</v>
      </c>
      <c r="I305" s="13">
        <f>_xll.FDS(G305,"FG_PRICE(12/31/2017)")</f>
        <v>11.56</v>
      </c>
      <c r="J305" s="13">
        <f>I305/H305-1</f>
        <v>-0.34541336353340879</v>
      </c>
      <c r="K305" s="13">
        <f>J305-E305</f>
        <v>-0.64116883034482319</v>
      </c>
      <c r="L305" s="13">
        <f>_xll.FDS(G305,"FF_ROE(ANN_R,12/30/2015)")</f>
        <v>-3.0093177493397971</v>
      </c>
      <c r="M305" s="8" t="s">
        <v>5756</v>
      </c>
      <c r="N305" s="4" t="s">
        <v>5756</v>
      </c>
      <c r="O305" s="4" t="s">
        <v>5757</v>
      </c>
      <c r="P305" s="4" t="s">
        <v>96</v>
      </c>
      <c r="Q305" s="4" t="s">
        <v>38</v>
      </c>
      <c r="R305" s="4" t="s">
        <v>61</v>
      </c>
      <c r="S305" s="4" t="s">
        <v>62</v>
      </c>
      <c r="T305" s="6" t="e">
        <v>#N/A</v>
      </c>
      <c r="U305" s="5">
        <v>66</v>
      </c>
      <c r="V305" s="5">
        <v>74</v>
      </c>
      <c r="W305" s="5">
        <v>59</v>
      </c>
      <c r="X305" s="5">
        <v>64</v>
      </c>
      <c r="Y305" s="5">
        <v>79.44</v>
      </c>
      <c r="Z305" s="5">
        <v>91.29</v>
      </c>
      <c r="AA305" s="5">
        <v>68.290000000000006</v>
      </c>
      <c r="AB305" s="5">
        <v>35.89</v>
      </c>
      <c r="AC305" s="6">
        <v>0.35</v>
      </c>
      <c r="AD305" s="6">
        <v>0.4</v>
      </c>
      <c r="AE305" s="6">
        <v>0.25</v>
      </c>
      <c r="AF305" s="4" t="s">
        <v>6296</v>
      </c>
      <c r="AG305" s="4" t="s">
        <v>6296</v>
      </c>
      <c r="AH305" s="4" t="s">
        <v>6296</v>
      </c>
      <c r="AI305" s="4" t="s">
        <v>6296</v>
      </c>
      <c r="AJ305" s="4" t="s">
        <v>6296</v>
      </c>
      <c r="AK305" s="4" t="s">
        <v>42</v>
      </c>
      <c r="AL305" s="4" t="s">
        <v>6296</v>
      </c>
      <c r="AM305" s="4" t="s">
        <v>37</v>
      </c>
      <c r="AN305" s="4" t="s">
        <v>6296</v>
      </c>
      <c r="AO305" s="4" t="s">
        <v>6296</v>
      </c>
      <c r="AP305" s="4" t="s">
        <v>5758</v>
      </c>
      <c r="AQ305" s="4" t="s">
        <v>47</v>
      </c>
    </row>
    <row r="306" spans="1:43" ht="12.6" customHeight="1" x14ac:dyDescent="0.25">
      <c r="A306" s="8" t="s">
        <v>5023</v>
      </c>
      <c r="B306" s="9">
        <v>20151231</v>
      </c>
      <c r="C306" s="12">
        <f>_xll.FDS("SPX","FG_PRICE(12/30/2015)")</f>
        <v>2063.36</v>
      </c>
      <c r="D306" s="12">
        <f>_xll.FDS("SPX","FG_PRICE(12/30/2017)")</f>
        <v>2673.61</v>
      </c>
      <c r="E306" s="15">
        <f>D306/C306-1</f>
        <v>0.2957554668114144</v>
      </c>
      <c r="F306" s="8" t="s">
        <v>5024</v>
      </c>
      <c r="G306" s="8" t="s">
        <v>5025</v>
      </c>
      <c r="H306" s="13">
        <f>_xll.FDS(G306,"FG_PRICE(12/30/2015)")</f>
        <v>94.65</v>
      </c>
      <c r="I306" s="13">
        <f>_xll.FDS(G306,"FG_PRICE(12/31/2017)")</f>
        <v>97.06</v>
      </c>
      <c r="J306" s="13">
        <f>I306/H306-1</f>
        <v>2.5462229265715841E-2</v>
      </c>
      <c r="K306" s="13">
        <f>J306-E306</f>
        <v>-0.27029323754569856</v>
      </c>
      <c r="L306" s="13">
        <f>_xll.FDS(G306,"FF_ROE(ANN_R,12/30/2015)")</f>
        <v>30.759133668781441</v>
      </c>
      <c r="M306" s="8" t="s">
        <v>5026</v>
      </c>
      <c r="N306" s="4" t="s">
        <v>5027</v>
      </c>
      <c r="O306" s="4" t="s">
        <v>5028</v>
      </c>
      <c r="P306" s="4" t="s">
        <v>96</v>
      </c>
      <c r="Q306" s="4" t="s">
        <v>38</v>
      </c>
      <c r="R306" s="4" t="s">
        <v>61</v>
      </c>
      <c r="S306" s="4" t="s">
        <v>62</v>
      </c>
      <c r="T306" s="6" t="e">
        <v>#N/A</v>
      </c>
      <c r="U306" s="5">
        <v>67</v>
      </c>
      <c r="V306" s="5">
        <v>58</v>
      </c>
      <c r="W306" s="5">
        <v>63</v>
      </c>
      <c r="X306" s="5">
        <v>86</v>
      </c>
      <c r="Y306" s="5">
        <v>81.53</v>
      </c>
      <c r="Z306" s="5">
        <v>64.11</v>
      </c>
      <c r="AA306" s="5">
        <v>75.959999999999994</v>
      </c>
      <c r="AB306" s="5">
        <v>98.61</v>
      </c>
      <c r="AC306" s="6">
        <v>0.35</v>
      </c>
      <c r="AD306" s="6">
        <v>0.4</v>
      </c>
      <c r="AE306" s="6">
        <v>0.25</v>
      </c>
      <c r="AF306" s="4" t="s">
        <v>42</v>
      </c>
      <c r="AG306" s="4" t="s">
        <v>6296</v>
      </c>
      <c r="AH306" s="4" t="s">
        <v>6296</v>
      </c>
      <c r="AI306" s="4" t="s">
        <v>42</v>
      </c>
      <c r="AJ306" s="4" t="s">
        <v>6296</v>
      </c>
      <c r="AK306" s="4" t="s">
        <v>42</v>
      </c>
      <c r="AL306" s="4" t="s">
        <v>6296</v>
      </c>
      <c r="AM306" s="4" t="s">
        <v>6296</v>
      </c>
      <c r="AN306" s="4" t="s">
        <v>6296</v>
      </c>
      <c r="AO306" s="4" t="s">
        <v>6296</v>
      </c>
      <c r="AP306" s="4" t="s">
        <v>5029</v>
      </c>
      <c r="AQ306" s="4" t="s">
        <v>47</v>
      </c>
    </row>
    <row r="307" spans="1:43" ht="12.6" customHeight="1" x14ac:dyDescent="0.25">
      <c r="A307" s="8" t="s">
        <v>3409</v>
      </c>
      <c r="B307" s="9">
        <v>20151231</v>
      </c>
      <c r="C307" s="12">
        <f>_xll.FDS("SPX","FG_PRICE(12/30/2015)")</f>
        <v>2063.36</v>
      </c>
      <c r="D307" s="12">
        <f>_xll.FDS("SPX","FG_PRICE(12/30/2017)")</f>
        <v>2673.61</v>
      </c>
      <c r="E307" s="15">
        <f>D307/C307-1</f>
        <v>0.2957554668114144</v>
      </c>
      <c r="F307" s="8" t="s">
        <v>3410</v>
      </c>
      <c r="G307" s="8" t="s">
        <v>3411</v>
      </c>
      <c r="H307" s="13">
        <f>_xll.FDS(G307,"FG_PRICE(12/30/2015)")</f>
        <v>21.81</v>
      </c>
      <c r="I307" s="13">
        <f>_xll.FDS(G307,"FG_PRICE(12/31/2017)")</f>
        <v>19.309999999999999</v>
      </c>
      <c r="J307" s="13">
        <f>I307/H307-1</f>
        <v>-0.11462631820265934</v>
      </c>
      <c r="K307" s="13">
        <f>J307-E307</f>
        <v>-0.41038178501407374</v>
      </c>
      <c r="L307" s="13">
        <f>_xll.FDS(G307,"FF_ROE(ANN_R,12/30/2015)")</f>
        <v>15.98184457945111</v>
      </c>
      <c r="M307" s="8" t="s">
        <v>3412</v>
      </c>
      <c r="N307" s="4" t="s">
        <v>3413</v>
      </c>
      <c r="O307" s="4" t="s">
        <v>3414</v>
      </c>
      <c r="P307" s="4" t="s">
        <v>96</v>
      </c>
      <c r="Q307" s="4" t="s">
        <v>38</v>
      </c>
      <c r="R307" s="4" t="s">
        <v>61</v>
      </c>
      <c r="S307" s="4" t="s">
        <v>62</v>
      </c>
      <c r="T307" s="6" t="e">
        <v>#N/A</v>
      </c>
      <c r="U307" s="5">
        <v>62</v>
      </c>
      <c r="V307" s="5">
        <v>57</v>
      </c>
      <c r="W307" s="5">
        <v>62</v>
      </c>
      <c r="X307" s="5">
        <v>69</v>
      </c>
      <c r="Y307" s="5">
        <v>69.69</v>
      </c>
      <c r="Z307" s="5">
        <v>62.72</v>
      </c>
      <c r="AA307" s="5">
        <v>74.22</v>
      </c>
      <c r="AB307" s="5">
        <v>72.47</v>
      </c>
      <c r="AC307" s="6">
        <v>0.35</v>
      </c>
      <c r="AD307" s="6">
        <v>0.4</v>
      </c>
      <c r="AE307" s="6">
        <v>0.25</v>
      </c>
      <c r="AF307" s="4" t="s">
        <v>6296</v>
      </c>
      <c r="AG307" s="4" t="s">
        <v>6296</v>
      </c>
      <c r="AH307" s="4" t="s">
        <v>6296</v>
      </c>
      <c r="AI307" s="4" t="s">
        <v>42</v>
      </c>
      <c r="AJ307" s="4" t="s">
        <v>6296</v>
      </c>
      <c r="AK307" s="4" t="s">
        <v>42</v>
      </c>
      <c r="AL307" s="4" t="s">
        <v>6296</v>
      </c>
      <c r="AM307" s="4" t="s">
        <v>6296</v>
      </c>
      <c r="AN307" s="4" t="s">
        <v>6296</v>
      </c>
      <c r="AO307" s="4" t="s">
        <v>6296</v>
      </c>
      <c r="AP307" s="4" t="s">
        <v>3415</v>
      </c>
      <c r="AQ307" s="4" t="s">
        <v>47</v>
      </c>
    </row>
    <row r="308" spans="1:43" ht="12.6" customHeight="1" x14ac:dyDescent="0.25">
      <c r="A308" s="8" t="s">
        <v>1736</v>
      </c>
      <c r="B308" s="9">
        <v>20151231</v>
      </c>
      <c r="C308" s="12">
        <f>_xll.FDS("SPX","FG_PRICE(12/30/2015)")</f>
        <v>2063.36</v>
      </c>
      <c r="D308" s="12">
        <f>_xll.FDS("SPX","FG_PRICE(12/30/2017)")</f>
        <v>2673.61</v>
      </c>
      <c r="E308" s="15">
        <f>D308/C308-1</f>
        <v>0.2957554668114144</v>
      </c>
      <c r="F308" s="8" t="s">
        <v>1737</v>
      </c>
      <c r="G308" s="8" t="s">
        <v>1738</v>
      </c>
      <c r="H308" s="13">
        <f>_xll.FDS(G308,"FG_PRICE(12/30/2015)")</f>
        <v>58.56</v>
      </c>
      <c r="I308" s="13">
        <f>_xll.FDS(G308,"FG_PRICE(12/31/2017)")</f>
        <v>59.29</v>
      </c>
      <c r="J308" s="13">
        <f>I308/H308-1</f>
        <v>1.2465846994535568E-2</v>
      </c>
      <c r="K308" s="13">
        <f>J308-E308</f>
        <v>-0.28328961981687883</v>
      </c>
      <c r="L308" s="13">
        <f>_xll.FDS(G308,"FF_ROE(ANN_R,12/30/2015)")</f>
        <v>21.181979794476</v>
      </c>
      <c r="M308" s="8" t="s">
        <v>1739</v>
      </c>
      <c r="N308" s="4" t="s">
        <v>1740</v>
      </c>
      <c r="O308" s="4" t="s">
        <v>1741</v>
      </c>
      <c r="P308" s="4" t="s">
        <v>96</v>
      </c>
      <c r="Q308" s="4" t="s">
        <v>38</v>
      </c>
      <c r="R308" s="4" t="s">
        <v>61</v>
      </c>
      <c r="S308" s="4" t="s">
        <v>62</v>
      </c>
      <c r="T308" s="6" t="e">
        <v>#N/A</v>
      </c>
      <c r="U308" s="5">
        <v>72</v>
      </c>
      <c r="V308" s="5">
        <v>74</v>
      </c>
      <c r="W308" s="5">
        <v>69</v>
      </c>
      <c r="X308" s="5">
        <v>74</v>
      </c>
      <c r="Y308" s="5">
        <v>89.55</v>
      </c>
      <c r="Z308" s="5">
        <v>91.29</v>
      </c>
      <c r="AA308" s="5">
        <v>84.67</v>
      </c>
      <c r="AB308" s="5">
        <v>85.71</v>
      </c>
      <c r="AC308" s="6">
        <v>0.35</v>
      </c>
      <c r="AD308" s="6">
        <v>0.4</v>
      </c>
      <c r="AE308" s="6">
        <v>0.25</v>
      </c>
      <c r="AF308" s="4" t="s">
        <v>37</v>
      </c>
      <c r="AG308" s="4" t="s">
        <v>6296</v>
      </c>
      <c r="AH308" s="4" t="s">
        <v>6296</v>
      </c>
      <c r="AI308" s="4" t="s">
        <v>37</v>
      </c>
      <c r="AJ308" s="4" t="s">
        <v>37</v>
      </c>
      <c r="AK308" s="4" t="s">
        <v>37</v>
      </c>
      <c r="AL308" s="4" t="s">
        <v>6296</v>
      </c>
      <c r="AM308" s="4" t="s">
        <v>42</v>
      </c>
      <c r="AN308" s="4" t="s">
        <v>6296</v>
      </c>
      <c r="AO308" s="4" t="s">
        <v>6296</v>
      </c>
      <c r="AP308" s="4" t="s">
        <v>1742</v>
      </c>
      <c r="AQ308" s="4" t="s">
        <v>47</v>
      </c>
    </row>
    <row r="309" spans="1:43" ht="12.6" customHeight="1" x14ac:dyDescent="0.25">
      <c r="A309" s="8" t="s">
        <v>5865</v>
      </c>
      <c r="B309" s="9">
        <v>20151231</v>
      </c>
      <c r="C309" s="12">
        <f>_xll.FDS("SPX","FG_PRICE(12/30/2015)")</f>
        <v>2063.36</v>
      </c>
      <c r="D309" s="12">
        <f>_xll.FDS("SPX","FG_PRICE(12/30/2017)")</f>
        <v>2673.61</v>
      </c>
      <c r="E309" s="15">
        <f>D309/C309-1</f>
        <v>0.2957554668114144</v>
      </c>
      <c r="F309" s="8" t="s">
        <v>5866</v>
      </c>
      <c r="G309" s="8" t="s">
        <v>5867</v>
      </c>
      <c r="H309" s="13">
        <f>_xll.FDS(G309,"FG_PRICE(12/30/2015)")</f>
        <v>90.11</v>
      </c>
      <c r="I309" s="13" t="e">
        <f>_xll.FDS(G309,"FG_PRICE(12/31/2017)")</f>
        <v>#N/A</v>
      </c>
      <c r="J309" s="13" t="e">
        <f>I309/H309-1</f>
        <v>#N/A</v>
      </c>
      <c r="K309" s="13" t="e">
        <f>J309-E309</f>
        <v>#N/A</v>
      </c>
      <c r="L309" s="13">
        <f>_xll.FDS(G309,"FF_ROE(ANN_R,12/30/2015)")</f>
        <v>16.156674755136919</v>
      </c>
      <c r="M309" s="8" t="s">
        <v>5868</v>
      </c>
      <c r="N309" s="4" t="s">
        <v>5869</v>
      </c>
      <c r="O309" s="4" t="s">
        <v>47</v>
      </c>
      <c r="P309" s="4" t="s">
        <v>106</v>
      </c>
      <c r="Q309" s="4" t="s">
        <v>38</v>
      </c>
      <c r="R309" s="4" t="s">
        <v>61</v>
      </c>
      <c r="S309" s="4" t="s">
        <v>62</v>
      </c>
      <c r="T309" s="6" t="e">
        <v>#N/A</v>
      </c>
      <c r="U309" s="5">
        <v>64</v>
      </c>
      <c r="V309" s="5">
        <v>61</v>
      </c>
      <c r="W309" s="5">
        <v>64</v>
      </c>
      <c r="X309" s="5">
        <v>69</v>
      </c>
      <c r="Y309" s="5">
        <v>75.260000000000005</v>
      </c>
      <c r="Z309" s="5">
        <v>67.94</v>
      </c>
      <c r="AA309" s="5">
        <v>79.09</v>
      </c>
      <c r="AB309" s="5">
        <v>72.47</v>
      </c>
      <c r="AC309" s="6">
        <v>0.35</v>
      </c>
      <c r="AD309" s="6">
        <v>0.4</v>
      </c>
      <c r="AE309" s="6">
        <v>0.25</v>
      </c>
      <c r="AF309" s="4" t="s">
        <v>6296</v>
      </c>
      <c r="AG309" s="4" t="s">
        <v>6296</v>
      </c>
      <c r="AH309" s="4" t="s">
        <v>6296</v>
      </c>
      <c r="AI309" s="4" t="s">
        <v>6296</v>
      </c>
      <c r="AJ309" s="4" t="s">
        <v>6296</v>
      </c>
      <c r="AK309" s="4" t="s">
        <v>37</v>
      </c>
      <c r="AL309" s="4" t="s">
        <v>6296</v>
      </c>
      <c r="AM309" s="4" t="s">
        <v>42</v>
      </c>
      <c r="AN309" s="4" t="s">
        <v>37</v>
      </c>
      <c r="AO309" s="4" t="s">
        <v>6296</v>
      </c>
      <c r="AP309" s="4" t="s">
        <v>5870</v>
      </c>
      <c r="AQ309" s="4" t="s">
        <v>47</v>
      </c>
    </row>
    <row r="310" spans="1:43" ht="12.6" customHeight="1" x14ac:dyDescent="0.25">
      <c r="A310" s="8" t="s">
        <v>2034</v>
      </c>
      <c r="B310" s="9">
        <v>20151231</v>
      </c>
      <c r="C310" s="12">
        <f>_xll.FDS("SPX","FG_PRICE(12/30/2015)")</f>
        <v>2063.36</v>
      </c>
      <c r="D310" s="12">
        <f>_xll.FDS("SPX","FG_PRICE(12/30/2017)")</f>
        <v>2673.61</v>
      </c>
      <c r="E310" s="15">
        <f>D310/C310-1</f>
        <v>0.2957554668114144</v>
      </c>
      <c r="F310" s="8" t="s">
        <v>2035</v>
      </c>
      <c r="G310" s="8" t="s">
        <v>2036</v>
      </c>
      <c r="H310" s="13">
        <f>_xll.FDS(G310,"FG_PRICE(12/30/2015)")</f>
        <v>39.83</v>
      </c>
      <c r="I310" s="13">
        <f>_xll.FDS(G310,"FG_PRICE(12/31/2017)")</f>
        <v>36.39</v>
      </c>
      <c r="J310" s="13">
        <f>I310/H310-1</f>
        <v>-8.6367060005021257E-2</v>
      </c>
      <c r="K310" s="13">
        <f>J310-E310</f>
        <v>-0.38212252681643566</v>
      </c>
      <c r="L310" s="13">
        <f>_xll.FDS(G310,"FF_ROE(ANN_R,12/30/2015)")</f>
        <v>18.045744038961178</v>
      </c>
      <c r="M310" s="8" t="s">
        <v>2037</v>
      </c>
      <c r="N310" s="4" t="s">
        <v>2037</v>
      </c>
      <c r="O310" s="4" t="s">
        <v>2038</v>
      </c>
      <c r="P310" s="4" t="s">
        <v>96</v>
      </c>
      <c r="Q310" s="4" t="s">
        <v>38</v>
      </c>
      <c r="R310" s="4" t="s">
        <v>61</v>
      </c>
      <c r="S310" s="4" t="s">
        <v>62</v>
      </c>
      <c r="T310" s="6" t="e">
        <v>#N/A</v>
      </c>
      <c r="U310" s="5">
        <v>63</v>
      </c>
      <c r="V310" s="5">
        <v>62</v>
      </c>
      <c r="W310" s="5">
        <v>60</v>
      </c>
      <c r="X310" s="5">
        <v>68</v>
      </c>
      <c r="Y310" s="5">
        <v>73.17</v>
      </c>
      <c r="Z310" s="5">
        <v>70.73</v>
      </c>
      <c r="AA310" s="5">
        <v>71.430000000000007</v>
      </c>
      <c r="AB310" s="5">
        <v>69.69</v>
      </c>
      <c r="AC310" s="6">
        <v>0.35</v>
      </c>
      <c r="AD310" s="6">
        <v>0.4</v>
      </c>
      <c r="AE310" s="6">
        <v>0.25</v>
      </c>
      <c r="AF310" s="4" t="s">
        <v>6296</v>
      </c>
      <c r="AG310" s="4" t="s">
        <v>6296</v>
      </c>
      <c r="AH310" s="4" t="s">
        <v>6296</v>
      </c>
      <c r="AI310" s="4" t="s">
        <v>42</v>
      </c>
      <c r="AJ310" s="4" t="s">
        <v>6296</v>
      </c>
      <c r="AK310" s="4" t="s">
        <v>42</v>
      </c>
      <c r="AL310" s="4" t="s">
        <v>6296</v>
      </c>
      <c r="AM310" s="4" t="s">
        <v>6296</v>
      </c>
      <c r="AN310" s="4" t="s">
        <v>42</v>
      </c>
      <c r="AO310" s="4" t="s">
        <v>6296</v>
      </c>
      <c r="AP310" s="4" t="s">
        <v>2039</v>
      </c>
      <c r="AQ310" s="4" t="s">
        <v>47</v>
      </c>
    </row>
    <row r="311" spans="1:43" ht="12.6" customHeight="1" x14ac:dyDescent="0.25">
      <c r="A311" s="8" t="s">
        <v>1961</v>
      </c>
      <c r="B311" s="9">
        <v>20151231</v>
      </c>
      <c r="C311" s="12">
        <f>_xll.FDS("SPX","FG_PRICE(12/30/2015)")</f>
        <v>2063.36</v>
      </c>
      <c r="D311" s="12">
        <f>_xll.FDS("SPX","FG_PRICE(12/30/2017)")</f>
        <v>2673.61</v>
      </c>
      <c r="E311" s="15">
        <f>D311/C311-1</f>
        <v>0.2957554668114144</v>
      </c>
      <c r="F311" s="8" t="s">
        <v>1962</v>
      </c>
      <c r="G311" s="8" t="s">
        <v>1963</v>
      </c>
      <c r="H311" s="13">
        <f>_xll.FDS(G311,"FG_PRICE(12/30/2015)")</f>
        <v>90.6</v>
      </c>
      <c r="I311" s="13">
        <f>_xll.FDS(G311,"FG_PRICE(12/31/2017)")</f>
        <v>113.51</v>
      </c>
      <c r="J311" s="13">
        <f>I311/H311-1</f>
        <v>0.25286975717439297</v>
      </c>
      <c r="K311" s="13">
        <f>J311-E311</f>
        <v>-4.288570963702143E-2</v>
      </c>
      <c r="L311" s="13">
        <f>_xll.FDS(G311,"FF_ROE(ANN_R,12/30/2015)")</f>
        <v>55.355606857226533</v>
      </c>
      <c r="M311" s="8" t="s">
        <v>1964</v>
      </c>
      <c r="N311" s="4" t="s">
        <v>1965</v>
      </c>
      <c r="O311" s="4" t="s">
        <v>1966</v>
      </c>
      <c r="P311" s="4" t="s">
        <v>96</v>
      </c>
      <c r="Q311" s="4" t="s">
        <v>38</v>
      </c>
      <c r="R311" s="4" t="s">
        <v>61</v>
      </c>
      <c r="S311" s="4" t="s">
        <v>62</v>
      </c>
      <c r="T311" s="6" t="e">
        <v>#N/A</v>
      </c>
      <c r="U311" s="5">
        <v>70</v>
      </c>
      <c r="V311" s="5">
        <v>79</v>
      </c>
      <c r="W311" s="5">
        <v>61</v>
      </c>
      <c r="X311" s="5">
        <v>71</v>
      </c>
      <c r="Y311" s="5">
        <v>86.06</v>
      </c>
      <c r="Z311" s="5">
        <v>97.21</v>
      </c>
      <c r="AA311" s="5">
        <v>73.17</v>
      </c>
      <c r="AB311" s="5">
        <v>77</v>
      </c>
      <c r="AC311" s="6">
        <v>0.35</v>
      </c>
      <c r="AD311" s="6">
        <v>0.4</v>
      </c>
      <c r="AE311" s="6">
        <v>0.25</v>
      </c>
      <c r="AF311" s="4" t="s">
        <v>6296</v>
      </c>
      <c r="AG311" s="4" t="s">
        <v>6296</v>
      </c>
      <c r="AH311" s="4" t="s">
        <v>6296</v>
      </c>
      <c r="AI311" s="4" t="s">
        <v>42</v>
      </c>
      <c r="AJ311" s="4" t="s">
        <v>46</v>
      </c>
      <c r="AK311" s="4" t="s">
        <v>42</v>
      </c>
      <c r="AL311" s="4" t="s">
        <v>42</v>
      </c>
      <c r="AM311" s="4" t="s">
        <v>42</v>
      </c>
      <c r="AN311" s="4" t="s">
        <v>6296</v>
      </c>
      <c r="AO311" s="4" t="s">
        <v>6296</v>
      </c>
      <c r="AP311" s="4" t="s">
        <v>1967</v>
      </c>
      <c r="AQ311" s="4" t="s">
        <v>47</v>
      </c>
    </row>
    <row r="312" spans="1:43" ht="12.6" customHeight="1" x14ac:dyDescent="0.25">
      <c r="A312" s="8" t="s">
        <v>5498</v>
      </c>
      <c r="B312" s="9">
        <v>20151231</v>
      </c>
      <c r="C312" s="12">
        <f>_xll.FDS("SPX","FG_PRICE(12/30/2015)")</f>
        <v>2063.36</v>
      </c>
      <c r="D312" s="12">
        <f>_xll.FDS("SPX","FG_PRICE(12/30/2017)")</f>
        <v>2673.61</v>
      </c>
      <c r="E312" s="15">
        <f>D312/C312-1</f>
        <v>0.2957554668114144</v>
      </c>
      <c r="F312" s="8" t="s">
        <v>5499</v>
      </c>
      <c r="G312" s="8" t="s">
        <v>5500</v>
      </c>
      <c r="H312" s="13">
        <f>_xll.FDS(G312,"FG_PRICE(12/30/2015)")</f>
        <v>98.05</v>
      </c>
      <c r="I312" s="13">
        <f>_xll.FDS(G312,"FG_PRICE(12/31/2017)")</f>
        <v>139.80000000000001</v>
      </c>
      <c r="J312" s="13">
        <f>I312/H312-1</f>
        <v>0.42580316165221843</v>
      </c>
      <c r="K312" s="13">
        <f>J312-E312</f>
        <v>0.13004769484080403</v>
      </c>
      <c r="L312" s="13">
        <f>_xll.FDS(G312,"FF_ROE(ANN_R,12/30/2015)")</f>
        <v>15.498799388779741</v>
      </c>
      <c r="M312" s="8" t="s">
        <v>5501</v>
      </c>
      <c r="N312" s="4" t="s">
        <v>5501</v>
      </c>
      <c r="O312" s="4" t="s">
        <v>5502</v>
      </c>
      <c r="P312" s="4" t="s">
        <v>96</v>
      </c>
      <c r="Q312" s="4" t="s">
        <v>38</v>
      </c>
      <c r="R312" s="4" t="s">
        <v>61</v>
      </c>
      <c r="S312" s="4" t="s">
        <v>62</v>
      </c>
      <c r="T312" s="6" t="e">
        <v>#N/A</v>
      </c>
      <c r="U312" s="5">
        <v>56</v>
      </c>
      <c r="V312" s="5">
        <v>54</v>
      </c>
      <c r="W312" s="5">
        <v>53</v>
      </c>
      <c r="X312" s="5">
        <v>65</v>
      </c>
      <c r="Y312" s="5">
        <v>54.01</v>
      </c>
      <c r="Z312" s="5">
        <v>56.1</v>
      </c>
      <c r="AA312" s="5">
        <v>49.83</v>
      </c>
      <c r="AB312" s="5">
        <v>38.33</v>
      </c>
      <c r="AC312" s="6">
        <v>0.35</v>
      </c>
      <c r="AD312" s="6">
        <v>0.4</v>
      </c>
      <c r="AE312" s="6">
        <v>0.25</v>
      </c>
      <c r="AF312" s="4" t="s">
        <v>6296</v>
      </c>
      <c r="AG312" s="4" t="s">
        <v>6296</v>
      </c>
      <c r="AH312" s="4" t="s">
        <v>6296</v>
      </c>
      <c r="AI312" s="4" t="s">
        <v>6296</v>
      </c>
      <c r="AJ312" s="4" t="s">
        <v>6296</v>
      </c>
      <c r="AK312" s="4" t="s">
        <v>42</v>
      </c>
      <c r="AL312" s="4" t="s">
        <v>6296</v>
      </c>
      <c r="AM312" s="4" t="s">
        <v>6296</v>
      </c>
      <c r="AN312" s="4" t="s">
        <v>6296</v>
      </c>
      <c r="AO312" s="4" t="s">
        <v>6296</v>
      </c>
      <c r="AP312" s="4" t="s">
        <v>5503</v>
      </c>
      <c r="AQ312" s="4" t="s">
        <v>47</v>
      </c>
    </row>
    <row r="313" spans="1:43" ht="12.6" customHeight="1" x14ac:dyDescent="0.25">
      <c r="A313" s="8" t="s">
        <v>6157</v>
      </c>
      <c r="B313" s="9">
        <v>20151231</v>
      </c>
      <c r="C313" s="12">
        <f>_xll.FDS("SPX","FG_PRICE(12/30/2015)")</f>
        <v>2063.36</v>
      </c>
      <c r="D313" s="12">
        <f>_xll.FDS("SPX","FG_PRICE(12/30/2017)")</f>
        <v>2673.61</v>
      </c>
      <c r="E313" s="15">
        <f>D313/C313-1</f>
        <v>0.2957554668114144</v>
      </c>
      <c r="F313" s="8" t="s">
        <v>6158</v>
      </c>
      <c r="G313" s="8" t="s">
        <v>6159</v>
      </c>
      <c r="H313" s="13">
        <f>_xll.FDS(G313,"FG_PRICE(12/30/2015)")</f>
        <v>73.75</v>
      </c>
      <c r="I313" s="13">
        <f>_xll.FDS(G313,"FG_PRICE(12/31/2017)")</f>
        <v>77.760000000000005</v>
      </c>
      <c r="J313" s="13">
        <f>I313/H313-1</f>
        <v>5.4372881355932323E-2</v>
      </c>
      <c r="K313" s="13">
        <f>J313-E313</f>
        <v>-0.24138258545548208</v>
      </c>
      <c r="L313" s="13">
        <f>_xll.FDS(G313,"FF_ROE(ANN_R,12/30/2015)")</f>
        <v>6.3712179984484099</v>
      </c>
      <c r="M313" s="8" t="s">
        <v>6160</v>
      </c>
      <c r="N313" s="4" t="s">
        <v>6161</v>
      </c>
      <c r="O313" s="4" t="s">
        <v>6162</v>
      </c>
      <c r="P313" s="4" t="s">
        <v>106</v>
      </c>
      <c r="Q313" s="4" t="s">
        <v>38</v>
      </c>
      <c r="R313" s="4" t="s">
        <v>61</v>
      </c>
      <c r="S313" s="4" t="s">
        <v>62</v>
      </c>
      <c r="T313" s="6" t="e">
        <v>#N/A</v>
      </c>
      <c r="U313" s="5">
        <v>60</v>
      </c>
      <c r="V313" s="5">
        <v>54</v>
      </c>
      <c r="W313" s="5">
        <v>65</v>
      </c>
      <c r="X313" s="5">
        <v>60</v>
      </c>
      <c r="Y313" s="5">
        <v>65.849999999999994</v>
      </c>
      <c r="Z313" s="5">
        <v>56.1</v>
      </c>
      <c r="AA313" s="5">
        <v>80.489999999999995</v>
      </c>
      <c r="AB313" s="5">
        <v>25.09</v>
      </c>
      <c r="AC313" s="6">
        <v>0.35</v>
      </c>
      <c r="AD313" s="6">
        <v>0.4</v>
      </c>
      <c r="AE313" s="6">
        <v>0.25</v>
      </c>
      <c r="AF313" s="4" t="s">
        <v>6296</v>
      </c>
      <c r="AG313" s="4" t="s">
        <v>6296</v>
      </c>
      <c r="AH313" s="4" t="s">
        <v>6296</v>
      </c>
      <c r="AI313" s="4" t="s">
        <v>37</v>
      </c>
      <c r="AJ313" s="4" t="s">
        <v>42</v>
      </c>
      <c r="AK313" s="4" t="s">
        <v>37</v>
      </c>
      <c r="AL313" s="4" t="s">
        <v>6296</v>
      </c>
      <c r="AM313" s="4" t="s">
        <v>42</v>
      </c>
      <c r="AN313" s="4" t="s">
        <v>6296</v>
      </c>
      <c r="AO313" s="4" t="s">
        <v>42</v>
      </c>
      <c r="AP313" s="4" t="s">
        <v>6163</v>
      </c>
      <c r="AQ313" s="4" t="s">
        <v>47</v>
      </c>
    </row>
    <row r="314" spans="1:43" ht="12.6" customHeight="1" x14ac:dyDescent="0.25">
      <c r="A314" s="8" t="s">
        <v>1072</v>
      </c>
      <c r="B314" s="9">
        <v>20151231</v>
      </c>
      <c r="C314" s="12">
        <f>_xll.FDS("SPX","FG_PRICE(12/30/2015)")</f>
        <v>2063.36</v>
      </c>
      <c r="D314" s="12">
        <f>_xll.FDS("SPX","FG_PRICE(12/30/2017)")</f>
        <v>2673.61</v>
      </c>
      <c r="E314" s="15">
        <f>D314/C314-1</f>
        <v>0.2957554668114144</v>
      </c>
      <c r="F314" s="8" t="s">
        <v>1073</v>
      </c>
      <c r="G314" s="8" t="s">
        <v>1074</v>
      </c>
      <c r="H314" s="13">
        <f>_xll.FDS(G314,"FG_PRICE(12/30/2015)")</f>
        <v>43.57</v>
      </c>
      <c r="I314" s="13">
        <f>_xll.FDS(G314,"FG_PRICE(12/31/2017)")</f>
        <v>45.88</v>
      </c>
      <c r="J314" s="13">
        <f>I314/H314-1</f>
        <v>5.301813174202441E-2</v>
      </c>
      <c r="K314" s="13">
        <f>J314-E314</f>
        <v>-0.24273733506938999</v>
      </c>
      <c r="L314" s="13">
        <f>_xll.FDS(G314,"FF_ROE(ANN_R,12/30/2015)")</f>
        <v>22.35837021403934</v>
      </c>
      <c r="M314" s="8" t="s">
        <v>1075</v>
      </c>
      <c r="N314" s="4" t="s">
        <v>1076</v>
      </c>
      <c r="O314" s="4" t="s">
        <v>1077</v>
      </c>
      <c r="P314" s="4" t="s">
        <v>96</v>
      </c>
      <c r="Q314" s="4" t="s">
        <v>38</v>
      </c>
      <c r="R314" s="4" t="s">
        <v>61</v>
      </c>
      <c r="S314" s="4" t="s">
        <v>62</v>
      </c>
      <c r="T314" s="6" t="e">
        <v>#N/A</v>
      </c>
      <c r="U314" s="5">
        <v>68</v>
      </c>
      <c r="V314" s="5">
        <v>62</v>
      </c>
      <c r="W314" s="5">
        <v>77</v>
      </c>
      <c r="X314" s="5">
        <v>62</v>
      </c>
      <c r="Y314" s="5">
        <v>82.93</v>
      </c>
      <c r="Z314" s="5">
        <v>70.73</v>
      </c>
      <c r="AA314" s="5">
        <v>95.47</v>
      </c>
      <c r="AB314" s="5">
        <v>30.31</v>
      </c>
      <c r="AC314" s="6">
        <v>0.35</v>
      </c>
      <c r="AD314" s="6">
        <v>0.4</v>
      </c>
      <c r="AE314" s="6">
        <v>0.25</v>
      </c>
      <c r="AF314" s="4" t="s">
        <v>46</v>
      </c>
      <c r="AG314" s="4" t="s">
        <v>6296</v>
      </c>
      <c r="AH314" s="4" t="s">
        <v>6296</v>
      </c>
      <c r="AI314" s="4" t="s">
        <v>37</v>
      </c>
      <c r="AJ314" s="4" t="s">
        <v>46</v>
      </c>
      <c r="AK314" s="4" t="s">
        <v>37</v>
      </c>
      <c r="AL314" s="4" t="s">
        <v>42</v>
      </c>
      <c r="AM314" s="4" t="s">
        <v>46</v>
      </c>
      <c r="AN314" s="4" t="s">
        <v>37</v>
      </c>
      <c r="AO314" s="4" t="s">
        <v>42</v>
      </c>
      <c r="AP314" s="4" t="s">
        <v>1078</v>
      </c>
      <c r="AQ314" s="4" t="s">
        <v>47</v>
      </c>
    </row>
    <row r="315" spans="1:43" ht="12.6" customHeight="1" x14ac:dyDescent="0.25">
      <c r="A315" s="8" t="s">
        <v>2270</v>
      </c>
      <c r="B315" s="9">
        <v>20151231</v>
      </c>
      <c r="C315" s="12">
        <f>_xll.FDS("SPX","FG_PRICE(12/30/2015)")</f>
        <v>2063.36</v>
      </c>
      <c r="D315" s="12">
        <f>_xll.FDS("SPX","FG_PRICE(12/30/2017)")</f>
        <v>2673.61</v>
      </c>
      <c r="E315" s="15">
        <f>D315/C315-1</f>
        <v>0.2957554668114144</v>
      </c>
      <c r="F315" s="8" t="s">
        <v>2271</v>
      </c>
      <c r="G315" s="8" t="s">
        <v>2272</v>
      </c>
      <c r="H315" s="13">
        <f>_xll.FDS(G315,"FG_PRICE(12/30/2015)")</f>
        <v>73.19</v>
      </c>
      <c r="I315" s="13">
        <f>_xll.FDS(G315,"FG_PRICE(12/31/2017)")</f>
        <v>67.98</v>
      </c>
      <c r="J315" s="13">
        <f>I315/H315-1</f>
        <v>-7.1184588058477827E-2</v>
      </c>
      <c r="K315" s="13">
        <f>J315-E315</f>
        <v>-0.36694005486989223</v>
      </c>
      <c r="L315" s="13">
        <f>_xll.FDS(G315,"FF_ROE(ANN_R,12/30/2015)")</f>
        <v>19.955794126934009</v>
      </c>
      <c r="M315" s="8" t="s">
        <v>2273</v>
      </c>
      <c r="N315" s="4" t="s">
        <v>2273</v>
      </c>
      <c r="O315" s="4" t="s">
        <v>2274</v>
      </c>
      <c r="P315" s="4" t="s">
        <v>96</v>
      </c>
      <c r="Q315" s="4" t="s">
        <v>38</v>
      </c>
      <c r="R315" s="4" t="s">
        <v>61</v>
      </c>
      <c r="S315" s="4" t="s">
        <v>62</v>
      </c>
      <c r="T315" s="6" t="e">
        <v>#N/A</v>
      </c>
      <c r="U315" s="5">
        <v>73</v>
      </c>
      <c r="V315" s="5">
        <v>75</v>
      </c>
      <c r="W315" s="5">
        <v>69</v>
      </c>
      <c r="X315" s="5">
        <v>77</v>
      </c>
      <c r="Y315" s="5">
        <v>91.64</v>
      </c>
      <c r="Z315" s="5">
        <v>93.73</v>
      </c>
      <c r="AA315" s="5">
        <v>84.67</v>
      </c>
      <c r="AB315" s="5">
        <v>90.59</v>
      </c>
      <c r="AC315" s="6">
        <v>0.35</v>
      </c>
      <c r="AD315" s="6">
        <v>0.4</v>
      </c>
      <c r="AE315" s="6">
        <v>0.25</v>
      </c>
      <c r="AF315" s="4" t="s">
        <v>37</v>
      </c>
      <c r="AG315" s="4" t="s">
        <v>6296</v>
      </c>
      <c r="AH315" s="4" t="s">
        <v>6296</v>
      </c>
      <c r="AI315" s="4" t="s">
        <v>37</v>
      </c>
      <c r="AJ315" s="4" t="s">
        <v>37</v>
      </c>
      <c r="AK315" s="4" t="s">
        <v>42</v>
      </c>
      <c r="AL315" s="4" t="s">
        <v>6296</v>
      </c>
      <c r="AM315" s="4" t="s">
        <v>6296</v>
      </c>
      <c r="AN315" s="4" t="s">
        <v>6296</v>
      </c>
      <c r="AO315" s="4" t="s">
        <v>6296</v>
      </c>
      <c r="AP315" s="4" t="s">
        <v>2275</v>
      </c>
      <c r="AQ315" s="4" t="s">
        <v>47</v>
      </c>
    </row>
    <row r="316" spans="1:43" ht="12.6" customHeight="1" x14ac:dyDescent="0.25">
      <c r="A316" s="8" t="s">
        <v>5592</v>
      </c>
      <c r="B316" s="9">
        <v>20151231</v>
      </c>
      <c r="C316" s="12">
        <f>_xll.FDS("SPX","FG_PRICE(12/30/2015)")</f>
        <v>2063.36</v>
      </c>
      <c r="D316" s="12">
        <f>_xll.FDS("SPX","FG_PRICE(12/30/2017)")</f>
        <v>2673.61</v>
      </c>
      <c r="E316" s="15">
        <f>D316/C316-1</f>
        <v>0.2957554668114144</v>
      </c>
      <c r="F316" s="8" t="s">
        <v>5593</v>
      </c>
      <c r="G316" s="8" t="s">
        <v>5594</v>
      </c>
      <c r="H316" s="13">
        <f>_xll.FDS(G316,"FG_PRICE(12/30/2015)")</f>
        <v>45.51</v>
      </c>
      <c r="I316" s="13">
        <f>_xll.FDS(G316,"FG_PRICE(12/31/2017)")</f>
        <v>42.8</v>
      </c>
      <c r="J316" s="13">
        <f>I316/H316-1</f>
        <v>-5.9547352230279071E-2</v>
      </c>
      <c r="K316" s="13">
        <f>J316-E316</f>
        <v>-0.35530281904169347</v>
      </c>
      <c r="L316" s="13">
        <f>_xll.FDS(G316,"FF_ROE(ANN_R,12/30/2015)")</f>
        <v>7.2651065316101988</v>
      </c>
      <c r="M316" s="8" t="s">
        <v>5595</v>
      </c>
      <c r="N316" s="4" t="s">
        <v>5596</v>
      </c>
      <c r="O316" s="4" t="s">
        <v>5597</v>
      </c>
      <c r="P316" s="4" t="s">
        <v>106</v>
      </c>
      <c r="Q316" s="4" t="s">
        <v>38</v>
      </c>
      <c r="R316" s="4" t="s">
        <v>61</v>
      </c>
      <c r="S316" s="4" t="s">
        <v>62</v>
      </c>
      <c r="T316" s="6" t="e">
        <v>#N/A</v>
      </c>
      <c r="U316" s="5">
        <v>71</v>
      </c>
      <c r="V316" s="5">
        <v>74</v>
      </c>
      <c r="W316" s="5">
        <v>72</v>
      </c>
      <c r="X316" s="5">
        <v>65</v>
      </c>
      <c r="Y316" s="5">
        <v>87.8</v>
      </c>
      <c r="Z316" s="5">
        <v>91.29</v>
      </c>
      <c r="AA316" s="5">
        <v>90.59</v>
      </c>
      <c r="AB316" s="5">
        <v>38.33</v>
      </c>
      <c r="AC316" s="6">
        <v>0.35</v>
      </c>
      <c r="AD316" s="6">
        <v>0.4</v>
      </c>
      <c r="AE316" s="6">
        <v>0.25</v>
      </c>
      <c r="AF316" s="4" t="s">
        <v>42</v>
      </c>
      <c r="AG316" s="4" t="s">
        <v>6296</v>
      </c>
      <c r="AH316" s="4" t="s">
        <v>6296</v>
      </c>
      <c r="AI316" s="4" t="s">
        <v>37</v>
      </c>
      <c r="AJ316" s="4" t="s">
        <v>37</v>
      </c>
      <c r="AK316" s="4" t="s">
        <v>37</v>
      </c>
      <c r="AL316" s="4" t="s">
        <v>37</v>
      </c>
      <c r="AM316" s="4" t="s">
        <v>37</v>
      </c>
      <c r="AN316" s="4" t="s">
        <v>42</v>
      </c>
      <c r="AO316" s="4" t="s">
        <v>6296</v>
      </c>
      <c r="AP316" s="4" t="s">
        <v>5598</v>
      </c>
      <c r="AQ316" s="4" t="s">
        <v>47</v>
      </c>
    </row>
    <row r="317" spans="1:43" ht="12.6" customHeight="1" x14ac:dyDescent="0.25">
      <c r="A317" s="8" t="s">
        <v>5228</v>
      </c>
      <c r="B317" s="9">
        <v>20151231</v>
      </c>
      <c r="C317" s="12">
        <f>_xll.FDS("SPX","FG_PRICE(12/30/2015)")</f>
        <v>2063.36</v>
      </c>
      <c r="D317" s="12">
        <f>_xll.FDS("SPX","FG_PRICE(12/30/2017)")</f>
        <v>2673.61</v>
      </c>
      <c r="E317" s="15">
        <f>D317/C317-1</f>
        <v>0.2957554668114144</v>
      </c>
      <c r="F317" s="8" t="s">
        <v>5229</v>
      </c>
      <c r="G317" s="8" t="s">
        <v>5230</v>
      </c>
      <c r="H317" s="13">
        <f>_xll.FDS(G317,"FG_PRICE(12/30/2015)")</f>
        <v>79.33</v>
      </c>
      <c r="I317" s="13" t="e">
        <f>_xll.FDS(G317,"FG_PRICE(12/31/2017)")</f>
        <v>#N/A</v>
      </c>
      <c r="J317" s="13" t="e">
        <f>I317/H317-1</f>
        <v>#N/A</v>
      </c>
      <c r="K317" s="13" t="e">
        <f>J317-E317</f>
        <v>#N/A</v>
      </c>
      <c r="L317" s="13">
        <f>_xll.FDS(G317,"FF_ROE(ANN_R,12/30/2015)")</f>
        <v>165.9161759612054</v>
      </c>
      <c r="M317" s="8" t="s">
        <v>5231</v>
      </c>
      <c r="N317" s="4" t="s">
        <v>5231</v>
      </c>
      <c r="O317" s="4" t="s">
        <v>5232</v>
      </c>
      <c r="P317" s="4" t="s">
        <v>96</v>
      </c>
      <c r="Q317" s="4" t="s">
        <v>38</v>
      </c>
      <c r="R317" s="4" t="s">
        <v>61</v>
      </c>
      <c r="S317" s="4" t="s">
        <v>62</v>
      </c>
      <c r="T317" s="6" t="e">
        <v>#N/A</v>
      </c>
      <c r="U317" s="5">
        <v>61</v>
      </c>
      <c r="V317" s="5">
        <v>56</v>
      </c>
      <c r="W317" s="5">
        <v>64</v>
      </c>
      <c r="X317" s="5">
        <v>62</v>
      </c>
      <c r="Y317" s="5">
        <v>67.94</v>
      </c>
      <c r="Z317" s="5">
        <v>60.98</v>
      </c>
      <c r="AA317" s="5">
        <v>79.09</v>
      </c>
      <c r="AB317" s="5">
        <v>30.31</v>
      </c>
      <c r="AC317" s="6">
        <v>0.35</v>
      </c>
      <c r="AD317" s="6">
        <v>0.4</v>
      </c>
      <c r="AE317" s="6">
        <v>0.25</v>
      </c>
      <c r="AF317" s="4" t="s">
        <v>6296</v>
      </c>
      <c r="AG317" s="4" t="s">
        <v>6296</v>
      </c>
      <c r="AH317" s="4" t="s">
        <v>6296</v>
      </c>
      <c r="AI317" s="4" t="s">
        <v>42</v>
      </c>
      <c r="AJ317" s="4" t="s">
        <v>6296</v>
      </c>
      <c r="AK317" s="4" t="s">
        <v>37</v>
      </c>
      <c r="AL317" s="4" t="s">
        <v>6296</v>
      </c>
      <c r="AM317" s="4" t="s">
        <v>37</v>
      </c>
      <c r="AN317" s="4" t="s">
        <v>6296</v>
      </c>
      <c r="AO317" s="4" t="s">
        <v>6296</v>
      </c>
      <c r="AP317" s="4" t="s">
        <v>5233</v>
      </c>
      <c r="AQ317" s="4" t="s">
        <v>47</v>
      </c>
    </row>
    <row r="318" spans="1:43" ht="12.6" customHeight="1" x14ac:dyDescent="0.25">
      <c r="A318" s="8" t="s">
        <v>2537</v>
      </c>
      <c r="B318" s="9">
        <v>20151231</v>
      </c>
      <c r="C318" s="12">
        <f>_xll.FDS("SPX","FG_PRICE(12/30/2015)")</f>
        <v>2063.36</v>
      </c>
      <c r="D318" s="12">
        <f>_xll.FDS("SPX","FG_PRICE(12/30/2017)")</f>
        <v>2673.61</v>
      </c>
      <c r="E318" s="15">
        <f>D318/C318-1</f>
        <v>0.2957554668114144</v>
      </c>
      <c r="F318" s="8" t="s">
        <v>2538</v>
      </c>
      <c r="G318" s="8" t="s">
        <v>2539</v>
      </c>
      <c r="H318" s="13">
        <f>_xll.FDS(G318,"FG_PRICE(12/30/2015)")</f>
        <v>86.6</v>
      </c>
      <c r="I318" s="13">
        <f>_xll.FDS(G318,"FG_PRICE(12/31/2017)")</f>
        <v>101.91</v>
      </c>
      <c r="J318" s="13">
        <f>I318/H318-1</f>
        <v>0.17678983833718243</v>
      </c>
      <c r="K318" s="13">
        <f>J318-E318</f>
        <v>-0.11896562847423198</v>
      </c>
      <c r="L318" s="13">
        <f>_xll.FDS(G318,"FF_ROE(ANN_R,12/30/2015)")</f>
        <v>23.197781885397411</v>
      </c>
      <c r="M318" s="8" t="s">
        <v>2540</v>
      </c>
      <c r="N318" s="4" t="s">
        <v>2541</v>
      </c>
      <c r="O318" s="4" t="s">
        <v>2542</v>
      </c>
      <c r="P318" s="4" t="s">
        <v>96</v>
      </c>
      <c r="Q318" s="4" t="s">
        <v>38</v>
      </c>
      <c r="R318" s="4" t="s">
        <v>61</v>
      </c>
      <c r="S318" s="4" t="s">
        <v>62</v>
      </c>
      <c r="T318" s="6" t="e">
        <v>#N/A</v>
      </c>
      <c r="U318" s="5">
        <v>63</v>
      </c>
      <c r="V318" s="5">
        <v>70</v>
      </c>
      <c r="W318" s="5">
        <v>52</v>
      </c>
      <c r="X318" s="5">
        <v>69</v>
      </c>
      <c r="Y318" s="5">
        <v>73.17</v>
      </c>
      <c r="Z318" s="5">
        <v>85.37</v>
      </c>
      <c r="AA318" s="5">
        <v>45.3</v>
      </c>
      <c r="AB318" s="5">
        <v>72.47</v>
      </c>
      <c r="AC318" s="6">
        <v>0.35</v>
      </c>
      <c r="AD318" s="6">
        <v>0.4</v>
      </c>
      <c r="AE318" s="6">
        <v>0.25</v>
      </c>
      <c r="AF318" s="4" t="s">
        <v>6296</v>
      </c>
      <c r="AG318" s="4" t="s">
        <v>6296</v>
      </c>
      <c r="AH318" s="4" t="s">
        <v>6296</v>
      </c>
      <c r="AI318" s="4" t="s">
        <v>6296</v>
      </c>
      <c r="AJ318" s="4" t="s">
        <v>6296</v>
      </c>
      <c r="AK318" s="4" t="s">
        <v>42</v>
      </c>
      <c r="AL318" s="4" t="s">
        <v>6296</v>
      </c>
      <c r="AM318" s="4" t="s">
        <v>6296</v>
      </c>
      <c r="AN318" s="4" t="s">
        <v>6296</v>
      </c>
      <c r="AO318" s="4" t="s">
        <v>6296</v>
      </c>
      <c r="AP318" s="4" t="s">
        <v>2543</v>
      </c>
      <c r="AQ318" s="4" t="s">
        <v>47</v>
      </c>
    </row>
    <row r="319" spans="1:43" ht="12.6" customHeight="1" x14ac:dyDescent="0.25">
      <c r="A319" s="8" t="s">
        <v>6235</v>
      </c>
      <c r="B319" s="9">
        <v>20151231</v>
      </c>
      <c r="C319" s="12">
        <f>_xll.FDS("SPX","FG_PRICE(12/30/2015)")</f>
        <v>2063.36</v>
      </c>
      <c r="D319" s="12">
        <f>_xll.FDS("SPX","FG_PRICE(12/30/2017)")</f>
        <v>2673.61</v>
      </c>
      <c r="E319" s="15">
        <f>D319/C319-1</f>
        <v>0.2957554668114144</v>
      </c>
      <c r="F319" s="8" t="s">
        <v>6236</v>
      </c>
      <c r="G319" s="8" t="s">
        <v>6237</v>
      </c>
      <c r="H319" s="13">
        <f>_xll.FDS(G319,"FG_PRICE(12/30/2015)")</f>
        <v>50.08</v>
      </c>
      <c r="I319" s="13">
        <f>_xll.FDS(G319,"FG_PRICE(12/31/2017)")</f>
        <v>63.29</v>
      </c>
      <c r="J319" s="13">
        <f>I319/H319-1</f>
        <v>0.26377795527156556</v>
      </c>
      <c r="K319" s="13">
        <f>J319-E319</f>
        <v>-3.1977511539848846E-2</v>
      </c>
      <c r="L319" s="13">
        <f>_xll.FDS(G319,"FF_ROE(ANN_R,12/30/2015)")</f>
        <v>38.540273722605903</v>
      </c>
      <c r="M319" s="8" t="s">
        <v>6238</v>
      </c>
      <c r="N319" s="4" t="s">
        <v>6238</v>
      </c>
      <c r="O319" s="4" t="s">
        <v>6239</v>
      </c>
      <c r="P319" s="4" t="s">
        <v>106</v>
      </c>
      <c r="Q319" s="4" t="s">
        <v>38</v>
      </c>
      <c r="R319" s="4" t="s">
        <v>61</v>
      </c>
      <c r="S319" s="4" t="s">
        <v>62</v>
      </c>
      <c r="T319" s="6" t="e">
        <v>#N/A</v>
      </c>
      <c r="U319" s="5">
        <v>43</v>
      </c>
      <c r="V319" s="5">
        <v>43</v>
      </c>
      <c r="W319" s="5">
        <v>39</v>
      </c>
      <c r="X319" s="5">
        <v>48</v>
      </c>
      <c r="Y319" s="6">
        <v>1.39</v>
      </c>
      <c r="Z319" s="5">
        <v>36.93</v>
      </c>
      <c r="AA319" s="6">
        <v>0.7</v>
      </c>
      <c r="AB319" s="6">
        <v>4.53</v>
      </c>
      <c r="AC319" s="6">
        <v>0.35</v>
      </c>
      <c r="AD319" s="6">
        <v>0.4</v>
      </c>
      <c r="AE319" s="6">
        <v>0.25</v>
      </c>
      <c r="AF319" s="4" t="s">
        <v>6296</v>
      </c>
      <c r="AG319" s="4" t="s">
        <v>6296</v>
      </c>
      <c r="AH319" s="4" t="s">
        <v>6296</v>
      </c>
      <c r="AI319" s="4" t="s">
        <v>6296</v>
      </c>
      <c r="AJ319" s="4" t="s">
        <v>6296</v>
      </c>
      <c r="AK319" s="4" t="s">
        <v>46</v>
      </c>
      <c r="AL319" s="4" t="s">
        <v>6296</v>
      </c>
      <c r="AM319" s="4" t="s">
        <v>42</v>
      </c>
      <c r="AN319" s="4" t="s">
        <v>37</v>
      </c>
      <c r="AO319" s="4" t="s">
        <v>6296</v>
      </c>
      <c r="AP319" s="4" t="s">
        <v>6240</v>
      </c>
      <c r="AQ319" s="4" t="s">
        <v>47</v>
      </c>
    </row>
    <row r="320" spans="1:43" ht="12.6" customHeight="1" x14ac:dyDescent="0.25">
      <c r="A320" s="8" t="s">
        <v>3160</v>
      </c>
      <c r="B320" s="9">
        <v>20151231</v>
      </c>
      <c r="C320" s="12">
        <f>_xll.FDS("SPX","FG_PRICE(12/30/2015)")</f>
        <v>2063.36</v>
      </c>
      <c r="D320" s="12">
        <f>_xll.FDS("SPX","FG_PRICE(12/30/2017)")</f>
        <v>2673.61</v>
      </c>
      <c r="E320" s="15">
        <f>D320/C320-1</f>
        <v>0.2957554668114144</v>
      </c>
      <c r="F320" s="8" t="s">
        <v>3161</v>
      </c>
      <c r="G320" s="8" t="s">
        <v>3162</v>
      </c>
      <c r="H320" s="13">
        <f>_xll.FDS(G320,"FG_PRICE(12/30/2015)")</f>
        <v>58.8</v>
      </c>
      <c r="I320" s="13">
        <f>_xll.FDS(G320,"FG_PRICE(12/31/2017)")</f>
        <v>71.41</v>
      </c>
      <c r="J320" s="13">
        <f>I320/H320-1</f>
        <v>0.21445578231292517</v>
      </c>
      <c r="K320" s="13">
        <f>J320-E320</f>
        <v>-8.1299684498489233E-2</v>
      </c>
      <c r="L320" s="13">
        <f>_xll.FDS(G320,"FF_ROE(ANN_R,12/30/2015)")</f>
        <v>141.81971120145801</v>
      </c>
      <c r="M320" s="8" t="s">
        <v>3163</v>
      </c>
      <c r="N320" s="4" t="s">
        <v>3164</v>
      </c>
      <c r="O320" s="4" t="s">
        <v>3165</v>
      </c>
      <c r="P320" s="4" t="s">
        <v>96</v>
      </c>
      <c r="Q320" s="4" t="s">
        <v>38</v>
      </c>
      <c r="R320" s="4" t="s">
        <v>61</v>
      </c>
      <c r="S320" s="4" t="s">
        <v>62</v>
      </c>
      <c r="T320" s="6" t="e">
        <v>#N/A</v>
      </c>
      <c r="U320" s="5">
        <v>63</v>
      </c>
      <c r="V320" s="5">
        <v>61</v>
      </c>
      <c r="W320" s="5">
        <v>56</v>
      </c>
      <c r="X320" s="5">
        <v>77</v>
      </c>
      <c r="Y320" s="5">
        <v>73.17</v>
      </c>
      <c r="Z320" s="5">
        <v>67.94</v>
      </c>
      <c r="AA320" s="5">
        <v>59.93</v>
      </c>
      <c r="AB320" s="5">
        <v>90.59</v>
      </c>
      <c r="AC320" s="6">
        <v>0.35</v>
      </c>
      <c r="AD320" s="6">
        <v>0.4</v>
      </c>
      <c r="AE320" s="6">
        <v>0.25</v>
      </c>
      <c r="AF320" s="4" t="s">
        <v>6296</v>
      </c>
      <c r="AG320" s="4" t="s">
        <v>6296</v>
      </c>
      <c r="AH320" s="4" t="s">
        <v>6296</v>
      </c>
      <c r="AI320" s="4" t="s">
        <v>6296</v>
      </c>
      <c r="AJ320" s="4" t="s">
        <v>37</v>
      </c>
      <c r="AK320" s="4" t="s">
        <v>46</v>
      </c>
      <c r="AL320" s="4" t="s">
        <v>6296</v>
      </c>
      <c r="AM320" s="4" t="s">
        <v>42</v>
      </c>
      <c r="AN320" s="4" t="s">
        <v>6296</v>
      </c>
      <c r="AO320" s="4" t="s">
        <v>6296</v>
      </c>
      <c r="AP320" s="4" t="s">
        <v>3166</v>
      </c>
      <c r="AQ320" s="4" t="s">
        <v>47</v>
      </c>
    </row>
    <row r="321" spans="1:43" ht="12.6" customHeight="1" x14ac:dyDescent="0.25">
      <c r="A321" s="8" t="s">
        <v>3102</v>
      </c>
      <c r="B321" s="9">
        <v>20151231</v>
      </c>
      <c r="C321" s="12">
        <f>_xll.FDS("SPX","FG_PRICE(12/30/2015)")</f>
        <v>2063.36</v>
      </c>
      <c r="D321" s="12">
        <f>_xll.FDS("SPX","FG_PRICE(12/30/2017)")</f>
        <v>2673.61</v>
      </c>
      <c r="E321" s="15">
        <f>D321/C321-1</f>
        <v>0.2957554668114144</v>
      </c>
      <c r="F321" s="8" t="s">
        <v>3103</v>
      </c>
      <c r="G321" s="8" t="s">
        <v>3104</v>
      </c>
      <c r="H321" s="13">
        <f>_xll.FDS(G321,"FG_PRICE(12/30/2015)")</f>
        <v>101.15</v>
      </c>
      <c r="I321" s="13">
        <f>_xll.FDS(G321,"FG_PRICE(12/31/2017)")</f>
        <v>119.92</v>
      </c>
      <c r="J321" s="13">
        <f>I321/H321-1</f>
        <v>0.1855659911023233</v>
      </c>
      <c r="K321" s="13">
        <f>J321-E321</f>
        <v>-0.1101894757090911</v>
      </c>
      <c r="L321" s="13">
        <f>_xll.FDS(G321,"FF_ROE(ANN_R,12/30/2015)")</f>
        <v>31.22468058585229</v>
      </c>
      <c r="M321" s="8" t="s">
        <v>3105</v>
      </c>
      <c r="N321" s="4" t="s">
        <v>3106</v>
      </c>
      <c r="O321" s="4" t="s">
        <v>3107</v>
      </c>
      <c r="P321" s="4" t="s">
        <v>96</v>
      </c>
      <c r="Q321" s="4" t="s">
        <v>38</v>
      </c>
      <c r="R321" s="4" t="s">
        <v>61</v>
      </c>
      <c r="S321" s="4" t="s">
        <v>62</v>
      </c>
      <c r="T321" s="6" t="e">
        <v>#N/A</v>
      </c>
      <c r="U321" s="5">
        <v>74</v>
      </c>
      <c r="V321" s="5">
        <v>71</v>
      </c>
      <c r="W321" s="5">
        <v>73</v>
      </c>
      <c r="X321" s="5">
        <v>82</v>
      </c>
      <c r="Y321" s="5">
        <v>92.68</v>
      </c>
      <c r="Z321" s="5">
        <v>87.11</v>
      </c>
      <c r="AA321" s="5">
        <v>92.33</v>
      </c>
      <c r="AB321" s="5">
        <v>97.21</v>
      </c>
      <c r="AC321" s="6">
        <v>0.35</v>
      </c>
      <c r="AD321" s="6">
        <v>0.4</v>
      </c>
      <c r="AE321" s="6">
        <v>0.25</v>
      </c>
      <c r="AF321" s="4" t="s">
        <v>37</v>
      </c>
      <c r="AG321" s="4" t="s">
        <v>37</v>
      </c>
      <c r="AH321" s="4" t="s">
        <v>6296</v>
      </c>
      <c r="AI321" s="4" t="s">
        <v>37</v>
      </c>
      <c r="AJ321" s="4" t="s">
        <v>42</v>
      </c>
      <c r="AK321" s="4" t="s">
        <v>37</v>
      </c>
      <c r="AL321" s="4" t="s">
        <v>42</v>
      </c>
      <c r="AM321" s="4" t="s">
        <v>37</v>
      </c>
      <c r="AN321" s="4" t="s">
        <v>6296</v>
      </c>
      <c r="AO321" s="4" t="s">
        <v>42</v>
      </c>
      <c r="AP321" s="4" t="s">
        <v>3108</v>
      </c>
      <c r="AQ321" s="4" t="s">
        <v>47</v>
      </c>
    </row>
    <row r="322" spans="1:43" ht="12.6" customHeight="1" x14ac:dyDescent="0.25">
      <c r="A322" s="8" t="s">
        <v>4997</v>
      </c>
      <c r="B322" s="9">
        <v>20151231</v>
      </c>
      <c r="C322" s="12">
        <f>_xll.FDS("SPX","FG_PRICE(12/30/2015)")</f>
        <v>2063.36</v>
      </c>
      <c r="D322" s="12">
        <f>_xll.FDS("SPX","FG_PRICE(12/30/2017)")</f>
        <v>2673.61</v>
      </c>
      <c r="E322" s="15">
        <f>D322/C322-1</f>
        <v>0.2957554668114144</v>
      </c>
      <c r="F322" s="8" t="s">
        <v>4998</v>
      </c>
      <c r="G322" s="8" t="s">
        <v>4999</v>
      </c>
      <c r="H322" s="13">
        <f>_xll.FDS(G322,"FG_PRICE(12/30/2015)")</f>
        <v>88.98</v>
      </c>
      <c r="I322" s="13">
        <f>_xll.FDS(G322,"FG_PRICE(12/31/2017)")</f>
        <v>105.65</v>
      </c>
      <c r="J322" s="13">
        <f>I322/H322-1</f>
        <v>0.18734547089233544</v>
      </c>
      <c r="K322" s="13">
        <f>J322-E322</f>
        <v>-0.10840999591907896</v>
      </c>
      <c r="L322" s="13" t="e">
        <f>_xll.FDS(G322,"FF_ROE(ANN_R,12/30/2015)")</f>
        <v>#N/A</v>
      </c>
      <c r="M322" s="8" t="s">
        <v>5000</v>
      </c>
      <c r="N322" s="4" t="s">
        <v>5000</v>
      </c>
      <c r="O322" s="4" t="s">
        <v>4495</v>
      </c>
      <c r="P322" s="4" t="s">
        <v>96</v>
      </c>
      <c r="Q322" s="4" t="s">
        <v>38</v>
      </c>
      <c r="R322" s="4" t="s">
        <v>61</v>
      </c>
      <c r="S322" s="4" t="s">
        <v>62</v>
      </c>
      <c r="T322" s="6" t="e">
        <v>#N/A</v>
      </c>
      <c r="U322" s="5">
        <v>66</v>
      </c>
      <c r="V322" s="5">
        <v>70</v>
      </c>
      <c r="W322" s="5">
        <v>63</v>
      </c>
      <c r="X322" s="5">
        <v>65</v>
      </c>
      <c r="Y322" s="5">
        <v>79.44</v>
      </c>
      <c r="Z322" s="5">
        <v>85.37</v>
      </c>
      <c r="AA322" s="5">
        <v>75.959999999999994</v>
      </c>
      <c r="AB322" s="5">
        <v>38.33</v>
      </c>
      <c r="AC322" s="6">
        <v>0.35</v>
      </c>
      <c r="AD322" s="6">
        <v>0.4</v>
      </c>
      <c r="AE322" s="6">
        <v>0.25</v>
      </c>
      <c r="AF322" s="4" t="s">
        <v>6296</v>
      </c>
      <c r="AG322" s="4" t="s">
        <v>6296</v>
      </c>
      <c r="AH322" s="4" t="s">
        <v>6296</v>
      </c>
      <c r="AI322" s="4" t="s">
        <v>37</v>
      </c>
      <c r="AJ322" s="4" t="s">
        <v>37</v>
      </c>
      <c r="AK322" s="4" t="s">
        <v>46</v>
      </c>
      <c r="AL322" s="4" t="s">
        <v>37</v>
      </c>
      <c r="AM322" s="4" t="s">
        <v>37</v>
      </c>
      <c r="AN322" s="4" t="s">
        <v>6296</v>
      </c>
      <c r="AO322" s="4" t="s">
        <v>42</v>
      </c>
      <c r="AP322" s="4" t="s">
        <v>5001</v>
      </c>
      <c r="AQ322" s="4" t="s">
        <v>47</v>
      </c>
    </row>
    <row r="323" spans="1:43" ht="12.6" customHeight="1" x14ac:dyDescent="0.25">
      <c r="A323" s="8" t="s">
        <v>1989</v>
      </c>
      <c r="B323" s="9">
        <v>20151231</v>
      </c>
      <c r="C323" s="12">
        <f>_xll.FDS("SPX","FG_PRICE(12/30/2015)")</f>
        <v>2063.36</v>
      </c>
      <c r="D323" s="12">
        <f>_xll.FDS("SPX","FG_PRICE(12/30/2017)")</f>
        <v>2673.61</v>
      </c>
      <c r="E323" s="15">
        <f>D323/C323-1</f>
        <v>0.2957554668114144</v>
      </c>
      <c r="F323" s="8" t="s">
        <v>1990</v>
      </c>
      <c r="G323" s="8" t="s">
        <v>1991</v>
      </c>
      <c r="H323" s="13">
        <f>_xll.FDS(G323,"FG_PRICE(12/30/2015)")</f>
        <v>46.67</v>
      </c>
      <c r="I323" s="13" t="e">
        <f>_xll.FDS(G323,"FG_PRICE(12/31/2017)")</f>
        <v>#N/A</v>
      </c>
      <c r="J323" s="13" t="e">
        <f>I323/H323-1</f>
        <v>#N/A</v>
      </c>
      <c r="K323" s="13" t="e">
        <f>J323-E323</f>
        <v>#N/A</v>
      </c>
      <c r="L323" s="13">
        <f>_xll.FDS(G323,"FF_ROE(ANN_R,12/30/2015)")</f>
        <v>29.827639591289088</v>
      </c>
      <c r="M323" s="8" t="s">
        <v>1992</v>
      </c>
      <c r="N323" s="4" t="s">
        <v>1992</v>
      </c>
      <c r="O323" s="4" t="s">
        <v>1993</v>
      </c>
      <c r="P323" s="4" t="s">
        <v>96</v>
      </c>
      <c r="Q323" s="4" t="s">
        <v>38</v>
      </c>
      <c r="R323" s="4" t="s">
        <v>61</v>
      </c>
      <c r="S323" s="4" t="s">
        <v>62</v>
      </c>
      <c r="T323" s="6" t="e">
        <v>#N/A</v>
      </c>
      <c r="U323" s="5">
        <v>57</v>
      </c>
      <c r="V323" s="5">
        <v>59</v>
      </c>
      <c r="W323" s="5">
        <v>48</v>
      </c>
      <c r="X323" s="5">
        <v>69</v>
      </c>
      <c r="Y323" s="5">
        <v>57.84</v>
      </c>
      <c r="Z323" s="5">
        <v>64.81</v>
      </c>
      <c r="AA323" s="6">
        <v>9.76</v>
      </c>
      <c r="AB323" s="5">
        <v>72.47</v>
      </c>
      <c r="AC323" s="6">
        <v>0.35</v>
      </c>
      <c r="AD323" s="6">
        <v>0.4</v>
      </c>
      <c r="AE323" s="6">
        <v>0.25</v>
      </c>
      <c r="AF323" s="4" t="s">
        <v>6296</v>
      </c>
      <c r="AG323" s="4" t="s">
        <v>6296</v>
      </c>
      <c r="AH323" s="4" t="s">
        <v>6296</v>
      </c>
      <c r="AI323" s="4" t="s">
        <v>37</v>
      </c>
      <c r="AJ323" s="4" t="s">
        <v>37</v>
      </c>
      <c r="AK323" s="4" t="s">
        <v>46</v>
      </c>
      <c r="AL323" s="4" t="s">
        <v>37</v>
      </c>
      <c r="AM323" s="4" t="s">
        <v>37</v>
      </c>
      <c r="AN323" s="4" t="s">
        <v>42</v>
      </c>
      <c r="AO323" s="4" t="s">
        <v>42</v>
      </c>
      <c r="AP323" s="4" t="s">
        <v>1994</v>
      </c>
      <c r="AQ323" s="4" t="s">
        <v>47</v>
      </c>
    </row>
    <row r="324" spans="1:43" ht="12.6" customHeight="1" x14ac:dyDescent="0.25">
      <c r="A324" s="8" t="s">
        <v>4307</v>
      </c>
      <c r="B324" s="9">
        <v>20151231</v>
      </c>
      <c r="C324" s="12">
        <f>_xll.FDS("SPX","FG_PRICE(12/30/2015)")</f>
        <v>2063.36</v>
      </c>
      <c r="D324" s="12">
        <f>_xll.FDS("SPX","FG_PRICE(12/30/2017)")</f>
        <v>2673.61</v>
      </c>
      <c r="E324" s="15">
        <f>D324/C324-1</f>
        <v>0.2957554668114144</v>
      </c>
      <c r="F324" s="8" t="s">
        <v>4308</v>
      </c>
      <c r="G324" s="8" t="s">
        <v>4309</v>
      </c>
      <c r="H324" s="13">
        <f>_xll.FDS(G324,"FG_PRICE(12/30/2015)")</f>
        <v>123.95</v>
      </c>
      <c r="I324" s="13">
        <f>_xll.FDS(G324,"FG_PRICE(12/31/2017)")</f>
        <v>124.24</v>
      </c>
      <c r="J324" s="13">
        <f>I324/H324-1</f>
        <v>2.3396530859216558E-3</v>
      </c>
      <c r="K324" s="13">
        <f>J324-E324</f>
        <v>-0.29341581372549275</v>
      </c>
      <c r="L324" s="13">
        <f>_xll.FDS(G324,"FF_ROE(ANN_R,12/30/2015)")</f>
        <v>5.6567490611975408</v>
      </c>
      <c r="M324" s="8" t="s">
        <v>4310</v>
      </c>
      <c r="N324" s="4" t="s">
        <v>4311</v>
      </c>
      <c r="O324" s="4" t="s">
        <v>4312</v>
      </c>
      <c r="P324" s="4" t="s">
        <v>96</v>
      </c>
      <c r="Q324" s="4" t="s">
        <v>38</v>
      </c>
      <c r="R324" s="4" t="s">
        <v>61</v>
      </c>
      <c r="S324" s="4" t="s">
        <v>62</v>
      </c>
      <c r="T324" s="6" t="e">
        <v>#N/A</v>
      </c>
      <c r="U324" s="5">
        <v>61</v>
      </c>
      <c r="V324" s="5">
        <v>66</v>
      </c>
      <c r="W324" s="5">
        <v>55</v>
      </c>
      <c r="X324" s="5">
        <v>63</v>
      </c>
      <c r="Y324" s="5">
        <v>67.94</v>
      </c>
      <c r="Z324" s="5">
        <v>79.790000000000006</v>
      </c>
      <c r="AA324" s="5">
        <v>56.45</v>
      </c>
      <c r="AB324" s="5">
        <v>32.75</v>
      </c>
      <c r="AC324" s="6">
        <v>0.35</v>
      </c>
      <c r="AD324" s="6">
        <v>0.4</v>
      </c>
      <c r="AE324" s="6">
        <v>0.25</v>
      </c>
      <c r="AF324" s="4" t="s">
        <v>6296</v>
      </c>
      <c r="AG324" s="4" t="s">
        <v>6296</v>
      </c>
      <c r="AH324" s="4" t="s">
        <v>6296</v>
      </c>
      <c r="AI324" s="4" t="s">
        <v>42</v>
      </c>
      <c r="AJ324" s="4" t="s">
        <v>6296</v>
      </c>
      <c r="AK324" s="4" t="s">
        <v>37</v>
      </c>
      <c r="AL324" s="4" t="s">
        <v>6296</v>
      </c>
      <c r="AM324" s="4" t="s">
        <v>6296</v>
      </c>
      <c r="AN324" s="4" t="s">
        <v>6296</v>
      </c>
      <c r="AO324" s="4" t="s">
        <v>6296</v>
      </c>
      <c r="AP324" s="4" t="s">
        <v>4313</v>
      </c>
      <c r="AQ324" s="4" t="s">
        <v>47</v>
      </c>
    </row>
    <row r="325" spans="1:43" ht="12.6" customHeight="1" x14ac:dyDescent="0.25">
      <c r="A325" s="8" t="s">
        <v>897</v>
      </c>
      <c r="B325" s="9">
        <v>20151231</v>
      </c>
      <c r="C325" s="12">
        <f>_xll.FDS("SPX","FG_PRICE(12/30/2015)")</f>
        <v>2063.36</v>
      </c>
      <c r="D325" s="12">
        <f>_xll.FDS("SPX","FG_PRICE(12/30/2017)")</f>
        <v>2673.61</v>
      </c>
      <c r="E325" s="15">
        <f>D325/C325-1</f>
        <v>0.2957554668114144</v>
      </c>
      <c r="F325" s="8" t="s">
        <v>898</v>
      </c>
      <c r="G325" s="8" t="s">
        <v>899</v>
      </c>
      <c r="H325" s="13">
        <f>_xll.FDS(G325,"FG_PRICE(12/30/2015)")</f>
        <v>144.16999999999999</v>
      </c>
      <c r="I325" s="13">
        <f>_xll.FDS(G325,"FG_PRICE(12/31/2017)")</f>
        <v>228.57</v>
      </c>
      <c r="J325" s="13">
        <f>I325/H325-1</f>
        <v>0.58541999028924185</v>
      </c>
      <c r="K325" s="13">
        <f>J325-E325</f>
        <v>0.28966452347782745</v>
      </c>
      <c r="L325" s="13">
        <f>_xll.FDS(G325,"FF_ROE(ANN_R,12/30/2015)")</f>
        <v>15.611979166666661</v>
      </c>
      <c r="M325" s="8" t="s">
        <v>900</v>
      </c>
      <c r="N325" s="4" t="s">
        <v>901</v>
      </c>
      <c r="O325" s="4" t="s">
        <v>902</v>
      </c>
      <c r="P325" s="4" t="s">
        <v>96</v>
      </c>
      <c r="Q325" s="4" t="s">
        <v>38</v>
      </c>
      <c r="R325" s="4" t="s">
        <v>61</v>
      </c>
      <c r="S325" s="4" t="s">
        <v>62</v>
      </c>
      <c r="T325" s="6" t="e">
        <v>#N/A</v>
      </c>
      <c r="U325" s="5">
        <v>54</v>
      </c>
      <c r="V325" s="5">
        <v>47</v>
      </c>
      <c r="W325" s="5">
        <v>48</v>
      </c>
      <c r="X325" s="5">
        <v>74</v>
      </c>
      <c r="Y325" s="5">
        <v>50.52</v>
      </c>
      <c r="Z325" s="5">
        <v>44.95</v>
      </c>
      <c r="AA325" s="6">
        <v>9.76</v>
      </c>
      <c r="AB325" s="5">
        <v>85.71</v>
      </c>
      <c r="AC325" s="6">
        <v>0.35</v>
      </c>
      <c r="AD325" s="6">
        <v>0.4</v>
      </c>
      <c r="AE325" s="6">
        <v>0.25</v>
      </c>
      <c r="AF325" s="4" t="s">
        <v>6296</v>
      </c>
      <c r="AG325" s="4" t="s">
        <v>6296</v>
      </c>
      <c r="AH325" s="4" t="s">
        <v>6296</v>
      </c>
      <c r="AI325" s="4" t="s">
        <v>42</v>
      </c>
      <c r="AJ325" s="4" t="s">
        <v>6296</v>
      </c>
      <c r="AK325" s="4" t="s">
        <v>42</v>
      </c>
      <c r="AL325" s="4" t="s">
        <v>6296</v>
      </c>
      <c r="AM325" s="4" t="s">
        <v>6296</v>
      </c>
      <c r="AN325" s="4" t="s">
        <v>6296</v>
      </c>
      <c r="AO325" s="4" t="s">
        <v>6296</v>
      </c>
      <c r="AP325" s="4" t="s">
        <v>903</v>
      </c>
      <c r="AQ325" s="4" t="s">
        <v>47</v>
      </c>
    </row>
    <row r="326" spans="1:43" ht="12.6" customHeight="1" x14ac:dyDescent="0.25">
      <c r="A326" s="8" t="s">
        <v>4629</v>
      </c>
      <c r="B326" s="9">
        <v>20151231</v>
      </c>
      <c r="C326" s="12">
        <f>_xll.FDS("SPX","FG_PRICE(12/30/2015)")</f>
        <v>2063.36</v>
      </c>
      <c r="D326" s="12">
        <f>_xll.FDS("SPX","FG_PRICE(12/30/2017)")</f>
        <v>2673.61</v>
      </c>
      <c r="E326" s="15">
        <f>D326/C326-1</f>
        <v>0.2957554668114144</v>
      </c>
      <c r="F326" s="8" t="s">
        <v>4630</v>
      </c>
      <c r="G326" s="8" t="s">
        <v>4631</v>
      </c>
      <c r="H326" s="13">
        <f>_xll.FDS(G326,"FG_PRICE(12/30/2015)")</f>
        <v>94.54</v>
      </c>
      <c r="I326" s="13">
        <f>_xll.FDS(G326,"FG_PRICE(12/31/2017)")</f>
        <v>82.07</v>
      </c>
      <c r="J326" s="13">
        <f>I326/H326-1</f>
        <v>-0.13190184049079767</v>
      </c>
      <c r="K326" s="13">
        <f>J326-E326</f>
        <v>-0.42765730730221208</v>
      </c>
      <c r="L326" s="13">
        <f>_xll.FDS(G326,"FF_ROE(ANN_R,12/30/2015)")</f>
        <v>6.2234126358909716</v>
      </c>
      <c r="M326" s="8" t="s">
        <v>4632</v>
      </c>
      <c r="N326" s="4" t="s">
        <v>4633</v>
      </c>
      <c r="O326" s="4" t="s">
        <v>4525</v>
      </c>
      <c r="P326" s="4" t="s">
        <v>96</v>
      </c>
      <c r="Q326" s="4" t="s">
        <v>38</v>
      </c>
      <c r="R326" s="4" t="s">
        <v>61</v>
      </c>
      <c r="S326" s="4" t="s">
        <v>62</v>
      </c>
      <c r="T326" s="6" t="e">
        <v>#N/A</v>
      </c>
      <c r="U326" s="5">
        <v>71</v>
      </c>
      <c r="V326" s="5">
        <v>69</v>
      </c>
      <c r="W326" s="5">
        <v>69</v>
      </c>
      <c r="X326" s="5">
        <v>76</v>
      </c>
      <c r="Y326" s="5">
        <v>87.8</v>
      </c>
      <c r="Z326" s="5">
        <v>83.62</v>
      </c>
      <c r="AA326" s="5">
        <v>84.67</v>
      </c>
      <c r="AB326" s="5">
        <v>88.5</v>
      </c>
      <c r="AC326" s="6">
        <v>0.35</v>
      </c>
      <c r="AD326" s="6">
        <v>0.4</v>
      </c>
      <c r="AE326" s="6">
        <v>0.25</v>
      </c>
      <c r="AF326" s="4" t="s">
        <v>6296</v>
      </c>
      <c r="AG326" s="4" t="s">
        <v>6296</v>
      </c>
      <c r="AH326" s="4" t="s">
        <v>6296</v>
      </c>
      <c r="AI326" s="4" t="s">
        <v>42</v>
      </c>
      <c r="AJ326" s="4" t="s">
        <v>6296</v>
      </c>
      <c r="AK326" s="4" t="s">
        <v>42</v>
      </c>
      <c r="AL326" s="4" t="s">
        <v>42</v>
      </c>
      <c r="AM326" s="4" t="s">
        <v>6296</v>
      </c>
      <c r="AN326" s="4" t="s">
        <v>6296</v>
      </c>
      <c r="AO326" s="4" t="s">
        <v>6296</v>
      </c>
      <c r="AP326" s="4" t="s">
        <v>4634</v>
      </c>
      <c r="AQ326" s="4" t="s">
        <v>47</v>
      </c>
    </row>
    <row r="327" spans="1:43" ht="12.6" customHeight="1" x14ac:dyDescent="0.25">
      <c r="A327" s="8" t="s">
        <v>4108</v>
      </c>
      <c r="B327" s="9">
        <v>20151231</v>
      </c>
      <c r="C327" s="12">
        <f>_xll.FDS("SPX","FG_PRICE(12/30/2015)")</f>
        <v>2063.36</v>
      </c>
      <c r="D327" s="12">
        <f>_xll.FDS("SPX","FG_PRICE(12/30/2017)")</f>
        <v>2673.61</v>
      </c>
      <c r="E327" s="15">
        <f>D327/C327-1</f>
        <v>0.2957554668114144</v>
      </c>
      <c r="F327" s="8" t="s">
        <v>4109</v>
      </c>
      <c r="G327" s="8" t="s">
        <v>4110</v>
      </c>
      <c r="H327" s="13">
        <f>_xll.FDS(G327,"FG_PRICE(12/30/2015)")</f>
        <v>53.78</v>
      </c>
      <c r="I327" s="13">
        <f>_xll.FDS(G327,"FG_PRICE(12/31/2017)")</f>
        <v>81.069999999999993</v>
      </c>
      <c r="J327" s="13">
        <f>I327/H327-1</f>
        <v>0.50743770918557063</v>
      </c>
      <c r="K327" s="13">
        <f>J327-E327</f>
        <v>0.21168224237415623</v>
      </c>
      <c r="L327" s="13">
        <f>_xll.FDS(G327,"FF_ROE(ANN_R,12/30/2015)")</f>
        <v>13.13169366557236</v>
      </c>
      <c r="M327" s="8" t="s">
        <v>4111</v>
      </c>
      <c r="N327" s="4" t="s">
        <v>4112</v>
      </c>
      <c r="O327" s="4" t="s">
        <v>4113</v>
      </c>
      <c r="P327" s="4" t="s">
        <v>96</v>
      </c>
      <c r="Q327" s="4" t="s">
        <v>38</v>
      </c>
      <c r="R327" s="4" t="s">
        <v>61</v>
      </c>
      <c r="S327" s="4" t="s">
        <v>62</v>
      </c>
      <c r="T327" s="6" t="e">
        <v>#N/A</v>
      </c>
      <c r="U327" s="5">
        <v>51</v>
      </c>
      <c r="V327" s="5">
        <v>46</v>
      </c>
      <c r="W327" s="5">
        <v>48</v>
      </c>
      <c r="X327" s="5">
        <v>62</v>
      </c>
      <c r="Y327" s="5">
        <v>42.86</v>
      </c>
      <c r="Z327" s="5">
        <v>43.21</v>
      </c>
      <c r="AA327" s="6">
        <v>9.76</v>
      </c>
      <c r="AB327" s="5">
        <v>30.31</v>
      </c>
      <c r="AC327" s="6">
        <v>0.35</v>
      </c>
      <c r="AD327" s="6">
        <v>0.4</v>
      </c>
      <c r="AE327" s="6">
        <v>0.25</v>
      </c>
      <c r="AF327" s="4" t="s">
        <v>37</v>
      </c>
      <c r="AG327" s="4" t="s">
        <v>6296</v>
      </c>
      <c r="AH327" s="4" t="s">
        <v>6296</v>
      </c>
      <c r="AI327" s="4" t="s">
        <v>45</v>
      </c>
      <c r="AJ327" s="4" t="s">
        <v>6296</v>
      </c>
      <c r="AK327" s="4" t="s">
        <v>37</v>
      </c>
      <c r="AL327" s="4" t="s">
        <v>6296</v>
      </c>
      <c r="AM327" s="4" t="s">
        <v>37</v>
      </c>
      <c r="AN327" s="4" t="s">
        <v>37</v>
      </c>
      <c r="AO327" s="4" t="s">
        <v>6296</v>
      </c>
      <c r="AP327" s="4" t="s">
        <v>4114</v>
      </c>
      <c r="AQ327" s="4" t="s">
        <v>47</v>
      </c>
    </row>
    <row r="328" spans="1:43" ht="12.6" customHeight="1" x14ac:dyDescent="0.25">
      <c r="A328" s="8" t="s">
        <v>5550</v>
      </c>
      <c r="B328" s="9">
        <v>20151231</v>
      </c>
      <c r="C328" s="12">
        <f>_xll.FDS("SPX","FG_PRICE(12/30/2015)")</f>
        <v>2063.36</v>
      </c>
      <c r="D328" s="12">
        <f>_xll.FDS("SPX","FG_PRICE(12/30/2017)")</f>
        <v>2673.61</v>
      </c>
      <c r="E328" s="15">
        <f>D328/C328-1</f>
        <v>0.2957554668114144</v>
      </c>
      <c r="F328" s="8" t="s">
        <v>5551</v>
      </c>
      <c r="G328" s="8" t="s">
        <v>5552</v>
      </c>
      <c r="H328" s="13">
        <f>_xll.FDS(G328,"FG_PRICE(12/30/2015)")</f>
        <v>38.76</v>
      </c>
      <c r="I328" s="13" t="e">
        <f>_xll.FDS(G328,"FG_PRICE(12/31/2017)")</f>
        <v>#N/A</v>
      </c>
      <c r="J328" s="13" t="e">
        <f>I328/H328-1</f>
        <v>#N/A</v>
      </c>
      <c r="K328" s="13" t="e">
        <f>J328-E328</f>
        <v>#N/A</v>
      </c>
      <c r="L328" s="13">
        <f>_xll.FDS(G328,"FF_ROE(ANN_R,12/30/2015)")</f>
        <v>13.757614358911949</v>
      </c>
      <c r="M328" s="8" t="s">
        <v>5553</v>
      </c>
      <c r="N328" s="4" t="s">
        <v>5554</v>
      </c>
      <c r="O328" s="4" t="s">
        <v>5555</v>
      </c>
      <c r="P328" s="4" t="s">
        <v>96</v>
      </c>
      <c r="Q328" s="4" t="s">
        <v>38</v>
      </c>
      <c r="R328" s="4" t="s">
        <v>61</v>
      </c>
      <c r="S328" s="4" t="s">
        <v>62</v>
      </c>
      <c r="T328" s="6" t="e">
        <v>#N/A</v>
      </c>
      <c r="U328" s="5">
        <v>67</v>
      </c>
      <c r="V328" s="5">
        <v>73</v>
      </c>
      <c r="W328" s="5">
        <v>56</v>
      </c>
      <c r="X328" s="5">
        <v>76</v>
      </c>
      <c r="Y328" s="5">
        <v>81.53</v>
      </c>
      <c r="Z328" s="5">
        <v>90.59</v>
      </c>
      <c r="AA328" s="5">
        <v>59.93</v>
      </c>
      <c r="AB328" s="5">
        <v>88.5</v>
      </c>
      <c r="AC328" s="6">
        <v>0.35</v>
      </c>
      <c r="AD328" s="6">
        <v>0.4</v>
      </c>
      <c r="AE328" s="6">
        <v>0.25</v>
      </c>
      <c r="AF328" s="4" t="s">
        <v>6296</v>
      </c>
      <c r="AG328" s="4" t="s">
        <v>6296</v>
      </c>
      <c r="AH328" s="4" t="s">
        <v>6296</v>
      </c>
      <c r="AI328" s="4" t="s">
        <v>6296</v>
      </c>
      <c r="AJ328" s="4" t="s">
        <v>6296</v>
      </c>
      <c r="AK328" s="4" t="s">
        <v>42</v>
      </c>
      <c r="AL328" s="4" t="s">
        <v>6296</v>
      </c>
      <c r="AM328" s="4" t="s">
        <v>6296</v>
      </c>
      <c r="AN328" s="4" t="s">
        <v>6296</v>
      </c>
      <c r="AO328" s="4" t="s">
        <v>6296</v>
      </c>
      <c r="AP328" s="4" t="s">
        <v>5556</v>
      </c>
      <c r="AQ328" s="4" t="s">
        <v>47</v>
      </c>
    </row>
    <row r="329" spans="1:43" ht="12.6" customHeight="1" x14ac:dyDescent="0.25">
      <c r="A329" s="8" t="s">
        <v>3224</v>
      </c>
      <c r="B329" s="9">
        <v>20151231</v>
      </c>
      <c r="C329" s="12">
        <f>_xll.FDS("SPX","FG_PRICE(12/30/2015)")</f>
        <v>2063.36</v>
      </c>
      <c r="D329" s="12">
        <f>_xll.FDS("SPX","FG_PRICE(12/30/2017)")</f>
        <v>2673.61</v>
      </c>
      <c r="E329" s="15">
        <f>D329/C329-1</f>
        <v>0.2957554668114144</v>
      </c>
      <c r="F329" s="8" t="s">
        <v>3225</v>
      </c>
      <c r="G329" s="8" t="s">
        <v>3226</v>
      </c>
      <c r="H329" s="13">
        <f>_xll.FDS(G329,"FG_PRICE(12/30/2015)")</f>
        <v>162.71</v>
      </c>
      <c r="I329" s="13">
        <f>_xll.FDS(G329,"FG_PRICE(12/31/2017)")</f>
        <v>186.12</v>
      </c>
      <c r="J329" s="13">
        <f>I329/H329-1</f>
        <v>0.14387560690799583</v>
      </c>
      <c r="K329" s="13">
        <f>J329-E329</f>
        <v>-0.15187985990341857</v>
      </c>
      <c r="L329" s="13">
        <f>_xll.FDS(G329,"FF_ROE(ANN_R,12/30/2015)")</f>
        <v>20.741710296684118</v>
      </c>
      <c r="M329" s="8" t="s">
        <v>3227</v>
      </c>
      <c r="N329" s="4" t="s">
        <v>3227</v>
      </c>
      <c r="O329" s="4" t="s">
        <v>3228</v>
      </c>
      <c r="P329" s="4" t="s">
        <v>106</v>
      </c>
      <c r="Q329" s="4" t="s">
        <v>60</v>
      </c>
      <c r="R329" s="4" t="s">
        <v>61</v>
      </c>
      <c r="S329" s="4" t="s">
        <v>62</v>
      </c>
      <c r="T329" s="6" t="e">
        <v>#N/A</v>
      </c>
      <c r="U329" s="5">
        <v>53</v>
      </c>
      <c r="V329" s="5">
        <v>50</v>
      </c>
      <c r="W329" s="5">
        <v>52</v>
      </c>
      <c r="X329" s="5">
        <v>58</v>
      </c>
      <c r="Y329" s="5">
        <v>30.95</v>
      </c>
      <c r="Z329" s="5">
        <v>36.9</v>
      </c>
      <c r="AA329" s="5">
        <v>21.43</v>
      </c>
      <c r="AB329" s="5">
        <v>27.38</v>
      </c>
      <c r="AC329" s="6">
        <v>0.35</v>
      </c>
      <c r="AD329" s="6">
        <v>0.4</v>
      </c>
      <c r="AE329" s="6">
        <v>0.25</v>
      </c>
      <c r="AF329" s="4" t="s">
        <v>37</v>
      </c>
      <c r="AG329" s="4" t="s">
        <v>42</v>
      </c>
      <c r="AH329" s="4" t="s">
        <v>6296</v>
      </c>
      <c r="AI329" s="4" t="s">
        <v>37</v>
      </c>
      <c r="AJ329" s="4" t="s">
        <v>46</v>
      </c>
      <c r="AK329" s="4" t="s">
        <v>37</v>
      </c>
      <c r="AL329" s="4" t="s">
        <v>6296</v>
      </c>
      <c r="AM329" s="4" t="s">
        <v>6296</v>
      </c>
      <c r="AN329" s="4" t="s">
        <v>42</v>
      </c>
      <c r="AO329" s="4" t="s">
        <v>6296</v>
      </c>
      <c r="AP329" s="4" t="s">
        <v>3229</v>
      </c>
      <c r="AQ329" s="4" t="s">
        <v>47</v>
      </c>
    </row>
    <row r="330" spans="1:43" ht="12.6" customHeight="1" x14ac:dyDescent="0.25">
      <c r="A330" s="8" t="s">
        <v>2671</v>
      </c>
      <c r="B330" s="9">
        <v>20151231</v>
      </c>
      <c r="C330" s="12">
        <f>_xll.FDS("SPX","FG_PRICE(12/30/2015)")</f>
        <v>2063.36</v>
      </c>
      <c r="D330" s="12">
        <f>_xll.FDS("SPX","FG_PRICE(12/30/2017)")</f>
        <v>2673.61</v>
      </c>
      <c r="E330" s="15">
        <f>D330/C330-1</f>
        <v>0.2957554668114144</v>
      </c>
      <c r="F330" s="8" t="s">
        <v>2672</v>
      </c>
      <c r="G330" s="8" t="s">
        <v>2673</v>
      </c>
      <c r="H330" s="13">
        <f>_xll.FDS(G330,"FG_PRICE(12/30/2015)")</f>
        <v>98.74</v>
      </c>
      <c r="I330" s="13">
        <f>_xll.FDS(G330,"FG_PRICE(12/31/2017)")</f>
        <v>72.5</v>
      </c>
      <c r="J330" s="13">
        <f>I330/H330-1</f>
        <v>-0.26574843022078176</v>
      </c>
      <c r="K330" s="13">
        <f>J330-E330</f>
        <v>-0.56150389703219616</v>
      </c>
      <c r="L330" s="13">
        <f>_xll.FDS(G330,"FF_ROE(ANN_R,12/30/2015)")</f>
        <v>12.193000948666599</v>
      </c>
      <c r="M330" s="8" t="s">
        <v>2674</v>
      </c>
      <c r="N330" s="4" t="s">
        <v>2674</v>
      </c>
      <c r="O330" s="4" t="s">
        <v>2675</v>
      </c>
      <c r="P330" s="4" t="s">
        <v>96</v>
      </c>
      <c r="Q330" s="4" t="s">
        <v>60</v>
      </c>
      <c r="R330" s="4" t="s">
        <v>61</v>
      </c>
      <c r="S330" s="4" t="s">
        <v>62</v>
      </c>
      <c r="T330" s="6" t="e">
        <v>#N/A</v>
      </c>
      <c r="U330" s="5">
        <v>64</v>
      </c>
      <c r="V330" s="5">
        <v>58</v>
      </c>
      <c r="W330" s="5">
        <v>63</v>
      </c>
      <c r="X330" s="5">
        <v>76</v>
      </c>
      <c r="Y330" s="5">
        <v>60.71</v>
      </c>
      <c r="Z330" s="5">
        <v>52.38</v>
      </c>
      <c r="AA330" s="5">
        <v>63.1</v>
      </c>
      <c r="AB330" s="5">
        <v>91.67</v>
      </c>
      <c r="AC330" s="6">
        <v>0.35</v>
      </c>
      <c r="AD330" s="6">
        <v>0.4</v>
      </c>
      <c r="AE330" s="6">
        <v>0.25</v>
      </c>
      <c r="AF330" s="4" t="s">
        <v>37</v>
      </c>
      <c r="AG330" s="4" t="s">
        <v>42</v>
      </c>
      <c r="AH330" s="4" t="s">
        <v>6296</v>
      </c>
      <c r="AI330" s="4" t="s">
        <v>42</v>
      </c>
      <c r="AJ330" s="4" t="s">
        <v>42</v>
      </c>
      <c r="AK330" s="4" t="s">
        <v>37</v>
      </c>
      <c r="AL330" s="4" t="s">
        <v>6296</v>
      </c>
      <c r="AM330" s="4" t="s">
        <v>37</v>
      </c>
      <c r="AN330" s="4" t="s">
        <v>37</v>
      </c>
      <c r="AO330" s="4" t="s">
        <v>6296</v>
      </c>
      <c r="AP330" s="4" t="s">
        <v>2676</v>
      </c>
      <c r="AQ330" s="4" t="s">
        <v>47</v>
      </c>
    </row>
    <row r="331" spans="1:43" ht="12.6" customHeight="1" x14ac:dyDescent="0.25">
      <c r="A331" s="8" t="s">
        <v>2333</v>
      </c>
      <c r="B331" s="9">
        <v>20151231</v>
      </c>
      <c r="C331" s="12">
        <f>_xll.FDS("SPX","FG_PRICE(12/30/2015)")</f>
        <v>2063.36</v>
      </c>
      <c r="D331" s="12">
        <f>_xll.FDS("SPX","FG_PRICE(12/30/2017)")</f>
        <v>2673.61</v>
      </c>
      <c r="E331" s="15">
        <f>D331/C331-1</f>
        <v>0.2957554668114144</v>
      </c>
      <c r="F331" s="8" t="s">
        <v>2334</v>
      </c>
      <c r="G331" s="8" t="s">
        <v>2335</v>
      </c>
      <c r="H331" s="13">
        <f>_xll.FDS(G331,"FG_PRICE(12/30/2015)")</f>
        <v>42.31</v>
      </c>
      <c r="I331" s="13">
        <f>_xll.FDS(G331,"FG_PRICE(12/31/2017)")</f>
        <v>27.45</v>
      </c>
      <c r="J331" s="13">
        <f>I331/H331-1</f>
        <v>-0.35121720633419995</v>
      </c>
      <c r="K331" s="13">
        <f>J331-E331</f>
        <v>-0.64697267314561435</v>
      </c>
      <c r="L331" s="13">
        <f>_xll.FDS(G331,"FF_ROE(ANN_R,12/30/2015)")</f>
        <v>31.696924786958132</v>
      </c>
      <c r="M331" s="8" t="s">
        <v>2336</v>
      </c>
      <c r="N331" s="4" t="s">
        <v>2337</v>
      </c>
      <c r="O331" s="4" t="s">
        <v>2338</v>
      </c>
      <c r="P331" s="4" t="s">
        <v>96</v>
      </c>
      <c r="Q331" s="4" t="s">
        <v>60</v>
      </c>
      <c r="R331" s="4" t="s">
        <v>61</v>
      </c>
      <c r="S331" s="4" t="s">
        <v>62</v>
      </c>
      <c r="T331" s="6" t="e">
        <v>#N/A</v>
      </c>
      <c r="U331" s="5">
        <v>64</v>
      </c>
      <c r="V331" s="5">
        <v>62</v>
      </c>
      <c r="W331" s="5">
        <v>61</v>
      </c>
      <c r="X331" s="5">
        <v>73</v>
      </c>
      <c r="Y331" s="5">
        <v>60.71</v>
      </c>
      <c r="Z331" s="5">
        <v>60.71</v>
      </c>
      <c r="AA331" s="5">
        <v>58.33</v>
      </c>
      <c r="AB331" s="5">
        <v>85.71</v>
      </c>
      <c r="AC331" s="6">
        <v>0.35</v>
      </c>
      <c r="AD331" s="6">
        <v>0.4</v>
      </c>
      <c r="AE331" s="6">
        <v>0.25</v>
      </c>
      <c r="AF331" s="4" t="s">
        <v>6296</v>
      </c>
      <c r="AG331" s="4" t="s">
        <v>6296</v>
      </c>
      <c r="AH331" s="4" t="s">
        <v>6296</v>
      </c>
      <c r="AI331" s="4" t="s">
        <v>37</v>
      </c>
      <c r="AJ331" s="4" t="s">
        <v>42</v>
      </c>
      <c r="AK331" s="4" t="s">
        <v>37</v>
      </c>
      <c r="AL331" s="4" t="s">
        <v>42</v>
      </c>
      <c r="AM331" s="4" t="s">
        <v>42</v>
      </c>
      <c r="AN331" s="4" t="s">
        <v>42</v>
      </c>
      <c r="AO331" s="4" t="s">
        <v>6296</v>
      </c>
      <c r="AP331" s="4" t="s">
        <v>2339</v>
      </c>
      <c r="AQ331" s="4" t="s">
        <v>47</v>
      </c>
    </row>
    <row r="332" spans="1:43" ht="12.6" customHeight="1" x14ac:dyDescent="0.25">
      <c r="A332" s="8" t="s">
        <v>3402</v>
      </c>
      <c r="B332" s="9">
        <v>20151231</v>
      </c>
      <c r="C332" s="12">
        <f>_xll.FDS("SPX","FG_PRICE(12/30/2015)")</f>
        <v>2063.36</v>
      </c>
      <c r="D332" s="12">
        <f>_xll.FDS("SPX","FG_PRICE(12/30/2017)")</f>
        <v>2673.61</v>
      </c>
      <c r="E332" s="15">
        <f>D332/C332-1</f>
        <v>0.2957554668114144</v>
      </c>
      <c r="F332" s="8" t="s">
        <v>3403</v>
      </c>
      <c r="G332" s="8" t="s">
        <v>3404</v>
      </c>
      <c r="H332" s="13">
        <f>_xll.FDS(G332,"FG_PRICE(12/30/2015)")</f>
        <v>7.84</v>
      </c>
      <c r="I332" s="13">
        <f>_xll.FDS(G332,"FG_PRICE(12/31/2017)")</f>
        <v>1.97</v>
      </c>
      <c r="J332" s="13">
        <f>I332/H332-1</f>
        <v>-0.74872448979591844</v>
      </c>
      <c r="K332" s="13">
        <f>J332-E332</f>
        <v>-1.0444799566073328</v>
      </c>
      <c r="L332" s="13" t="e">
        <f>_xll.FDS(G332,"FF_ROE(ANN_R,12/30/2015)")</f>
        <v>#N/A</v>
      </c>
      <c r="M332" s="8" t="s">
        <v>3405</v>
      </c>
      <c r="N332" s="4" t="s">
        <v>3406</v>
      </c>
      <c r="O332" s="4" t="s">
        <v>3407</v>
      </c>
      <c r="P332" s="4" t="s">
        <v>96</v>
      </c>
      <c r="Q332" s="4" t="s">
        <v>60</v>
      </c>
      <c r="R332" s="4" t="s">
        <v>61</v>
      </c>
      <c r="S332" s="4" t="s">
        <v>62</v>
      </c>
      <c r="T332" s="6" t="e">
        <v>#N/A</v>
      </c>
      <c r="U332" s="5">
        <v>44</v>
      </c>
      <c r="V332" s="5">
        <v>43</v>
      </c>
      <c r="W332" s="5">
        <v>39</v>
      </c>
      <c r="X332" s="5">
        <v>54</v>
      </c>
      <c r="Y332" s="6">
        <v>0</v>
      </c>
      <c r="Z332" s="5">
        <v>21.43</v>
      </c>
      <c r="AA332" s="6">
        <v>0</v>
      </c>
      <c r="AB332" s="5">
        <v>13.1</v>
      </c>
      <c r="AC332" s="6">
        <v>0.35</v>
      </c>
      <c r="AD332" s="6">
        <v>0.4</v>
      </c>
      <c r="AE332" s="6">
        <v>0.25</v>
      </c>
      <c r="AF332" s="4" t="s">
        <v>6296</v>
      </c>
      <c r="AG332" s="4" t="s">
        <v>42</v>
      </c>
      <c r="AH332" s="4" t="s">
        <v>6296</v>
      </c>
      <c r="AI332" s="4" t="s">
        <v>46</v>
      </c>
      <c r="AJ332" s="4" t="s">
        <v>6296</v>
      </c>
      <c r="AK332" s="4" t="s">
        <v>37</v>
      </c>
      <c r="AL332" s="4" t="s">
        <v>6296</v>
      </c>
      <c r="AM332" s="4" t="s">
        <v>37</v>
      </c>
      <c r="AN332" s="4" t="s">
        <v>6296</v>
      </c>
      <c r="AO332" s="4" t="s">
        <v>6296</v>
      </c>
      <c r="AP332" s="4" t="s">
        <v>3408</v>
      </c>
      <c r="AQ332" s="4" t="s">
        <v>47</v>
      </c>
    </row>
    <row r="333" spans="1:43" ht="12.6" customHeight="1" x14ac:dyDescent="0.25">
      <c r="A333" s="8" t="s">
        <v>5721</v>
      </c>
      <c r="B333" s="9">
        <v>20151231</v>
      </c>
      <c r="C333" s="12">
        <f>_xll.FDS("SPX","FG_PRICE(12/30/2015)")</f>
        <v>2063.36</v>
      </c>
      <c r="D333" s="12">
        <f>_xll.FDS("SPX","FG_PRICE(12/30/2017)")</f>
        <v>2673.61</v>
      </c>
      <c r="E333" s="15">
        <f>D333/C333-1</f>
        <v>0.2957554668114144</v>
      </c>
      <c r="F333" s="8" t="s">
        <v>5722</v>
      </c>
      <c r="G333" s="8" t="s">
        <v>5723</v>
      </c>
      <c r="H333" s="13">
        <f>_xll.FDS(G333,"FG_PRICE(12/30/2015)")</f>
        <v>26.63</v>
      </c>
      <c r="I333" s="13">
        <f>_xll.FDS(G333,"FG_PRICE(12/31/2017)")</f>
        <v>24.35</v>
      </c>
      <c r="J333" s="13">
        <f>I333/H333-1</f>
        <v>-8.5617724371010007E-2</v>
      </c>
      <c r="K333" s="13">
        <f>J333-E333</f>
        <v>-0.38137319118242441</v>
      </c>
      <c r="L333" s="13">
        <f>_xll.FDS(G333,"FF_ROE(ANN_R,12/30/2015)")</f>
        <v>17.961239534340709</v>
      </c>
      <c r="M333" s="8" t="s">
        <v>5724</v>
      </c>
      <c r="N333" s="4" t="s">
        <v>5725</v>
      </c>
      <c r="O333" s="4" t="s">
        <v>5726</v>
      </c>
      <c r="P333" s="4" t="s">
        <v>106</v>
      </c>
      <c r="Q333" s="4" t="s">
        <v>60</v>
      </c>
      <c r="R333" s="4" t="s">
        <v>61</v>
      </c>
      <c r="S333" s="4" t="s">
        <v>62</v>
      </c>
      <c r="T333" s="6" t="e">
        <v>#N/A</v>
      </c>
      <c r="U333" s="5">
        <v>53</v>
      </c>
      <c r="V333" s="5">
        <v>44</v>
      </c>
      <c r="W333" s="5">
        <v>54</v>
      </c>
      <c r="X333" s="5">
        <v>64</v>
      </c>
      <c r="Y333" s="5">
        <v>30.95</v>
      </c>
      <c r="Z333" s="5">
        <v>25</v>
      </c>
      <c r="AA333" s="5">
        <v>28.57</v>
      </c>
      <c r="AB333" s="5">
        <v>55.95</v>
      </c>
      <c r="AC333" s="6">
        <v>0.35</v>
      </c>
      <c r="AD333" s="6">
        <v>0.4</v>
      </c>
      <c r="AE333" s="6">
        <v>0.25</v>
      </c>
      <c r="AF333" s="4" t="s">
        <v>6296</v>
      </c>
      <c r="AG333" s="4" t="s">
        <v>6296</v>
      </c>
      <c r="AH333" s="4" t="s">
        <v>6296</v>
      </c>
      <c r="AI333" s="4" t="s">
        <v>6296</v>
      </c>
      <c r="AJ333" s="4" t="s">
        <v>6296</v>
      </c>
      <c r="AK333" s="4" t="s">
        <v>42</v>
      </c>
      <c r="AL333" s="4" t="s">
        <v>42</v>
      </c>
      <c r="AM333" s="4" t="s">
        <v>6296</v>
      </c>
      <c r="AN333" s="4" t="s">
        <v>6296</v>
      </c>
      <c r="AO333" s="4" t="s">
        <v>6296</v>
      </c>
      <c r="AP333" s="4" t="s">
        <v>5727</v>
      </c>
      <c r="AQ333" s="4" t="s">
        <v>47</v>
      </c>
    </row>
    <row r="334" spans="1:43" ht="12.6" customHeight="1" x14ac:dyDescent="0.25">
      <c r="A334" s="8" t="s">
        <v>3879</v>
      </c>
      <c r="B334" s="9">
        <v>20151231</v>
      </c>
      <c r="C334" s="12">
        <f>_xll.FDS("SPX","FG_PRICE(12/30/2015)")</f>
        <v>2063.36</v>
      </c>
      <c r="D334" s="12">
        <f>_xll.FDS("SPX","FG_PRICE(12/30/2017)")</f>
        <v>2673.61</v>
      </c>
      <c r="E334" s="15">
        <f>D334/C334-1</f>
        <v>0.2957554668114144</v>
      </c>
      <c r="F334" s="8" t="s">
        <v>3880</v>
      </c>
      <c r="G334" s="8" t="s">
        <v>3881</v>
      </c>
      <c r="H334" s="13">
        <f>_xll.FDS(G334,"FG_PRICE(12/30/2015)")</f>
        <v>47.39</v>
      </c>
      <c r="I334" s="13">
        <f>_xll.FDS(G334,"FG_PRICE(12/31/2017)")</f>
        <v>21.6</v>
      </c>
      <c r="J334" s="13">
        <f>I334/H334-1</f>
        <v>-0.54420763874235067</v>
      </c>
      <c r="K334" s="13">
        <f>J334-E334</f>
        <v>-0.83996310555376508</v>
      </c>
      <c r="L334" s="13" t="e">
        <f>_xll.FDS(G334,"FF_ROE(ANN_R,12/30/2015)")</f>
        <v>#N/A</v>
      </c>
      <c r="M334" s="8" t="s">
        <v>3882</v>
      </c>
      <c r="N334" s="4" t="s">
        <v>3883</v>
      </c>
      <c r="O334" s="4" t="s">
        <v>3884</v>
      </c>
      <c r="P334" s="4" t="s">
        <v>96</v>
      </c>
      <c r="Q334" s="4" t="s">
        <v>60</v>
      </c>
      <c r="R334" s="4" t="s">
        <v>61</v>
      </c>
      <c r="S334" s="4" t="s">
        <v>62</v>
      </c>
      <c r="T334" s="6" t="e">
        <v>#N/A</v>
      </c>
      <c r="U334" s="5">
        <v>54</v>
      </c>
      <c r="V334" s="5">
        <v>53</v>
      </c>
      <c r="W334" s="5">
        <v>51</v>
      </c>
      <c r="X334" s="5">
        <v>60</v>
      </c>
      <c r="Y334" s="5">
        <v>34.520000000000003</v>
      </c>
      <c r="Z334" s="5">
        <v>42.86</v>
      </c>
      <c r="AA334" s="5">
        <v>17.86</v>
      </c>
      <c r="AB334" s="5">
        <v>36.9</v>
      </c>
      <c r="AC334" s="6">
        <v>0.35</v>
      </c>
      <c r="AD334" s="6">
        <v>0.4</v>
      </c>
      <c r="AE334" s="6">
        <v>0.25</v>
      </c>
      <c r="AF334" s="4" t="s">
        <v>42</v>
      </c>
      <c r="AG334" s="4" t="s">
        <v>6296</v>
      </c>
      <c r="AH334" s="4" t="s">
        <v>6296</v>
      </c>
      <c r="AI334" s="4" t="s">
        <v>37</v>
      </c>
      <c r="AJ334" s="4" t="s">
        <v>6296</v>
      </c>
      <c r="AK334" s="4" t="s">
        <v>37</v>
      </c>
      <c r="AL334" s="4" t="s">
        <v>6296</v>
      </c>
      <c r="AM334" s="4" t="s">
        <v>6296</v>
      </c>
      <c r="AN334" s="4" t="s">
        <v>6296</v>
      </c>
      <c r="AO334" s="4" t="s">
        <v>6296</v>
      </c>
      <c r="AP334" s="4" t="s">
        <v>3885</v>
      </c>
      <c r="AQ334" s="4" t="s">
        <v>47</v>
      </c>
    </row>
    <row r="335" spans="1:43" ht="12.6" customHeight="1" x14ac:dyDescent="0.25">
      <c r="A335" s="8" t="s">
        <v>3900</v>
      </c>
      <c r="B335" s="9">
        <v>20151231</v>
      </c>
      <c r="C335" s="12">
        <f>_xll.FDS("SPX","FG_PRICE(12/30/2015)")</f>
        <v>2063.36</v>
      </c>
      <c r="D335" s="12">
        <f>_xll.FDS("SPX","FG_PRICE(12/30/2017)")</f>
        <v>2673.61</v>
      </c>
      <c r="E335" s="15">
        <f>D335/C335-1</f>
        <v>0.2957554668114144</v>
      </c>
      <c r="F335" s="8" t="s">
        <v>3901</v>
      </c>
      <c r="G335" s="8" t="s">
        <v>3902</v>
      </c>
      <c r="H335" s="13">
        <f>_xll.FDS(G335,"FG_PRICE(12/30/2015)")</f>
        <v>41.46</v>
      </c>
      <c r="I335" s="13">
        <f>_xll.FDS(G335,"FG_PRICE(12/31/2017)")</f>
        <v>60.73</v>
      </c>
      <c r="J335" s="13">
        <f>I335/H335-1</f>
        <v>0.46478533526290389</v>
      </c>
      <c r="K335" s="13">
        <f>J335-E335</f>
        <v>0.16902986845148948</v>
      </c>
      <c r="L335" s="13">
        <f>_xll.FDS(G335,"FF_ROE(ANN_R,12/30/2015)")</f>
        <v>13.04793928783911</v>
      </c>
      <c r="M335" s="8" t="s">
        <v>3903</v>
      </c>
      <c r="N335" s="4" t="s">
        <v>3903</v>
      </c>
      <c r="O335" s="4" t="s">
        <v>3904</v>
      </c>
      <c r="P335" s="4" t="s">
        <v>96</v>
      </c>
      <c r="Q335" s="4" t="s">
        <v>60</v>
      </c>
      <c r="R335" s="4" t="s">
        <v>61</v>
      </c>
      <c r="S335" s="4" t="s">
        <v>62</v>
      </c>
      <c r="T335" s="6" t="e">
        <v>#N/A</v>
      </c>
      <c r="U335" s="5">
        <v>65</v>
      </c>
      <c r="V335" s="5">
        <v>63</v>
      </c>
      <c r="W335" s="5">
        <v>59</v>
      </c>
      <c r="X335" s="5">
        <v>76</v>
      </c>
      <c r="Y335" s="5">
        <v>67.86</v>
      </c>
      <c r="Z335" s="5">
        <v>61.9</v>
      </c>
      <c r="AA335" s="5">
        <v>50</v>
      </c>
      <c r="AB335" s="5">
        <v>91.67</v>
      </c>
      <c r="AC335" s="6">
        <v>0.35</v>
      </c>
      <c r="AD335" s="6">
        <v>0.4</v>
      </c>
      <c r="AE335" s="6">
        <v>0.25</v>
      </c>
      <c r="AF335" s="4" t="s">
        <v>6296</v>
      </c>
      <c r="AG335" s="4" t="s">
        <v>6296</v>
      </c>
      <c r="AH335" s="4" t="s">
        <v>6296</v>
      </c>
      <c r="AI335" s="4" t="s">
        <v>37</v>
      </c>
      <c r="AJ335" s="4" t="s">
        <v>37</v>
      </c>
      <c r="AK335" s="4" t="s">
        <v>37</v>
      </c>
      <c r="AL335" s="4" t="s">
        <v>6296</v>
      </c>
      <c r="AM335" s="4" t="s">
        <v>6296</v>
      </c>
      <c r="AN335" s="4" t="s">
        <v>6296</v>
      </c>
      <c r="AO335" s="4" t="s">
        <v>6296</v>
      </c>
      <c r="AP335" s="4" t="s">
        <v>3905</v>
      </c>
      <c r="AQ335" s="4" t="s">
        <v>47</v>
      </c>
    </row>
    <row r="336" spans="1:43" ht="12.6" customHeight="1" x14ac:dyDescent="0.25">
      <c r="A336" s="8" t="s">
        <v>4050</v>
      </c>
      <c r="B336" s="9">
        <v>20151231</v>
      </c>
      <c r="C336" s="12">
        <f>_xll.FDS("SPX","FG_PRICE(12/30/2015)")</f>
        <v>2063.36</v>
      </c>
      <c r="D336" s="12">
        <f>_xll.FDS("SPX","FG_PRICE(12/30/2017)")</f>
        <v>2673.61</v>
      </c>
      <c r="E336" s="15">
        <f>D336/C336-1</f>
        <v>0.2957554668114144</v>
      </c>
      <c r="F336" s="8" t="s">
        <v>4051</v>
      </c>
      <c r="G336" s="8" t="s">
        <v>4052</v>
      </c>
      <c r="H336" s="13">
        <f>_xll.FDS(G336,"FG_PRICE(12/30/2015)")</f>
        <v>39.799999999999997</v>
      </c>
      <c r="I336" s="13">
        <f>_xll.FDS(G336,"FG_PRICE(12/31/2017)")</f>
        <v>49.27</v>
      </c>
      <c r="J336" s="13">
        <f>I336/H336-1</f>
        <v>0.23793969849246244</v>
      </c>
      <c r="K336" s="13">
        <f>J336-E336</f>
        <v>-5.7815768318951966E-2</v>
      </c>
      <c r="L336" s="13">
        <f>_xll.FDS(G336,"FF_ROE(ANN_R,12/30/2015)")</f>
        <v>10.554540554460671</v>
      </c>
      <c r="M336" s="8" t="s">
        <v>4053</v>
      </c>
      <c r="N336" s="4" t="s">
        <v>4054</v>
      </c>
      <c r="O336" s="4" t="s">
        <v>4055</v>
      </c>
      <c r="P336" s="4" t="s">
        <v>106</v>
      </c>
      <c r="Q336" s="4" t="s">
        <v>60</v>
      </c>
      <c r="R336" s="4" t="s">
        <v>61</v>
      </c>
      <c r="S336" s="4" t="s">
        <v>62</v>
      </c>
      <c r="T336" s="6" t="e">
        <v>#N/A</v>
      </c>
      <c r="U336" s="5">
        <v>63</v>
      </c>
      <c r="V336" s="5">
        <v>66</v>
      </c>
      <c r="W336" s="5">
        <v>60</v>
      </c>
      <c r="X336" s="5">
        <v>65</v>
      </c>
      <c r="Y336" s="5">
        <v>58.33</v>
      </c>
      <c r="Z336" s="5">
        <v>67.86</v>
      </c>
      <c r="AA336" s="5">
        <v>55.95</v>
      </c>
      <c r="AB336" s="5">
        <v>60.71</v>
      </c>
      <c r="AC336" s="6">
        <v>0.35</v>
      </c>
      <c r="AD336" s="6">
        <v>0.4</v>
      </c>
      <c r="AE336" s="6">
        <v>0.25</v>
      </c>
      <c r="AF336" s="4" t="s">
        <v>6296</v>
      </c>
      <c r="AG336" s="4" t="s">
        <v>6296</v>
      </c>
      <c r="AH336" s="4" t="s">
        <v>6296</v>
      </c>
      <c r="AI336" s="4" t="s">
        <v>37</v>
      </c>
      <c r="AJ336" s="4" t="s">
        <v>6296</v>
      </c>
      <c r="AK336" s="4" t="s">
        <v>42</v>
      </c>
      <c r="AL336" s="4" t="s">
        <v>42</v>
      </c>
      <c r="AM336" s="4" t="s">
        <v>6296</v>
      </c>
      <c r="AN336" s="4" t="s">
        <v>6296</v>
      </c>
      <c r="AO336" s="4" t="s">
        <v>6296</v>
      </c>
      <c r="AP336" s="4" t="s">
        <v>4056</v>
      </c>
      <c r="AQ336" s="4" t="s">
        <v>47</v>
      </c>
    </row>
    <row r="337" spans="1:43" ht="12.6" customHeight="1" x14ac:dyDescent="0.25">
      <c r="A337" s="8" t="s">
        <v>6047</v>
      </c>
      <c r="B337" s="9">
        <v>20151231</v>
      </c>
      <c r="C337" s="12">
        <f>_xll.FDS("SPX","FG_PRICE(12/30/2015)")</f>
        <v>2063.36</v>
      </c>
      <c r="D337" s="12">
        <f>_xll.FDS("SPX","FG_PRICE(12/30/2017)")</f>
        <v>2673.61</v>
      </c>
      <c r="E337" s="15">
        <f>D337/C337-1</f>
        <v>0.2957554668114144</v>
      </c>
      <c r="F337" s="8" t="s">
        <v>6048</v>
      </c>
      <c r="G337" s="8" t="s">
        <v>6049</v>
      </c>
      <c r="H337" s="13">
        <f>_xll.FDS(G337,"FG_PRICE(12/30/2015)")</f>
        <v>86.39</v>
      </c>
      <c r="I337" s="13">
        <f>_xll.FDS(G337,"FG_PRICE(12/31/2017)")</f>
        <v>72.62</v>
      </c>
      <c r="J337" s="13">
        <f>I337/H337-1</f>
        <v>-0.15939344831577729</v>
      </c>
      <c r="K337" s="13">
        <f>J337-E337</f>
        <v>-0.45514891512719169</v>
      </c>
      <c r="L337" s="13">
        <f>_xll.FDS(G337,"FF_ROE(ANN_R,12/30/2015)")</f>
        <v>16.444227959084269</v>
      </c>
      <c r="M337" s="8" t="s">
        <v>6050</v>
      </c>
      <c r="N337" s="4" t="s">
        <v>6051</v>
      </c>
      <c r="O337" s="4" t="s">
        <v>4526</v>
      </c>
      <c r="P337" s="4" t="s">
        <v>106</v>
      </c>
      <c r="Q337" s="4" t="s">
        <v>60</v>
      </c>
      <c r="R337" s="4" t="s">
        <v>61</v>
      </c>
      <c r="S337" s="4" t="s">
        <v>62</v>
      </c>
      <c r="T337" s="6" t="e">
        <v>#N/A</v>
      </c>
      <c r="U337" s="5">
        <v>54</v>
      </c>
      <c r="V337" s="5">
        <v>50</v>
      </c>
      <c r="W337" s="5">
        <v>56</v>
      </c>
      <c r="X337" s="5">
        <v>55</v>
      </c>
      <c r="Y337" s="5">
        <v>34.520000000000003</v>
      </c>
      <c r="Z337" s="5">
        <v>36.9</v>
      </c>
      <c r="AA337" s="5">
        <v>42.86</v>
      </c>
      <c r="AB337" s="5">
        <v>17.86</v>
      </c>
      <c r="AC337" s="6">
        <v>0.35</v>
      </c>
      <c r="AD337" s="6">
        <v>0.4</v>
      </c>
      <c r="AE337" s="6">
        <v>0.25</v>
      </c>
      <c r="AF337" s="4" t="s">
        <v>37</v>
      </c>
      <c r="AG337" s="4" t="s">
        <v>6296</v>
      </c>
      <c r="AH337" s="4" t="s">
        <v>6296</v>
      </c>
      <c r="AI337" s="4" t="s">
        <v>37</v>
      </c>
      <c r="AJ337" s="4" t="s">
        <v>42</v>
      </c>
      <c r="AK337" s="4" t="s">
        <v>37</v>
      </c>
      <c r="AL337" s="4" t="s">
        <v>6296</v>
      </c>
      <c r="AM337" s="4" t="s">
        <v>46</v>
      </c>
      <c r="AN337" s="4" t="s">
        <v>42</v>
      </c>
      <c r="AO337" s="4" t="s">
        <v>6296</v>
      </c>
      <c r="AP337" s="4" t="s">
        <v>6052</v>
      </c>
      <c r="AQ337" s="4" t="s">
        <v>47</v>
      </c>
    </row>
    <row r="338" spans="1:43" ht="12.6" customHeight="1" x14ac:dyDescent="0.25">
      <c r="A338" s="8" t="s">
        <v>4360</v>
      </c>
      <c r="B338" s="9">
        <v>20151231</v>
      </c>
      <c r="C338" s="12">
        <f>_xll.FDS("SPX","FG_PRICE(12/30/2015)")</f>
        <v>2063.36</v>
      </c>
      <c r="D338" s="12">
        <f>_xll.FDS("SPX","FG_PRICE(12/30/2017)")</f>
        <v>2673.61</v>
      </c>
      <c r="E338" s="15">
        <f>D338/C338-1</f>
        <v>0.2957554668114144</v>
      </c>
      <c r="F338" s="8" t="s">
        <v>4361</v>
      </c>
      <c r="G338" s="8" t="s">
        <v>4362</v>
      </c>
      <c r="H338" s="13">
        <f>_xll.FDS(G338,"FG_PRICE(12/30/2015)")</f>
        <v>33.78</v>
      </c>
      <c r="I338" s="13" t="e">
        <f>_xll.FDS(G338,"FG_PRICE(12/31/2017)")</f>
        <v>#N/A</v>
      </c>
      <c r="J338" s="13" t="e">
        <f>I338/H338-1</f>
        <v>#N/A</v>
      </c>
      <c r="K338" s="13" t="e">
        <f>J338-E338</f>
        <v>#N/A</v>
      </c>
      <c r="L338" s="13">
        <f>_xll.FDS(G338,"FF_ROE(ANN_R,12/30/2015)")</f>
        <v>14.1387496702717</v>
      </c>
      <c r="M338" s="8" t="s">
        <v>4363</v>
      </c>
      <c r="N338" s="4" t="s">
        <v>4364</v>
      </c>
      <c r="O338" s="4" t="s">
        <v>4365</v>
      </c>
      <c r="P338" s="4" t="s">
        <v>106</v>
      </c>
      <c r="Q338" s="4" t="s">
        <v>60</v>
      </c>
      <c r="R338" s="4" t="s">
        <v>61</v>
      </c>
      <c r="S338" s="4" t="s">
        <v>62</v>
      </c>
      <c r="T338" s="6" t="e">
        <v>#N/A</v>
      </c>
      <c r="U338" s="5">
        <v>65</v>
      </c>
      <c r="V338" s="5">
        <v>70</v>
      </c>
      <c r="W338" s="5">
        <v>55</v>
      </c>
      <c r="X338" s="5">
        <v>74</v>
      </c>
      <c r="Y338" s="5">
        <v>67.86</v>
      </c>
      <c r="Z338" s="5">
        <v>83.33</v>
      </c>
      <c r="AA338" s="5">
        <v>33.33</v>
      </c>
      <c r="AB338" s="5">
        <v>89.29</v>
      </c>
      <c r="AC338" s="6">
        <v>0.35</v>
      </c>
      <c r="AD338" s="6">
        <v>0.4</v>
      </c>
      <c r="AE338" s="6">
        <v>0.25</v>
      </c>
      <c r="AF338" s="4" t="s">
        <v>6296</v>
      </c>
      <c r="AG338" s="4" t="s">
        <v>6296</v>
      </c>
      <c r="AH338" s="4" t="s">
        <v>6296</v>
      </c>
      <c r="AI338" s="4" t="s">
        <v>42</v>
      </c>
      <c r="AJ338" s="4" t="s">
        <v>37</v>
      </c>
      <c r="AK338" s="4" t="s">
        <v>37</v>
      </c>
      <c r="AL338" s="4" t="s">
        <v>42</v>
      </c>
      <c r="AM338" s="4" t="s">
        <v>42</v>
      </c>
      <c r="AN338" s="4" t="s">
        <v>37</v>
      </c>
      <c r="AO338" s="4" t="s">
        <v>6296</v>
      </c>
      <c r="AP338" s="4" t="s">
        <v>4366</v>
      </c>
      <c r="AQ338" s="4" t="s">
        <v>47</v>
      </c>
    </row>
    <row r="339" spans="1:43" ht="12.6" customHeight="1" x14ac:dyDescent="0.25">
      <c r="A339" s="8" t="s">
        <v>4262</v>
      </c>
      <c r="B339" s="9">
        <v>20151231</v>
      </c>
      <c r="C339" s="12">
        <f>_xll.FDS("SPX","FG_PRICE(12/30/2015)")</f>
        <v>2063.36</v>
      </c>
      <c r="D339" s="12">
        <f>_xll.FDS("SPX","FG_PRICE(12/30/2017)")</f>
        <v>2673.61</v>
      </c>
      <c r="E339" s="15">
        <f>D339/C339-1</f>
        <v>0.2957554668114144</v>
      </c>
      <c r="F339" s="8" t="s">
        <v>4263</v>
      </c>
      <c r="G339" s="8" t="s">
        <v>4264</v>
      </c>
      <c r="H339" s="13">
        <f>_xll.FDS(G339,"FG_PRICE(12/30/2015)")</f>
        <v>61.68</v>
      </c>
      <c r="I339" s="13">
        <f>_xll.FDS(G339,"FG_PRICE(12/31/2017)")</f>
        <v>98.75</v>
      </c>
      <c r="J339" s="13">
        <f>I339/H339-1</f>
        <v>0.60100518806744496</v>
      </c>
      <c r="K339" s="13">
        <f>J339-E339</f>
        <v>0.30524972125603056</v>
      </c>
      <c r="L339" s="13">
        <f>_xll.FDS(G339,"FF_ROE(ANN_R,12/30/2015)")</f>
        <v>20.529150200762452</v>
      </c>
      <c r="M339" s="8" t="s">
        <v>4265</v>
      </c>
      <c r="N339" s="4" t="s">
        <v>4265</v>
      </c>
      <c r="O339" s="4" t="s">
        <v>4266</v>
      </c>
      <c r="P339" s="4" t="s">
        <v>96</v>
      </c>
      <c r="Q339" s="4" t="s">
        <v>60</v>
      </c>
      <c r="R339" s="4" t="s">
        <v>61</v>
      </c>
      <c r="S339" s="4" t="s">
        <v>62</v>
      </c>
      <c r="T339" s="6" t="e">
        <v>#N/A</v>
      </c>
      <c r="U339" s="5">
        <v>59</v>
      </c>
      <c r="V339" s="5">
        <v>70</v>
      </c>
      <c r="W339" s="5">
        <v>48</v>
      </c>
      <c r="X339" s="5">
        <v>61</v>
      </c>
      <c r="Y339" s="5">
        <v>50</v>
      </c>
      <c r="Z339" s="5">
        <v>83.33</v>
      </c>
      <c r="AA339" s="6">
        <v>8.33</v>
      </c>
      <c r="AB339" s="5">
        <v>42.86</v>
      </c>
      <c r="AC339" s="6">
        <v>0.35</v>
      </c>
      <c r="AD339" s="6">
        <v>0.4</v>
      </c>
      <c r="AE339" s="6">
        <v>0.25</v>
      </c>
      <c r="AF339" s="4" t="s">
        <v>37</v>
      </c>
      <c r="AG339" s="4" t="s">
        <v>42</v>
      </c>
      <c r="AH339" s="4" t="s">
        <v>6296</v>
      </c>
      <c r="AI339" s="4" t="s">
        <v>248</v>
      </c>
      <c r="AJ339" s="4" t="s">
        <v>45</v>
      </c>
      <c r="AK339" s="4" t="s">
        <v>37</v>
      </c>
      <c r="AL339" s="4" t="s">
        <v>42</v>
      </c>
      <c r="AM339" s="4" t="s">
        <v>248</v>
      </c>
      <c r="AN339" s="4" t="s">
        <v>42</v>
      </c>
      <c r="AO339" s="4" t="s">
        <v>42</v>
      </c>
      <c r="AP339" s="4" t="s">
        <v>4267</v>
      </c>
      <c r="AQ339" s="4" t="s">
        <v>47</v>
      </c>
    </row>
    <row r="340" spans="1:43" ht="12.6" customHeight="1" x14ac:dyDescent="0.25">
      <c r="A340" s="8" t="s">
        <v>3601</v>
      </c>
      <c r="B340" s="9">
        <v>20151231</v>
      </c>
      <c r="C340" s="12">
        <f>_xll.FDS("SPX","FG_PRICE(12/30/2015)")</f>
        <v>2063.36</v>
      </c>
      <c r="D340" s="12">
        <f>_xll.FDS("SPX","FG_PRICE(12/30/2017)")</f>
        <v>2673.61</v>
      </c>
      <c r="E340" s="15">
        <f>D340/C340-1</f>
        <v>0.2957554668114144</v>
      </c>
      <c r="F340" s="8" t="s">
        <v>3602</v>
      </c>
      <c r="G340" s="8" t="s">
        <v>3603</v>
      </c>
      <c r="H340" s="13">
        <f>_xll.FDS(G340,"FG_PRICE(12/30/2015)")</f>
        <v>105.02</v>
      </c>
      <c r="I340" s="13">
        <f>_xll.FDS(G340,"FG_PRICE(12/31/2017)")</f>
        <v>91.82</v>
      </c>
      <c r="J340" s="13">
        <f>I340/H340-1</f>
        <v>-0.1256903446962484</v>
      </c>
      <c r="K340" s="13">
        <f>J340-E340</f>
        <v>-0.4214458115076628</v>
      </c>
      <c r="L340" s="13">
        <f>_xll.FDS(G340,"FF_ROE(ANN_R,12/30/2015)")</f>
        <v>-10.73841412824464</v>
      </c>
      <c r="M340" s="8" t="s">
        <v>3604</v>
      </c>
      <c r="N340" s="4" t="s">
        <v>3604</v>
      </c>
      <c r="O340" s="4" t="s">
        <v>3605</v>
      </c>
      <c r="P340" s="4" t="s">
        <v>96</v>
      </c>
      <c r="Q340" s="4" t="s">
        <v>58</v>
      </c>
      <c r="R340" s="4" t="s">
        <v>61</v>
      </c>
      <c r="S340" s="4" t="s">
        <v>62</v>
      </c>
      <c r="T340" s="6" t="e">
        <v>#N/A</v>
      </c>
      <c r="U340" s="5">
        <v>54</v>
      </c>
      <c r="V340" s="5">
        <v>48</v>
      </c>
      <c r="W340" s="5">
        <v>48</v>
      </c>
      <c r="X340" s="5">
        <v>66</v>
      </c>
      <c r="Y340" s="5">
        <v>36.15</v>
      </c>
      <c r="Z340" s="5">
        <v>18.46</v>
      </c>
      <c r="AA340" s="5">
        <v>36.92</v>
      </c>
      <c r="AB340" s="5">
        <v>62.31</v>
      </c>
      <c r="AC340" s="6">
        <v>0.25</v>
      </c>
      <c r="AD340" s="6">
        <v>0.45</v>
      </c>
      <c r="AE340" s="6">
        <v>0.3</v>
      </c>
      <c r="AF340" s="4" t="s">
        <v>6296</v>
      </c>
      <c r="AG340" s="4" t="s">
        <v>6296</v>
      </c>
      <c r="AH340" s="4" t="s">
        <v>6296</v>
      </c>
      <c r="AI340" s="4" t="s">
        <v>42</v>
      </c>
      <c r="AJ340" s="4" t="s">
        <v>6296</v>
      </c>
      <c r="AK340" s="4" t="s">
        <v>42</v>
      </c>
      <c r="AL340" s="4" t="s">
        <v>6296</v>
      </c>
      <c r="AM340" s="4" t="s">
        <v>6296</v>
      </c>
      <c r="AN340" s="4" t="s">
        <v>6296</v>
      </c>
      <c r="AO340" s="4" t="s">
        <v>6296</v>
      </c>
      <c r="AP340" s="4" t="s">
        <v>3606</v>
      </c>
      <c r="AQ340" s="4" t="s">
        <v>47</v>
      </c>
    </row>
    <row r="341" spans="1:43" ht="12.6" customHeight="1" x14ac:dyDescent="0.25">
      <c r="A341" s="8" t="s">
        <v>110</v>
      </c>
      <c r="B341" s="9">
        <v>20151231</v>
      </c>
      <c r="C341" s="12">
        <f>_xll.FDS("SPX","FG_PRICE(12/30/2015)")</f>
        <v>2063.36</v>
      </c>
      <c r="D341" s="12">
        <f>_xll.FDS("SPX","FG_PRICE(12/30/2017)")</f>
        <v>2673.61</v>
      </c>
      <c r="E341" s="15">
        <f>D341/C341-1</f>
        <v>0.2957554668114144</v>
      </c>
      <c r="F341" s="8" t="s">
        <v>111</v>
      </c>
      <c r="G341" s="8" t="s">
        <v>112</v>
      </c>
      <c r="H341" s="13">
        <f>_xll.FDS(G341,"FG_PRICE(12/30/2015)")</f>
        <v>45.27</v>
      </c>
      <c r="I341" s="13">
        <f>_xll.FDS(G341,"FG_PRICE(12/31/2017)")</f>
        <v>57.07</v>
      </c>
      <c r="J341" s="13">
        <f>I341/H341-1</f>
        <v>0.26065827258670193</v>
      </c>
      <c r="K341" s="13">
        <f>J341-E341</f>
        <v>-3.5097194224712469E-2</v>
      </c>
      <c r="L341" s="13">
        <f>_xll.FDS(G341,"FF_ROE(ANN_R,12/30/2015)")</f>
        <v>7.3238109514529848</v>
      </c>
      <c r="M341" s="8" t="s">
        <v>113</v>
      </c>
      <c r="N341" s="4" t="s">
        <v>113</v>
      </c>
      <c r="O341" s="4" t="s">
        <v>114</v>
      </c>
      <c r="P341" s="4" t="s">
        <v>96</v>
      </c>
      <c r="Q341" s="4" t="s">
        <v>58</v>
      </c>
      <c r="R341" s="4" t="s">
        <v>61</v>
      </c>
      <c r="S341" s="4" t="s">
        <v>62</v>
      </c>
      <c r="T341" s="6" t="e">
        <v>#N/A</v>
      </c>
      <c r="U341" s="5">
        <v>63</v>
      </c>
      <c r="V341" s="5">
        <v>74</v>
      </c>
      <c r="W341" s="5">
        <v>56</v>
      </c>
      <c r="X341" s="5">
        <v>66</v>
      </c>
      <c r="Y341" s="5">
        <v>79.23</v>
      </c>
      <c r="Z341" s="5">
        <v>85.38</v>
      </c>
      <c r="AA341" s="5">
        <v>63.08</v>
      </c>
      <c r="AB341" s="5">
        <v>62.31</v>
      </c>
      <c r="AC341" s="6">
        <v>0.25</v>
      </c>
      <c r="AD341" s="6">
        <v>0.45</v>
      </c>
      <c r="AE341" s="6">
        <v>0.3</v>
      </c>
      <c r="AF341" s="4" t="s">
        <v>6296</v>
      </c>
      <c r="AG341" s="4" t="s">
        <v>6296</v>
      </c>
      <c r="AH341" s="4" t="s">
        <v>6296</v>
      </c>
      <c r="AI341" s="4" t="s">
        <v>42</v>
      </c>
      <c r="AJ341" s="4" t="s">
        <v>6296</v>
      </c>
      <c r="AK341" s="4" t="s">
        <v>46</v>
      </c>
      <c r="AL341" s="4" t="s">
        <v>37</v>
      </c>
      <c r="AM341" s="4" t="s">
        <v>37</v>
      </c>
      <c r="AN341" s="4" t="s">
        <v>6296</v>
      </c>
      <c r="AO341" s="4" t="s">
        <v>6296</v>
      </c>
      <c r="AP341" s="4" t="s">
        <v>115</v>
      </c>
      <c r="AQ341" s="4" t="s">
        <v>47</v>
      </c>
    </row>
    <row r="342" spans="1:43" ht="12.6" customHeight="1" x14ac:dyDescent="0.25">
      <c r="A342" s="8" t="s">
        <v>3187</v>
      </c>
      <c r="B342" s="9">
        <v>20151231</v>
      </c>
      <c r="C342" s="12">
        <f>_xll.FDS("SPX","FG_PRICE(12/30/2015)")</f>
        <v>2063.36</v>
      </c>
      <c r="D342" s="12">
        <f>_xll.FDS("SPX","FG_PRICE(12/30/2017)")</f>
        <v>2673.61</v>
      </c>
      <c r="E342" s="15">
        <f>D342/C342-1</f>
        <v>0.2957554668114144</v>
      </c>
      <c r="F342" s="8" t="s">
        <v>3188</v>
      </c>
      <c r="G342" s="8" t="s">
        <v>3189</v>
      </c>
      <c r="H342" s="13">
        <f>_xll.FDS(G342,"FG_PRICE(12/30/2015)")</f>
        <v>108.93</v>
      </c>
      <c r="I342" s="13">
        <f>_xll.FDS(G342,"FG_PRICE(12/31/2017)")</f>
        <v>180.39</v>
      </c>
      <c r="J342" s="13">
        <f>I342/H342-1</f>
        <v>0.65601762599834723</v>
      </c>
      <c r="K342" s="13">
        <f>J342-E342</f>
        <v>0.36026215918693283</v>
      </c>
      <c r="L342" s="13">
        <f>_xll.FDS(G342,"FF_ROE(ANN_R,12/30/2015)")</f>
        <v>14.317334371634731</v>
      </c>
      <c r="M342" s="8" t="s">
        <v>3190</v>
      </c>
      <c r="N342" s="4" t="s">
        <v>3190</v>
      </c>
      <c r="O342" s="4" t="s">
        <v>3191</v>
      </c>
      <c r="P342" s="4" t="s">
        <v>96</v>
      </c>
      <c r="Q342" s="4" t="s">
        <v>58</v>
      </c>
      <c r="R342" s="4" t="s">
        <v>61</v>
      </c>
      <c r="S342" s="4" t="s">
        <v>62</v>
      </c>
      <c r="T342" s="6" t="e">
        <v>#N/A</v>
      </c>
      <c r="U342" s="5">
        <v>61</v>
      </c>
      <c r="V342" s="5">
        <v>67</v>
      </c>
      <c r="W342" s="5">
        <v>55</v>
      </c>
      <c r="X342" s="5">
        <v>65</v>
      </c>
      <c r="Y342" s="5">
        <v>72.31</v>
      </c>
      <c r="Z342" s="5">
        <v>78.459999999999994</v>
      </c>
      <c r="AA342" s="5">
        <v>60</v>
      </c>
      <c r="AB342" s="5">
        <v>58.46</v>
      </c>
      <c r="AC342" s="6">
        <v>0.25</v>
      </c>
      <c r="AD342" s="6">
        <v>0.45</v>
      </c>
      <c r="AE342" s="6">
        <v>0.3</v>
      </c>
      <c r="AF342" s="4" t="s">
        <v>6296</v>
      </c>
      <c r="AG342" s="4" t="s">
        <v>6296</v>
      </c>
      <c r="AH342" s="4" t="s">
        <v>6296</v>
      </c>
      <c r="AI342" s="4" t="s">
        <v>6296</v>
      </c>
      <c r="AJ342" s="4" t="s">
        <v>6296</v>
      </c>
      <c r="AK342" s="4" t="s">
        <v>46</v>
      </c>
      <c r="AL342" s="4" t="s">
        <v>6296</v>
      </c>
      <c r="AM342" s="4" t="s">
        <v>6296</v>
      </c>
      <c r="AN342" s="4" t="s">
        <v>6296</v>
      </c>
      <c r="AO342" s="4" t="s">
        <v>37</v>
      </c>
      <c r="AP342" s="4" t="s">
        <v>3192</v>
      </c>
      <c r="AQ342" s="4" t="s">
        <v>47</v>
      </c>
    </row>
    <row r="343" spans="1:43" ht="12.6" customHeight="1" x14ac:dyDescent="0.25">
      <c r="A343" s="8" t="s">
        <v>3727</v>
      </c>
      <c r="B343" s="9">
        <v>20151231</v>
      </c>
      <c r="C343" s="12">
        <f>_xll.FDS("SPX","FG_PRICE(12/30/2015)")</f>
        <v>2063.36</v>
      </c>
      <c r="D343" s="12">
        <f>_xll.FDS("SPX","FG_PRICE(12/30/2017)")</f>
        <v>2673.61</v>
      </c>
      <c r="E343" s="15">
        <f>D343/C343-1</f>
        <v>0.2957554668114144</v>
      </c>
      <c r="F343" s="8" t="s">
        <v>3728</v>
      </c>
      <c r="G343" s="8" t="s">
        <v>3729</v>
      </c>
      <c r="H343" s="13">
        <f>_xll.FDS(G343,"FG_PRICE(12/30/2015)")</f>
        <v>39.65</v>
      </c>
      <c r="I343" s="13" t="e">
        <f>_xll.FDS(G343,"FG_PRICE(12/31/2017)")</f>
        <v>#N/A</v>
      </c>
      <c r="J343" s="13" t="e">
        <f>I343/H343-1</f>
        <v>#N/A</v>
      </c>
      <c r="K343" s="13" t="e">
        <f>J343-E343</f>
        <v>#N/A</v>
      </c>
      <c r="L343" s="13">
        <f>_xll.FDS(G343,"FF_ROE(ANN_R,12/30/2015)")</f>
        <v>-8.6099499794504766</v>
      </c>
      <c r="M343" s="8" t="s">
        <v>3730</v>
      </c>
      <c r="N343" s="4" t="s">
        <v>3730</v>
      </c>
      <c r="O343" s="4" t="s">
        <v>3731</v>
      </c>
      <c r="P343" s="4" t="s">
        <v>96</v>
      </c>
      <c r="Q343" s="4" t="s">
        <v>58</v>
      </c>
      <c r="R343" s="4" t="s">
        <v>61</v>
      </c>
      <c r="S343" s="4" t="s">
        <v>62</v>
      </c>
      <c r="T343" s="6" t="e">
        <v>#N/A</v>
      </c>
      <c r="U343" s="5">
        <v>49</v>
      </c>
      <c r="V343" s="5">
        <v>46</v>
      </c>
      <c r="W343" s="5">
        <v>44</v>
      </c>
      <c r="X343" s="5">
        <v>60</v>
      </c>
      <c r="Y343" s="6">
        <v>7.69</v>
      </c>
      <c r="Z343" s="5">
        <v>11.54</v>
      </c>
      <c r="AA343" s="5">
        <v>14.62</v>
      </c>
      <c r="AB343" s="5">
        <v>36.92</v>
      </c>
      <c r="AC343" s="6">
        <v>0.25</v>
      </c>
      <c r="AD343" s="6">
        <v>0.45</v>
      </c>
      <c r="AE343" s="6">
        <v>0.3</v>
      </c>
      <c r="AF343" s="4" t="s">
        <v>6296</v>
      </c>
      <c r="AG343" s="4" t="s">
        <v>6296</v>
      </c>
      <c r="AH343" s="4" t="s">
        <v>6296</v>
      </c>
      <c r="AI343" s="4" t="s">
        <v>6296</v>
      </c>
      <c r="AJ343" s="4" t="s">
        <v>6296</v>
      </c>
      <c r="AK343" s="4" t="s">
        <v>37</v>
      </c>
      <c r="AL343" s="4" t="s">
        <v>6296</v>
      </c>
      <c r="AM343" s="4" t="s">
        <v>6296</v>
      </c>
      <c r="AN343" s="4" t="s">
        <v>6296</v>
      </c>
      <c r="AO343" s="4" t="s">
        <v>6296</v>
      </c>
      <c r="AP343" s="4" t="s">
        <v>3732</v>
      </c>
      <c r="AQ343" s="4" t="s">
        <v>47</v>
      </c>
    </row>
    <row r="344" spans="1:43" ht="12.6" customHeight="1" x14ac:dyDescent="0.25">
      <c r="A344" s="8" t="s">
        <v>6020</v>
      </c>
      <c r="B344" s="9">
        <v>20151231</v>
      </c>
      <c r="C344" s="12">
        <f>_xll.FDS("SPX","FG_PRICE(12/30/2015)")</f>
        <v>2063.36</v>
      </c>
      <c r="D344" s="12">
        <f>_xll.FDS("SPX","FG_PRICE(12/30/2017)")</f>
        <v>2673.61</v>
      </c>
      <c r="E344" s="15">
        <f>D344/C344-1</f>
        <v>0.2957554668114144</v>
      </c>
      <c r="F344" s="8" t="s">
        <v>6021</v>
      </c>
      <c r="G344" s="8" t="s">
        <v>6022</v>
      </c>
      <c r="H344" s="13">
        <f>_xll.FDS(G344,"FG_PRICE(12/30/2015)")</f>
        <v>140.96</v>
      </c>
      <c r="I344" s="13">
        <f>_xll.FDS(G344,"FG_PRICE(12/31/2017)")</f>
        <v>225.01</v>
      </c>
      <c r="J344" s="13">
        <f>I344/H344-1</f>
        <v>0.59626844494892151</v>
      </c>
      <c r="K344" s="13">
        <f>J344-E344</f>
        <v>0.3005129781375071</v>
      </c>
      <c r="L344" s="13">
        <f>_xll.FDS(G344,"FF_ROE(ANN_R,12/30/2015)")</f>
        <v>10.445870268175</v>
      </c>
      <c r="M344" s="8" t="s">
        <v>6023</v>
      </c>
      <c r="N344" s="4" t="s">
        <v>6024</v>
      </c>
      <c r="O344" s="4" t="s">
        <v>4517</v>
      </c>
      <c r="P344" s="4" t="s">
        <v>96</v>
      </c>
      <c r="Q344" s="4" t="s">
        <v>58</v>
      </c>
      <c r="R344" s="4" t="s">
        <v>61</v>
      </c>
      <c r="S344" s="4" t="s">
        <v>62</v>
      </c>
      <c r="T344" s="6" t="e">
        <v>#N/A</v>
      </c>
      <c r="U344" s="5">
        <v>67</v>
      </c>
      <c r="V344" s="5">
        <v>68</v>
      </c>
      <c r="W344" s="5">
        <v>57</v>
      </c>
      <c r="X344" s="5">
        <v>81</v>
      </c>
      <c r="Y344" s="5">
        <v>86.92</v>
      </c>
      <c r="Z344" s="5">
        <v>80.77</v>
      </c>
      <c r="AA344" s="5">
        <v>67.69</v>
      </c>
      <c r="AB344" s="5">
        <v>99.23</v>
      </c>
      <c r="AC344" s="6">
        <v>0.25</v>
      </c>
      <c r="AD344" s="6">
        <v>0.45</v>
      </c>
      <c r="AE344" s="6">
        <v>0.3</v>
      </c>
      <c r="AF344" s="4" t="s">
        <v>6296</v>
      </c>
      <c r="AG344" s="4" t="s">
        <v>6296</v>
      </c>
      <c r="AH344" s="4" t="s">
        <v>6296</v>
      </c>
      <c r="AI344" s="4" t="s">
        <v>6296</v>
      </c>
      <c r="AJ344" s="4" t="s">
        <v>6296</v>
      </c>
      <c r="AK344" s="4" t="s">
        <v>46</v>
      </c>
      <c r="AL344" s="4" t="s">
        <v>6296</v>
      </c>
      <c r="AM344" s="4" t="s">
        <v>42</v>
      </c>
      <c r="AN344" s="4" t="s">
        <v>6296</v>
      </c>
      <c r="AO344" s="4" t="s">
        <v>6296</v>
      </c>
      <c r="AP344" s="4" t="s">
        <v>6025</v>
      </c>
      <c r="AQ344" s="4" t="s">
        <v>47</v>
      </c>
    </row>
    <row r="345" spans="1:43" ht="12.6" customHeight="1" x14ac:dyDescent="0.25">
      <c r="A345" s="8" t="s">
        <v>561</v>
      </c>
      <c r="B345" s="9">
        <v>20151231</v>
      </c>
      <c r="C345" s="12">
        <f>_xll.FDS("SPX","FG_PRICE(12/30/2015)")</f>
        <v>2063.36</v>
      </c>
      <c r="D345" s="12">
        <f>_xll.FDS("SPX","FG_PRICE(12/30/2017)")</f>
        <v>2673.61</v>
      </c>
      <c r="E345" s="15">
        <f>D345/C345-1</f>
        <v>0.2957554668114144</v>
      </c>
      <c r="F345" s="8" t="s">
        <v>562</v>
      </c>
      <c r="G345" s="8" t="s">
        <v>563</v>
      </c>
      <c r="H345" s="13">
        <f>_xll.FDS(G345,"FG_PRICE(12/30/2015)")</f>
        <v>38.049999999999997</v>
      </c>
      <c r="I345" s="13">
        <f>_xll.FDS(G345,"FG_PRICE(12/31/2017)")</f>
        <v>64.64</v>
      </c>
      <c r="J345" s="13">
        <f>I345/H345-1</f>
        <v>0.69881734559789765</v>
      </c>
      <c r="K345" s="13">
        <f>J345-E345</f>
        <v>0.40306187878648325</v>
      </c>
      <c r="L345" s="13">
        <f>_xll.FDS(G345,"FF_ROE(ANN_R,12/30/2015)")</f>
        <v>5.5116685762527888</v>
      </c>
      <c r="M345" s="8" t="s">
        <v>564</v>
      </c>
      <c r="N345" s="4" t="s">
        <v>564</v>
      </c>
      <c r="O345" s="4" t="s">
        <v>565</v>
      </c>
      <c r="P345" s="4" t="s">
        <v>96</v>
      </c>
      <c r="Q345" s="4" t="s">
        <v>58</v>
      </c>
      <c r="R345" s="4" t="s">
        <v>61</v>
      </c>
      <c r="S345" s="4" t="s">
        <v>62</v>
      </c>
      <c r="T345" s="6" t="e">
        <v>#N/A</v>
      </c>
      <c r="U345" s="5">
        <v>73</v>
      </c>
      <c r="V345" s="5">
        <v>87</v>
      </c>
      <c r="W345" s="5">
        <v>63</v>
      </c>
      <c r="X345" s="5">
        <v>77</v>
      </c>
      <c r="Y345" s="5">
        <v>95.38</v>
      </c>
      <c r="Z345" s="5">
        <v>98.46</v>
      </c>
      <c r="AA345" s="5">
        <v>86.15</v>
      </c>
      <c r="AB345" s="5">
        <v>94.62</v>
      </c>
      <c r="AC345" s="6">
        <v>0.25</v>
      </c>
      <c r="AD345" s="6">
        <v>0.45</v>
      </c>
      <c r="AE345" s="6">
        <v>0.3</v>
      </c>
      <c r="AF345" s="4" t="s">
        <v>6296</v>
      </c>
      <c r="AG345" s="4" t="s">
        <v>6296</v>
      </c>
      <c r="AH345" s="4" t="s">
        <v>6296</v>
      </c>
      <c r="AI345" s="4" t="s">
        <v>42</v>
      </c>
      <c r="AJ345" s="4" t="s">
        <v>6296</v>
      </c>
      <c r="AK345" s="4" t="s">
        <v>46</v>
      </c>
      <c r="AL345" s="4" t="s">
        <v>6296</v>
      </c>
      <c r="AM345" s="4" t="s">
        <v>6296</v>
      </c>
      <c r="AN345" s="4" t="s">
        <v>6296</v>
      </c>
      <c r="AO345" s="4" t="s">
        <v>6296</v>
      </c>
      <c r="AP345" s="4" t="s">
        <v>566</v>
      </c>
      <c r="AQ345" s="4" t="s">
        <v>47</v>
      </c>
    </row>
    <row r="346" spans="1:43" ht="12.6" customHeight="1" x14ac:dyDescent="0.25">
      <c r="A346" s="8" t="s">
        <v>547</v>
      </c>
      <c r="B346" s="9">
        <v>20151231</v>
      </c>
      <c r="C346" s="12">
        <f>_xll.FDS("SPX","FG_PRICE(12/30/2015)")</f>
        <v>2063.36</v>
      </c>
      <c r="D346" s="12">
        <f>_xll.FDS("SPX","FG_PRICE(12/30/2017)")</f>
        <v>2673.61</v>
      </c>
      <c r="E346" s="15">
        <f>D346/C346-1</f>
        <v>0.2957554668114144</v>
      </c>
      <c r="F346" s="8" t="s">
        <v>548</v>
      </c>
      <c r="G346" s="8" t="s">
        <v>549</v>
      </c>
      <c r="H346" s="13">
        <f>_xll.FDS(G346,"FG_PRICE(12/30/2015)")</f>
        <v>190.69</v>
      </c>
      <c r="I346" s="13" t="e">
        <f>_xll.FDS(G346,"FG_PRICE(12/31/2017)")</f>
        <v>#N/A</v>
      </c>
      <c r="J346" s="13" t="e">
        <f>I346/H346-1</f>
        <v>#N/A</v>
      </c>
      <c r="K346" s="13" t="e">
        <f>J346-E346</f>
        <v>#N/A</v>
      </c>
      <c r="L346" s="13">
        <f>_xll.FDS(G346,"FF_ROE(ANN_R,12/30/2015)")</f>
        <v>14.88274126017826</v>
      </c>
      <c r="M346" s="8" t="s">
        <v>550</v>
      </c>
      <c r="N346" s="4" t="s">
        <v>551</v>
      </c>
      <c r="O346" s="4" t="s">
        <v>552</v>
      </c>
      <c r="P346" s="4" t="s">
        <v>96</v>
      </c>
      <c r="Q346" s="4" t="s">
        <v>58</v>
      </c>
      <c r="R346" s="4" t="s">
        <v>61</v>
      </c>
      <c r="S346" s="4" t="s">
        <v>62</v>
      </c>
      <c r="T346" s="6" t="e">
        <v>#N/A</v>
      </c>
      <c r="U346" s="5">
        <v>57</v>
      </c>
      <c r="V346" s="5">
        <v>57</v>
      </c>
      <c r="W346" s="5">
        <v>60</v>
      </c>
      <c r="X346" s="5">
        <v>53</v>
      </c>
      <c r="Y346" s="5">
        <v>52.31</v>
      </c>
      <c r="Z346" s="5">
        <v>51.54</v>
      </c>
      <c r="AA346" s="5">
        <v>77.69</v>
      </c>
      <c r="AB346" s="6">
        <v>9.23</v>
      </c>
      <c r="AC346" s="6">
        <v>0.25</v>
      </c>
      <c r="AD346" s="6">
        <v>0.45</v>
      </c>
      <c r="AE346" s="6">
        <v>0.3</v>
      </c>
      <c r="AF346" s="4" t="s">
        <v>6296</v>
      </c>
      <c r="AG346" s="4" t="s">
        <v>6296</v>
      </c>
      <c r="AH346" s="4" t="s">
        <v>6296</v>
      </c>
      <c r="AI346" s="4" t="s">
        <v>6296</v>
      </c>
      <c r="AJ346" s="4" t="s">
        <v>6296</v>
      </c>
      <c r="AK346" s="4" t="s">
        <v>46</v>
      </c>
      <c r="AL346" s="4" t="s">
        <v>6296</v>
      </c>
      <c r="AM346" s="4" t="s">
        <v>37</v>
      </c>
      <c r="AN346" s="4" t="s">
        <v>37</v>
      </c>
      <c r="AO346" s="4" t="s">
        <v>6296</v>
      </c>
      <c r="AP346" s="4" t="s">
        <v>553</v>
      </c>
      <c r="AQ346" s="4" t="s">
        <v>47</v>
      </c>
    </row>
    <row r="347" spans="1:43" ht="12.6" customHeight="1" x14ac:dyDescent="0.25">
      <c r="A347" s="8" t="s">
        <v>573</v>
      </c>
      <c r="B347" s="9">
        <v>20151231</v>
      </c>
      <c r="C347" s="12">
        <f>_xll.FDS("SPX","FG_PRICE(12/30/2015)")</f>
        <v>2063.36</v>
      </c>
      <c r="D347" s="12">
        <f>_xll.FDS("SPX","FG_PRICE(12/30/2017)")</f>
        <v>2673.61</v>
      </c>
      <c r="E347" s="15">
        <f>D347/C347-1</f>
        <v>0.2957554668114144</v>
      </c>
      <c r="F347" s="8" t="s">
        <v>574</v>
      </c>
      <c r="G347" s="8" t="s">
        <v>575</v>
      </c>
      <c r="H347" s="13">
        <f>_xll.FDS(G347,"FG_PRICE(12/30/2015)")</f>
        <v>155.43</v>
      </c>
      <c r="I347" s="13">
        <f>_xll.FDS(G347,"FG_PRICE(12/31/2017)")</f>
        <v>214.06</v>
      </c>
      <c r="J347" s="13">
        <f>I347/H347-1</f>
        <v>0.37721160651096963</v>
      </c>
      <c r="K347" s="13">
        <f>J347-E347</f>
        <v>8.145613969955523E-2</v>
      </c>
      <c r="L347" s="13">
        <f>_xll.FDS(G347,"FF_ROE(ANN_R,12/30/2015)")</f>
        <v>11.37758860604076</v>
      </c>
      <c r="M347" s="8" t="s">
        <v>576</v>
      </c>
      <c r="N347" s="4" t="s">
        <v>577</v>
      </c>
      <c r="O347" s="4" t="s">
        <v>578</v>
      </c>
      <c r="P347" s="4" t="s">
        <v>96</v>
      </c>
      <c r="Q347" s="4" t="s">
        <v>58</v>
      </c>
      <c r="R347" s="4" t="s">
        <v>61</v>
      </c>
      <c r="S347" s="4" t="s">
        <v>62</v>
      </c>
      <c r="T347" s="6" t="e">
        <v>#N/A</v>
      </c>
      <c r="U347" s="5">
        <v>66</v>
      </c>
      <c r="V347" s="5">
        <v>83</v>
      </c>
      <c r="W347" s="5">
        <v>60</v>
      </c>
      <c r="X347" s="5">
        <v>62</v>
      </c>
      <c r="Y347" s="5">
        <v>83.85</v>
      </c>
      <c r="Z347" s="5">
        <v>96.92</v>
      </c>
      <c r="AA347" s="5">
        <v>77.69</v>
      </c>
      <c r="AB347" s="5">
        <v>46.92</v>
      </c>
      <c r="AC347" s="6">
        <v>0.25</v>
      </c>
      <c r="AD347" s="6">
        <v>0.45</v>
      </c>
      <c r="AE347" s="6">
        <v>0.3</v>
      </c>
      <c r="AF347" s="4" t="s">
        <v>6296</v>
      </c>
      <c r="AG347" s="4" t="s">
        <v>6296</v>
      </c>
      <c r="AH347" s="4" t="s">
        <v>6296</v>
      </c>
      <c r="AI347" s="4" t="s">
        <v>6296</v>
      </c>
      <c r="AJ347" s="4" t="s">
        <v>6296</v>
      </c>
      <c r="AK347" s="4" t="s">
        <v>46</v>
      </c>
      <c r="AL347" s="4" t="s">
        <v>42</v>
      </c>
      <c r="AM347" s="4" t="s">
        <v>42</v>
      </c>
      <c r="AN347" s="4" t="s">
        <v>6296</v>
      </c>
      <c r="AO347" s="4" t="s">
        <v>6296</v>
      </c>
      <c r="AP347" s="4" t="s">
        <v>579</v>
      </c>
      <c r="AQ347" s="4" t="s">
        <v>47</v>
      </c>
    </row>
    <row r="348" spans="1:43" ht="12.6" customHeight="1" x14ac:dyDescent="0.25">
      <c r="A348" s="8" t="s">
        <v>4707</v>
      </c>
      <c r="B348" s="9">
        <v>20151231</v>
      </c>
      <c r="C348" s="12">
        <f>_xll.FDS("SPX","FG_PRICE(12/30/2015)")</f>
        <v>2063.36</v>
      </c>
      <c r="D348" s="12">
        <f>_xll.FDS("SPX","FG_PRICE(12/30/2017)")</f>
        <v>2673.61</v>
      </c>
      <c r="E348" s="15">
        <f>D348/C348-1</f>
        <v>0.2957554668114144</v>
      </c>
      <c r="F348" s="8" t="s">
        <v>4708</v>
      </c>
      <c r="G348" s="8" t="s">
        <v>4709</v>
      </c>
      <c r="H348" s="13">
        <f>_xll.FDS(G348,"FG_PRICE(12/30/2015)")</f>
        <v>18.399999999999999</v>
      </c>
      <c r="I348" s="13">
        <f>_xll.FDS(G348,"FG_PRICE(12/31/2017)")</f>
        <v>9.6999999999999993</v>
      </c>
      <c r="J348" s="13">
        <f>I348/H348-1</f>
        <v>-0.47282608695652173</v>
      </c>
      <c r="K348" s="13">
        <f>J348-E348</f>
        <v>-0.76858155376793613</v>
      </c>
      <c r="L348" s="13">
        <f>_xll.FDS(G348,"FF_ROE(ANN_R,12/30/2015)")</f>
        <v>-7.6353031944101728</v>
      </c>
      <c r="M348" s="8" t="s">
        <v>4710</v>
      </c>
      <c r="N348" s="4" t="s">
        <v>4710</v>
      </c>
      <c r="O348" s="4" t="s">
        <v>4711</v>
      </c>
      <c r="P348" s="4" t="s">
        <v>96</v>
      </c>
      <c r="Q348" s="4" t="s">
        <v>58</v>
      </c>
      <c r="R348" s="4" t="s">
        <v>61</v>
      </c>
      <c r="S348" s="4" t="s">
        <v>62</v>
      </c>
      <c r="T348" s="6" t="e">
        <v>#N/A</v>
      </c>
      <c r="U348" s="5">
        <v>52</v>
      </c>
      <c r="V348" s="5">
        <v>44</v>
      </c>
      <c r="W348" s="5">
        <v>43</v>
      </c>
      <c r="X348" s="5">
        <v>73</v>
      </c>
      <c r="Y348" s="5">
        <v>29.23</v>
      </c>
      <c r="Z348" s="6">
        <v>0</v>
      </c>
      <c r="AA348" s="6">
        <v>8.4600000000000009</v>
      </c>
      <c r="AB348" s="5">
        <v>87.69</v>
      </c>
      <c r="AC348" s="6">
        <v>0.25</v>
      </c>
      <c r="AD348" s="6">
        <v>0.45</v>
      </c>
      <c r="AE348" s="6">
        <v>0.3</v>
      </c>
      <c r="AF348" s="4" t="s">
        <v>6296</v>
      </c>
      <c r="AG348" s="4" t="s">
        <v>6296</v>
      </c>
      <c r="AH348" s="4" t="s">
        <v>6296</v>
      </c>
      <c r="AI348" s="4" t="s">
        <v>6296</v>
      </c>
      <c r="AJ348" s="4" t="s">
        <v>6296</v>
      </c>
      <c r="AK348" s="4" t="s">
        <v>6296</v>
      </c>
      <c r="AL348" s="4" t="s">
        <v>6296</v>
      </c>
      <c r="AM348" s="4" t="s">
        <v>6296</v>
      </c>
      <c r="AN348" s="4" t="s">
        <v>6296</v>
      </c>
      <c r="AO348" s="4" t="s">
        <v>6296</v>
      </c>
      <c r="AP348" s="4" t="s">
        <v>4712</v>
      </c>
      <c r="AQ348" s="4" t="s">
        <v>47</v>
      </c>
    </row>
    <row r="349" spans="1:43" ht="12.6" customHeight="1" x14ac:dyDescent="0.25">
      <c r="A349" s="8" t="s">
        <v>700</v>
      </c>
      <c r="B349" s="9">
        <v>20151231</v>
      </c>
      <c r="C349" s="12">
        <f>_xll.FDS("SPX","FG_PRICE(12/30/2015)")</f>
        <v>2063.36</v>
      </c>
      <c r="D349" s="12">
        <f>_xll.FDS("SPX","FG_PRICE(12/30/2017)")</f>
        <v>2673.61</v>
      </c>
      <c r="E349" s="15">
        <f>D349/C349-1</f>
        <v>0.2957554668114144</v>
      </c>
      <c r="F349" s="8" t="s">
        <v>701</v>
      </c>
      <c r="G349" s="8" t="s">
        <v>702</v>
      </c>
      <c r="H349" s="13">
        <f>_xll.FDS(G349,"FG_PRICE(12/30/2015)")</f>
        <v>18.61</v>
      </c>
      <c r="I349" s="13">
        <f>_xll.FDS(G349,"FG_PRICE(12/31/2017)")</f>
        <v>24.79</v>
      </c>
      <c r="J349" s="13">
        <f>I349/H349-1</f>
        <v>0.33207952713594846</v>
      </c>
      <c r="K349" s="13">
        <f>J349-E349</f>
        <v>3.6324060324534058E-2</v>
      </c>
      <c r="L349" s="13">
        <f>_xll.FDS(G349,"FF_ROE(ANN_R,12/30/2015)")</f>
        <v>-1.8313327177593099</v>
      </c>
      <c r="M349" s="8" t="s">
        <v>703</v>
      </c>
      <c r="N349" s="4" t="s">
        <v>703</v>
      </c>
      <c r="O349" s="4" t="s">
        <v>704</v>
      </c>
      <c r="P349" s="4" t="s">
        <v>96</v>
      </c>
      <c r="Q349" s="4" t="s">
        <v>58</v>
      </c>
      <c r="R349" s="4" t="s">
        <v>61</v>
      </c>
      <c r="S349" s="4" t="s">
        <v>62</v>
      </c>
      <c r="T349" s="6" t="e">
        <v>#N/A</v>
      </c>
      <c r="U349" s="5">
        <v>62</v>
      </c>
      <c r="V349" s="5">
        <v>82</v>
      </c>
      <c r="W349" s="5">
        <v>58</v>
      </c>
      <c r="X349" s="5">
        <v>53</v>
      </c>
      <c r="Y349" s="5">
        <v>78.459999999999994</v>
      </c>
      <c r="Z349" s="5">
        <v>95.38</v>
      </c>
      <c r="AA349" s="5">
        <v>70.77</v>
      </c>
      <c r="AB349" s="6">
        <v>9.23</v>
      </c>
      <c r="AC349" s="6">
        <v>0.25</v>
      </c>
      <c r="AD349" s="6">
        <v>0.45</v>
      </c>
      <c r="AE349" s="6">
        <v>0.3</v>
      </c>
      <c r="AF349" s="4" t="s">
        <v>6296</v>
      </c>
      <c r="AG349" s="4" t="s">
        <v>6296</v>
      </c>
      <c r="AH349" s="4" t="s">
        <v>6296</v>
      </c>
      <c r="AI349" s="4" t="s">
        <v>42</v>
      </c>
      <c r="AJ349" s="4" t="s">
        <v>6296</v>
      </c>
      <c r="AK349" s="4" t="s">
        <v>46</v>
      </c>
      <c r="AL349" s="4" t="s">
        <v>6296</v>
      </c>
      <c r="AM349" s="4" t="s">
        <v>37</v>
      </c>
      <c r="AN349" s="4" t="s">
        <v>6296</v>
      </c>
      <c r="AO349" s="4" t="s">
        <v>6296</v>
      </c>
      <c r="AP349" s="4" t="s">
        <v>705</v>
      </c>
      <c r="AQ349" s="4" t="s">
        <v>47</v>
      </c>
    </row>
    <row r="350" spans="1:43" ht="12.6" customHeight="1" x14ac:dyDescent="0.25">
      <c r="A350" s="8" t="s">
        <v>904</v>
      </c>
      <c r="B350" s="9">
        <v>20151231</v>
      </c>
      <c r="C350" s="12">
        <f>_xll.FDS("SPX","FG_PRICE(12/30/2015)")</f>
        <v>2063.36</v>
      </c>
      <c r="D350" s="12">
        <f>_xll.FDS("SPX","FG_PRICE(12/30/2017)")</f>
        <v>2673.61</v>
      </c>
      <c r="E350" s="15">
        <f>D350/C350-1</f>
        <v>0.2957554668114144</v>
      </c>
      <c r="F350" s="8" t="s">
        <v>905</v>
      </c>
      <c r="G350" s="8" t="s">
        <v>906</v>
      </c>
      <c r="H350" s="13">
        <f>_xll.FDS(G350,"FG_PRICE(12/30/2015)")</f>
        <v>90.54</v>
      </c>
      <c r="I350" s="13">
        <f>_xll.FDS(G350,"FG_PRICE(12/31/2017)")</f>
        <v>61.27</v>
      </c>
      <c r="J350" s="13">
        <f>I350/H350-1</f>
        <v>-0.32328252705986305</v>
      </c>
      <c r="K350" s="13">
        <f>J350-E350</f>
        <v>-0.61903799387127745</v>
      </c>
      <c r="L350" s="13">
        <f>_xll.FDS(G350,"FF_ROE(ANN_R,12/30/2015)")</f>
        <v>19.151457691396061</v>
      </c>
      <c r="M350" s="8" t="s">
        <v>907</v>
      </c>
      <c r="N350" s="4" t="s">
        <v>908</v>
      </c>
      <c r="O350" s="4" t="s">
        <v>909</v>
      </c>
      <c r="P350" s="4" t="s">
        <v>96</v>
      </c>
      <c r="Q350" s="4" t="s">
        <v>58</v>
      </c>
      <c r="R350" s="4" t="s">
        <v>61</v>
      </c>
      <c r="S350" s="4" t="s">
        <v>62</v>
      </c>
      <c r="T350" s="6" t="e">
        <v>#N/A</v>
      </c>
      <c r="U350" s="5">
        <v>56</v>
      </c>
      <c r="V350" s="5">
        <v>65</v>
      </c>
      <c r="W350" s="5">
        <v>47</v>
      </c>
      <c r="X350" s="5">
        <v>62</v>
      </c>
      <c r="Y350" s="5">
        <v>47.69</v>
      </c>
      <c r="Z350" s="5">
        <v>72.31</v>
      </c>
      <c r="AA350" s="5">
        <v>30.77</v>
      </c>
      <c r="AB350" s="5">
        <v>46.92</v>
      </c>
      <c r="AC350" s="6">
        <v>0.25</v>
      </c>
      <c r="AD350" s="6">
        <v>0.45</v>
      </c>
      <c r="AE350" s="6">
        <v>0.3</v>
      </c>
      <c r="AF350" s="4" t="s">
        <v>6296</v>
      </c>
      <c r="AG350" s="4" t="s">
        <v>6296</v>
      </c>
      <c r="AH350" s="4" t="s">
        <v>6296</v>
      </c>
      <c r="AI350" s="4" t="s">
        <v>6296</v>
      </c>
      <c r="AJ350" s="4" t="s">
        <v>6296</v>
      </c>
      <c r="AK350" s="4" t="s">
        <v>37</v>
      </c>
      <c r="AL350" s="4" t="s">
        <v>6296</v>
      </c>
      <c r="AM350" s="4" t="s">
        <v>42</v>
      </c>
      <c r="AN350" s="4" t="s">
        <v>6296</v>
      </c>
      <c r="AO350" s="4" t="s">
        <v>6296</v>
      </c>
      <c r="AP350" s="4" t="s">
        <v>910</v>
      </c>
      <c r="AQ350" s="4" t="s">
        <v>47</v>
      </c>
    </row>
    <row r="351" spans="1:43" ht="12.6" customHeight="1" x14ac:dyDescent="0.25">
      <c r="A351" s="8" t="s">
        <v>961</v>
      </c>
      <c r="B351" s="9">
        <v>20151231</v>
      </c>
      <c r="C351" s="12">
        <f>_xll.FDS("SPX","FG_PRICE(12/30/2015)")</f>
        <v>2063.36</v>
      </c>
      <c r="D351" s="12">
        <f>_xll.FDS("SPX","FG_PRICE(12/30/2017)")</f>
        <v>2673.61</v>
      </c>
      <c r="E351" s="15">
        <f>D351/C351-1</f>
        <v>0.2957554668114144</v>
      </c>
      <c r="F351" s="8" t="s">
        <v>962</v>
      </c>
      <c r="G351" s="8" t="s">
        <v>963</v>
      </c>
      <c r="H351" s="13">
        <f>_xll.FDS(G351,"FG_PRICE(12/30/2015)")</f>
        <v>60.63</v>
      </c>
      <c r="I351" s="13">
        <f>_xll.FDS(G351,"FG_PRICE(12/31/2017)")</f>
        <v>67.39</v>
      </c>
      <c r="J351" s="13">
        <f>I351/H351-1</f>
        <v>0.11149595909615706</v>
      </c>
      <c r="K351" s="13">
        <f>J351-E351</f>
        <v>-0.18425950771525734</v>
      </c>
      <c r="L351" s="13">
        <f>_xll.FDS(G351,"FF_ROE(ANN_R,12/30/2015)")</f>
        <v>15.60622855540665</v>
      </c>
      <c r="M351" s="8" t="s">
        <v>964</v>
      </c>
      <c r="N351" s="4" t="s">
        <v>964</v>
      </c>
      <c r="O351" s="4" t="s">
        <v>965</v>
      </c>
      <c r="P351" s="4" t="s">
        <v>106</v>
      </c>
      <c r="Q351" s="4" t="s">
        <v>58</v>
      </c>
      <c r="R351" s="4" t="s">
        <v>61</v>
      </c>
      <c r="S351" s="4" t="s">
        <v>62</v>
      </c>
      <c r="T351" s="6" t="e">
        <v>#N/A</v>
      </c>
      <c r="U351" s="5">
        <v>58</v>
      </c>
      <c r="V351" s="5">
        <v>53</v>
      </c>
      <c r="W351" s="5">
        <v>52</v>
      </c>
      <c r="X351" s="5">
        <v>73</v>
      </c>
      <c r="Y351" s="5">
        <v>59.23</v>
      </c>
      <c r="Z351" s="5">
        <v>40.770000000000003</v>
      </c>
      <c r="AA351" s="5">
        <v>50.77</v>
      </c>
      <c r="AB351" s="5">
        <v>87.69</v>
      </c>
      <c r="AC351" s="6">
        <v>0.25</v>
      </c>
      <c r="AD351" s="6">
        <v>0.45</v>
      </c>
      <c r="AE351" s="6">
        <v>0.3</v>
      </c>
      <c r="AF351" s="4" t="s">
        <v>6296</v>
      </c>
      <c r="AG351" s="4" t="s">
        <v>6296</v>
      </c>
      <c r="AH351" s="4" t="s">
        <v>6296</v>
      </c>
      <c r="AI351" s="4" t="s">
        <v>6296</v>
      </c>
      <c r="AJ351" s="4" t="s">
        <v>6296</v>
      </c>
      <c r="AK351" s="4" t="s">
        <v>6296</v>
      </c>
      <c r="AL351" s="4" t="s">
        <v>6296</v>
      </c>
      <c r="AM351" s="4" t="s">
        <v>6296</v>
      </c>
      <c r="AN351" s="4" t="s">
        <v>6296</v>
      </c>
      <c r="AO351" s="4" t="s">
        <v>6296</v>
      </c>
      <c r="AP351" s="4" t="s">
        <v>966</v>
      </c>
      <c r="AQ351" s="4" t="s">
        <v>47</v>
      </c>
    </row>
    <row r="352" spans="1:43" ht="12.6" customHeight="1" x14ac:dyDescent="0.25">
      <c r="A352" s="8" t="s">
        <v>998</v>
      </c>
      <c r="B352" s="9">
        <v>20151231</v>
      </c>
      <c r="C352" s="12">
        <f>_xll.FDS("SPX","FG_PRICE(12/30/2015)")</f>
        <v>2063.36</v>
      </c>
      <c r="D352" s="12">
        <f>_xll.FDS("SPX","FG_PRICE(12/30/2017)")</f>
        <v>2673.61</v>
      </c>
      <c r="E352" s="15">
        <f>D352/C352-1</f>
        <v>0.2957554668114144</v>
      </c>
      <c r="F352" s="8" t="s">
        <v>999</v>
      </c>
      <c r="G352" s="8" t="s">
        <v>1000</v>
      </c>
      <c r="H352" s="13">
        <f>_xll.FDS(G352,"FG_PRICE(12/30/2015)")</f>
        <v>146.85</v>
      </c>
      <c r="I352" s="13">
        <f>_xll.FDS(G352,"FG_PRICE(12/31/2017)")</f>
        <v>203.09</v>
      </c>
      <c r="J352" s="13">
        <f>I352/H352-1</f>
        <v>0.38297582567245492</v>
      </c>
      <c r="K352" s="13">
        <f>J352-E352</f>
        <v>8.7220358861040514E-2</v>
      </c>
      <c r="L352" s="13">
        <f>_xll.FDS(G352,"FF_ROE(ANN_R,12/30/2015)")</f>
        <v>19.699170610561829</v>
      </c>
      <c r="M352" s="8" t="s">
        <v>1001</v>
      </c>
      <c r="N352" s="4" t="s">
        <v>1001</v>
      </c>
      <c r="O352" s="4" t="s">
        <v>1002</v>
      </c>
      <c r="P352" s="4" t="s">
        <v>96</v>
      </c>
      <c r="Q352" s="4" t="s">
        <v>58</v>
      </c>
      <c r="R352" s="4" t="s">
        <v>61</v>
      </c>
      <c r="S352" s="4" t="s">
        <v>62</v>
      </c>
      <c r="T352" s="6" t="e">
        <v>#N/A</v>
      </c>
      <c r="U352" s="5">
        <v>56</v>
      </c>
      <c r="V352" s="5">
        <v>60</v>
      </c>
      <c r="W352" s="5">
        <v>44</v>
      </c>
      <c r="X352" s="5">
        <v>70</v>
      </c>
      <c r="Y352" s="5">
        <v>47.69</v>
      </c>
      <c r="Z352" s="5">
        <v>60</v>
      </c>
      <c r="AA352" s="5">
        <v>14.62</v>
      </c>
      <c r="AB352" s="5">
        <v>76.150000000000006</v>
      </c>
      <c r="AC352" s="6">
        <v>0.25</v>
      </c>
      <c r="AD352" s="6">
        <v>0.45</v>
      </c>
      <c r="AE352" s="6">
        <v>0.3</v>
      </c>
      <c r="AF352" s="4" t="s">
        <v>6296</v>
      </c>
      <c r="AG352" s="4" t="s">
        <v>6296</v>
      </c>
      <c r="AH352" s="4" t="s">
        <v>6296</v>
      </c>
      <c r="AI352" s="4" t="s">
        <v>42</v>
      </c>
      <c r="AJ352" s="4" t="s">
        <v>6296</v>
      </c>
      <c r="AK352" s="4" t="s">
        <v>37</v>
      </c>
      <c r="AL352" s="4" t="s">
        <v>42</v>
      </c>
      <c r="AM352" s="4" t="s">
        <v>6296</v>
      </c>
      <c r="AN352" s="4" t="s">
        <v>6296</v>
      </c>
      <c r="AO352" s="4" t="s">
        <v>6296</v>
      </c>
      <c r="AP352" s="4" t="s">
        <v>1003</v>
      </c>
      <c r="AQ352" s="4" t="s">
        <v>47</v>
      </c>
    </row>
    <row r="353" spans="1:43" ht="12.6" customHeight="1" x14ac:dyDescent="0.25">
      <c r="A353" s="8" t="s">
        <v>3641</v>
      </c>
      <c r="B353" s="9">
        <v>20151231</v>
      </c>
      <c r="C353" s="12">
        <f>_xll.FDS("SPX","FG_PRICE(12/30/2015)")</f>
        <v>2063.36</v>
      </c>
      <c r="D353" s="12">
        <f>_xll.FDS("SPX","FG_PRICE(12/30/2017)")</f>
        <v>2673.61</v>
      </c>
      <c r="E353" s="15">
        <f>D353/C353-1</f>
        <v>0.2957554668114144</v>
      </c>
      <c r="F353" s="8" t="s">
        <v>3642</v>
      </c>
      <c r="G353" s="8" t="s">
        <v>3643</v>
      </c>
      <c r="H353" s="13">
        <f>_xll.FDS(G353,"FG_PRICE(12/30/2015)")</f>
        <v>66.290000000000006</v>
      </c>
      <c r="I353" s="13">
        <f>_xll.FDS(G353,"FG_PRICE(12/31/2017)")</f>
        <v>100.88</v>
      </c>
      <c r="J353" s="13">
        <f>I353/H353-1</f>
        <v>0.52179815960174958</v>
      </c>
      <c r="K353" s="13">
        <f>J353-E353</f>
        <v>0.22604269279033518</v>
      </c>
      <c r="L353" s="13">
        <f>_xll.FDS(G353,"FF_ROE(ANN_R,12/30/2015)")</f>
        <v>17.998409021232419</v>
      </c>
      <c r="M353" s="8" t="s">
        <v>3644</v>
      </c>
      <c r="N353" s="4" t="s">
        <v>3644</v>
      </c>
      <c r="O353" s="4" t="s">
        <v>3645</v>
      </c>
      <c r="P353" s="4" t="s">
        <v>96</v>
      </c>
      <c r="Q353" s="4" t="s">
        <v>58</v>
      </c>
      <c r="R353" s="4" t="s">
        <v>61</v>
      </c>
      <c r="S353" s="4" t="s">
        <v>62</v>
      </c>
      <c r="T353" s="6" t="e">
        <v>#N/A</v>
      </c>
      <c r="U353" s="5">
        <v>54</v>
      </c>
      <c r="V353" s="5">
        <v>53</v>
      </c>
      <c r="W353" s="5">
        <v>47</v>
      </c>
      <c r="X353" s="5">
        <v>66</v>
      </c>
      <c r="Y353" s="5">
        <v>36.15</v>
      </c>
      <c r="Z353" s="5">
        <v>40.770000000000003</v>
      </c>
      <c r="AA353" s="5">
        <v>30.77</v>
      </c>
      <c r="AB353" s="5">
        <v>62.31</v>
      </c>
      <c r="AC353" s="6">
        <v>0.25</v>
      </c>
      <c r="AD353" s="6">
        <v>0.45</v>
      </c>
      <c r="AE353" s="6">
        <v>0.3</v>
      </c>
      <c r="AF353" s="4" t="s">
        <v>6296</v>
      </c>
      <c r="AG353" s="4" t="s">
        <v>6296</v>
      </c>
      <c r="AH353" s="4" t="s">
        <v>6296</v>
      </c>
      <c r="AI353" s="4" t="s">
        <v>6296</v>
      </c>
      <c r="AJ353" s="4" t="s">
        <v>6296</v>
      </c>
      <c r="AK353" s="4" t="s">
        <v>6296</v>
      </c>
      <c r="AL353" s="4" t="s">
        <v>6296</v>
      </c>
      <c r="AM353" s="4" t="s">
        <v>42</v>
      </c>
      <c r="AN353" s="4" t="s">
        <v>6296</v>
      </c>
      <c r="AO353" s="4" t="s">
        <v>6296</v>
      </c>
      <c r="AP353" s="4" t="s">
        <v>3646</v>
      </c>
      <c r="AQ353" s="4" t="s">
        <v>47</v>
      </c>
    </row>
    <row r="354" spans="1:43" ht="12.6" customHeight="1" x14ac:dyDescent="0.25">
      <c r="A354" s="8" t="s">
        <v>1174</v>
      </c>
      <c r="B354" s="9">
        <v>20151231</v>
      </c>
      <c r="C354" s="12">
        <f>_xll.FDS("SPX","FG_PRICE(12/30/2015)")</f>
        <v>2063.36</v>
      </c>
      <c r="D354" s="12">
        <f>_xll.FDS("SPX","FG_PRICE(12/30/2017)")</f>
        <v>2673.61</v>
      </c>
      <c r="E354" s="15">
        <f>D354/C354-1</f>
        <v>0.2957554668114144</v>
      </c>
      <c r="F354" s="8" t="s">
        <v>1175</v>
      </c>
      <c r="G354" s="8" t="s">
        <v>1176</v>
      </c>
      <c r="H354" s="13">
        <f>_xll.FDS(G354,"FG_PRICE(12/30/2015)")</f>
        <v>135.47999999999999</v>
      </c>
      <c r="I354" s="13">
        <f>_xll.FDS(G354,"FG_PRICE(12/31/2017)")</f>
        <v>217.88</v>
      </c>
      <c r="J354" s="13">
        <f>I354/H354-1</f>
        <v>0.60820785355772089</v>
      </c>
      <c r="K354" s="13">
        <f>J354-E354</f>
        <v>0.31245238674630649</v>
      </c>
      <c r="L354" s="13">
        <f>_xll.FDS(G354,"FF_ROE(ANN_R,12/30/2015)")</f>
        <v>7.7719290172752169</v>
      </c>
      <c r="M354" s="8" t="s">
        <v>1177</v>
      </c>
      <c r="N354" s="4" t="s">
        <v>1178</v>
      </c>
      <c r="O354" s="4" t="s">
        <v>1179</v>
      </c>
      <c r="P354" s="4" t="s">
        <v>96</v>
      </c>
      <c r="Q354" s="4" t="s">
        <v>58</v>
      </c>
      <c r="R354" s="4" t="s">
        <v>61</v>
      </c>
      <c r="S354" s="4" t="s">
        <v>62</v>
      </c>
      <c r="T354" s="6" t="e">
        <v>#N/A</v>
      </c>
      <c r="U354" s="5">
        <v>49</v>
      </c>
      <c r="V354" s="5">
        <v>48</v>
      </c>
      <c r="W354" s="5">
        <v>45</v>
      </c>
      <c r="X354" s="5">
        <v>56</v>
      </c>
      <c r="Y354" s="6">
        <v>7.69</v>
      </c>
      <c r="Z354" s="5">
        <v>18.46</v>
      </c>
      <c r="AA354" s="5">
        <v>20</v>
      </c>
      <c r="AB354" s="5">
        <v>25.38</v>
      </c>
      <c r="AC354" s="6">
        <v>0.25</v>
      </c>
      <c r="AD354" s="6">
        <v>0.45</v>
      </c>
      <c r="AE354" s="6">
        <v>0.3</v>
      </c>
      <c r="AF354" s="4" t="s">
        <v>6296</v>
      </c>
      <c r="AG354" s="4" t="s">
        <v>6296</v>
      </c>
      <c r="AH354" s="4" t="s">
        <v>6296</v>
      </c>
      <c r="AI354" s="4" t="s">
        <v>6296</v>
      </c>
      <c r="AJ354" s="4" t="s">
        <v>6296</v>
      </c>
      <c r="AK354" s="4" t="s">
        <v>42</v>
      </c>
      <c r="AL354" s="4" t="s">
        <v>6296</v>
      </c>
      <c r="AM354" s="4" t="s">
        <v>6296</v>
      </c>
      <c r="AN354" s="4" t="s">
        <v>6296</v>
      </c>
      <c r="AO354" s="4" t="s">
        <v>6296</v>
      </c>
      <c r="AP354" s="4" t="s">
        <v>1180</v>
      </c>
      <c r="AQ354" s="4" t="s">
        <v>47</v>
      </c>
    </row>
    <row r="355" spans="1:43" ht="12.6" customHeight="1" x14ac:dyDescent="0.25">
      <c r="A355" s="8" t="s">
        <v>2740</v>
      </c>
      <c r="B355" s="9">
        <v>20151231</v>
      </c>
      <c r="C355" s="12">
        <f>_xll.FDS("SPX","FG_PRICE(12/30/2015)")</f>
        <v>2063.36</v>
      </c>
      <c r="D355" s="12">
        <f>_xll.FDS("SPX","FG_PRICE(12/30/2017)")</f>
        <v>2673.61</v>
      </c>
      <c r="E355" s="15">
        <f>D355/C355-1</f>
        <v>0.2957554668114144</v>
      </c>
      <c r="F355" s="8" t="s">
        <v>2741</v>
      </c>
      <c r="G355" s="8" t="s">
        <v>2742</v>
      </c>
      <c r="H355" s="13">
        <f>_xll.FDS(G355,"FG_PRICE(12/30/2015)")</f>
        <v>21.763113000000001</v>
      </c>
      <c r="I355" s="13">
        <f>_xll.FDS(G355,"FG_PRICE(12/31/2017)")</f>
        <v>4.26</v>
      </c>
      <c r="J355" s="13">
        <f>I355/H355-1</f>
        <v>-0.80425594445059401</v>
      </c>
      <c r="K355" s="13">
        <f>J355-E355</f>
        <v>-1.1000114112620083</v>
      </c>
      <c r="L355" s="13">
        <f>_xll.FDS(G355,"FF_ROE(ANN_R,12/30/2015)")</f>
        <v>4.2144999446316538</v>
      </c>
      <c r="M355" s="8" t="s">
        <v>2743</v>
      </c>
      <c r="N355" s="4" t="s">
        <v>2744</v>
      </c>
      <c r="O355" s="4" t="s">
        <v>2745</v>
      </c>
      <c r="P355" s="4" t="s">
        <v>96</v>
      </c>
      <c r="Q355" s="4" t="s">
        <v>58</v>
      </c>
      <c r="R355" s="4" t="s">
        <v>61</v>
      </c>
      <c r="S355" s="4" t="s">
        <v>62</v>
      </c>
      <c r="T355" s="6" t="e">
        <v>#N/A</v>
      </c>
      <c r="U355" s="5">
        <v>51</v>
      </c>
      <c r="V355" s="5">
        <v>63</v>
      </c>
      <c r="W355" s="5">
        <v>39</v>
      </c>
      <c r="X355" s="5">
        <v>60</v>
      </c>
      <c r="Y355" s="5">
        <v>21.54</v>
      </c>
      <c r="Z355" s="5">
        <v>66.92</v>
      </c>
      <c r="AA355" s="6">
        <v>0.77</v>
      </c>
      <c r="AB355" s="5">
        <v>36.92</v>
      </c>
      <c r="AC355" s="6">
        <v>0.25</v>
      </c>
      <c r="AD355" s="6">
        <v>0.45</v>
      </c>
      <c r="AE355" s="6">
        <v>0.3</v>
      </c>
      <c r="AF355" s="4" t="s">
        <v>6296</v>
      </c>
      <c r="AG355" s="4" t="s">
        <v>6296</v>
      </c>
      <c r="AH355" s="4" t="s">
        <v>6296</v>
      </c>
      <c r="AI355" s="4" t="s">
        <v>37</v>
      </c>
      <c r="AJ355" s="4" t="s">
        <v>6296</v>
      </c>
      <c r="AK355" s="4" t="s">
        <v>37</v>
      </c>
      <c r="AL355" s="4" t="s">
        <v>6296</v>
      </c>
      <c r="AM355" s="4" t="s">
        <v>37</v>
      </c>
      <c r="AN355" s="4" t="s">
        <v>6296</v>
      </c>
      <c r="AO355" s="4" t="s">
        <v>6296</v>
      </c>
      <c r="AP355" s="4" t="s">
        <v>2746</v>
      </c>
      <c r="AQ355" s="4" t="s">
        <v>47</v>
      </c>
    </row>
    <row r="356" spans="1:43" ht="12.6" customHeight="1" x14ac:dyDescent="0.25">
      <c r="A356" s="8" t="s">
        <v>3237</v>
      </c>
      <c r="B356" s="9">
        <v>20151231</v>
      </c>
      <c r="C356" s="12">
        <f>_xll.FDS("SPX","FG_PRICE(12/30/2015)")</f>
        <v>2063.36</v>
      </c>
      <c r="D356" s="12">
        <f>_xll.FDS("SPX","FG_PRICE(12/30/2017)")</f>
        <v>2673.61</v>
      </c>
      <c r="E356" s="15">
        <f>D356/C356-1</f>
        <v>0.2957554668114144</v>
      </c>
      <c r="F356" s="8" t="s">
        <v>3238</v>
      </c>
      <c r="G356" s="8" t="s">
        <v>3239</v>
      </c>
      <c r="H356" s="13">
        <f>_xll.FDS(G356,"FG_PRICE(12/30/2015)")</f>
        <v>71.739999999999995</v>
      </c>
      <c r="I356" s="13">
        <f>_xll.FDS(G356,"FG_PRICE(12/31/2017)")</f>
        <v>98.49</v>
      </c>
      <c r="J356" s="13">
        <f>I356/H356-1</f>
        <v>0.3728742681906887</v>
      </c>
      <c r="K356" s="13">
        <f>J356-E356</f>
        <v>7.7118801379274293E-2</v>
      </c>
      <c r="L356" s="13">
        <f>_xll.FDS(G356,"FF_ROE(ANN_R,12/30/2015)")</f>
        <v>13.31070432779731</v>
      </c>
      <c r="M356" s="8" t="s">
        <v>3240</v>
      </c>
      <c r="N356" s="4" t="s">
        <v>3240</v>
      </c>
      <c r="O356" s="4" t="s">
        <v>3241</v>
      </c>
      <c r="P356" s="4" t="s">
        <v>96</v>
      </c>
      <c r="Q356" s="4" t="s">
        <v>58</v>
      </c>
      <c r="R356" s="4" t="s">
        <v>61</v>
      </c>
      <c r="S356" s="4" t="s">
        <v>62</v>
      </c>
      <c r="T356" s="6" t="e">
        <v>#N/A</v>
      </c>
      <c r="U356" s="5">
        <v>58</v>
      </c>
      <c r="V356" s="5">
        <v>64</v>
      </c>
      <c r="W356" s="5">
        <v>54</v>
      </c>
      <c r="X356" s="5">
        <v>59</v>
      </c>
      <c r="Y356" s="5">
        <v>59.23</v>
      </c>
      <c r="Z356" s="5">
        <v>69.23</v>
      </c>
      <c r="AA356" s="5">
        <v>56.15</v>
      </c>
      <c r="AB356" s="5">
        <v>34.619999999999997</v>
      </c>
      <c r="AC356" s="6">
        <v>0.25</v>
      </c>
      <c r="AD356" s="6">
        <v>0.45</v>
      </c>
      <c r="AE356" s="6">
        <v>0.3</v>
      </c>
      <c r="AF356" s="4" t="s">
        <v>6296</v>
      </c>
      <c r="AG356" s="4" t="s">
        <v>6296</v>
      </c>
      <c r="AH356" s="4" t="s">
        <v>6296</v>
      </c>
      <c r="AI356" s="4" t="s">
        <v>42</v>
      </c>
      <c r="AJ356" s="4" t="s">
        <v>6296</v>
      </c>
      <c r="AK356" s="4" t="s">
        <v>42</v>
      </c>
      <c r="AL356" s="4" t="s">
        <v>6296</v>
      </c>
      <c r="AM356" s="4" t="s">
        <v>42</v>
      </c>
      <c r="AN356" s="4" t="s">
        <v>6296</v>
      </c>
      <c r="AO356" s="4" t="s">
        <v>6296</v>
      </c>
      <c r="AP356" s="4" t="s">
        <v>3242</v>
      </c>
      <c r="AQ356" s="4" t="s">
        <v>47</v>
      </c>
    </row>
    <row r="357" spans="1:43" ht="12.6" customHeight="1" x14ac:dyDescent="0.25">
      <c r="A357" s="8" t="s">
        <v>4084</v>
      </c>
      <c r="B357" s="9">
        <v>20151231</v>
      </c>
      <c r="C357" s="12">
        <f>_xll.FDS("SPX","FG_PRICE(12/30/2015)")</f>
        <v>2063.36</v>
      </c>
      <c r="D357" s="12">
        <f>_xll.FDS("SPX","FG_PRICE(12/30/2017)")</f>
        <v>2673.61</v>
      </c>
      <c r="E357" s="15">
        <f>D357/C357-1</f>
        <v>0.2957554668114144</v>
      </c>
      <c r="F357" s="8" t="s">
        <v>4085</v>
      </c>
      <c r="G357" s="8" t="s">
        <v>4086</v>
      </c>
      <c r="H357" s="13">
        <f>_xll.FDS(G357,"FG_PRICE(12/30/2015)")</f>
        <v>70.02</v>
      </c>
      <c r="I357" s="13">
        <f>_xll.FDS(G357,"FG_PRICE(12/31/2017)")</f>
        <v>72.25</v>
      </c>
      <c r="J357" s="13">
        <f>I357/H357-1</f>
        <v>3.184804341616676E-2</v>
      </c>
      <c r="K357" s="13">
        <f>J357-E357</f>
        <v>-0.26390742339524764</v>
      </c>
      <c r="L357" s="13">
        <f>_xll.FDS(G357,"FF_ROE(ANN_R,12/30/2015)")</f>
        <v>15.06018124351244</v>
      </c>
      <c r="M357" s="8" t="s">
        <v>4087</v>
      </c>
      <c r="N357" s="4" t="s">
        <v>4087</v>
      </c>
      <c r="O357" s="4" t="s">
        <v>4088</v>
      </c>
      <c r="P357" s="4" t="s">
        <v>96</v>
      </c>
      <c r="Q357" s="4" t="s">
        <v>58</v>
      </c>
      <c r="R357" s="4" t="s">
        <v>61</v>
      </c>
      <c r="S357" s="4" t="s">
        <v>62</v>
      </c>
      <c r="T357" s="6" t="e">
        <v>#N/A</v>
      </c>
      <c r="U357" s="5">
        <v>58</v>
      </c>
      <c r="V357" s="5">
        <v>67</v>
      </c>
      <c r="W357" s="5">
        <v>56</v>
      </c>
      <c r="X357" s="5">
        <v>52</v>
      </c>
      <c r="Y357" s="5">
        <v>59.23</v>
      </c>
      <c r="Z357" s="5">
        <v>78.459999999999994</v>
      </c>
      <c r="AA357" s="5">
        <v>63.08</v>
      </c>
      <c r="AB357" s="6">
        <v>7.69</v>
      </c>
      <c r="AC357" s="6">
        <v>0.25</v>
      </c>
      <c r="AD357" s="6">
        <v>0.45</v>
      </c>
      <c r="AE357" s="6">
        <v>0.3</v>
      </c>
      <c r="AF357" s="4" t="s">
        <v>6296</v>
      </c>
      <c r="AG357" s="4" t="s">
        <v>6296</v>
      </c>
      <c r="AH357" s="4" t="s">
        <v>6296</v>
      </c>
      <c r="AI357" s="4" t="s">
        <v>6296</v>
      </c>
      <c r="AJ357" s="4" t="s">
        <v>6296</v>
      </c>
      <c r="AK357" s="4" t="s">
        <v>37</v>
      </c>
      <c r="AL357" s="4" t="s">
        <v>6296</v>
      </c>
      <c r="AM357" s="4" t="s">
        <v>46</v>
      </c>
      <c r="AN357" s="4" t="s">
        <v>6296</v>
      </c>
      <c r="AO357" s="4" t="s">
        <v>6296</v>
      </c>
      <c r="AP357" s="4" t="s">
        <v>4089</v>
      </c>
      <c r="AQ357" s="4" t="s">
        <v>47</v>
      </c>
    </row>
    <row r="358" spans="1:43" ht="12.6" customHeight="1" x14ac:dyDescent="0.25">
      <c r="A358" s="8" t="s">
        <v>5511</v>
      </c>
      <c r="B358" s="9">
        <v>20151231</v>
      </c>
      <c r="C358" s="12">
        <f>_xll.FDS("SPX","FG_PRICE(12/30/2015)")</f>
        <v>2063.36</v>
      </c>
      <c r="D358" s="12">
        <f>_xll.FDS("SPX","FG_PRICE(12/30/2017)")</f>
        <v>2673.61</v>
      </c>
      <c r="E358" s="15">
        <f>D358/C358-1</f>
        <v>0.2957554668114144</v>
      </c>
      <c r="F358" s="8" t="s">
        <v>5512</v>
      </c>
      <c r="G358" s="8" t="s">
        <v>5513</v>
      </c>
      <c r="H358" s="13">
        <f>_xll.FDS(G358,"FG_PRICE(12/30/2015)")</f>
        <v>87.87</v>
      </c>
      <c r="I358" s="13">
        <f>_xll.FDS(G358,"FG_PRICE(12/31/2017)")</f>
        <v>74.64</v>
      </c>
      <c r="J358" s="13">
        <f>I358/H358-1</f>
        <v>-0.1505633321952885</v>
      </c>
      <c r="K358" s="13">
        <f>J358-E358</f>
        <v>-0.4463187990067029</v>
      </c>
      <c r="L358" s="13">
        <f>_xll.FDS(G358,"FF_ROE(ANN_R,12/30/2015)")</f>
        <v>9.5847377517211072</v>
      </c>
      <c r="M358" s="8" t="s">
        <v>5514</v>
      </c>
      <c r="N358" s="4" t="s">
        <v>5514</v>
      </c>
      <c r="O358" s="4" t="s">
        <v>5515</v>
      </c>
      <c r="P358" s="4" t="s">
        <v>106</v>
      </c>
      <c r="Q358" s="4" t="s">
        <v>58</v>
      </c>
      <c r="R358" s="4" t="s">
        <v>61</v>
      </c>
      <c r="S358" s="4" t="s">
        <v>62</v>
      </c>
      <c r="T358" s="6" t="e">
        <v>#N/A</v>
      </c>
      <c r="U358" s="5">
        <v>58</v>
      </c>
      <c r="V358" s="5">
        <v>55</v>
      </c>
      <c r="W358" s="5">
        <v>54</v>
      </c>
      <c r="X358" s="5">
        <v>66</v>
      </c>
      <c r="Y358" s="5">
        <v>59.23</v>
      </c>
      <c r="Z358" s="5">
        <v>46.92</v>
      </c>
      <c r="AA358" s="5">
        <v>56.15</v>
      </c>
      <c r="AB358" s="5">
        <v>62.31</v>
      </c>
      <c r="AC358" s="6">
        <v>0.25</v>
      </c>
      <c r="AD358" s="6">
        <v>0.45</v>
      </c>
      <c r="AE358" s="6">
        <v>0.3</v>
      </c>
      <c r="AF358" s="4" t="s">
        <v>6296</v>
      </c>
      <c r="AG358" s="4" t="s">
        <v>6296</v>
      </c>
      <c r="AH358" s="4" t="s">
        <v>6296</v>
      </c>
      <c r="AI358" s="4" t="s">
        <v>6296</v>
      </c>
      <c r="AJ358" s="4" t="s">
        <v>6296</v>
      </c>
      <c r="AK358" s="4" t="s">
        <v>42</v>
      </c>
      <c r="AL358" s="4" t="s">
        <v>6296</v>
      </c>
      <c r="AM358" s="4" t="s">
        <v>37</v>
      </c>
      <c r="AN358" s="4" t="s">
        <v>6296</v>
      </c>
      <c r="AO358" s="4" t="s">
        <v>6296</v>
      </c>
      <c r="AP358" s="4" t="s">
        <v>5516</v>
      </c>
      <c r="AQ358" s="4" t="s">
        <v>47</v>
      </c>
    </row>
    <row r="359" spans="1:43" ht="12.6" customHeight="1" x14ac:dyDescent="0.25">
      <c r="A359" s="8" t="s">
        <v>5728</v>
      </c>
      <c r="B359" s="9">
        <v>20151231</v>
      </c>
      <c r="C359" s="12">
        <f>_xll.FDS("SPX","FG_PRICE(12/30/2015)")</f>
        <v>2063.36</v>
      </c>
      <c r="D359" s="12">
        <f>_xll.FDS("SPX","FG_PRICE(12/30/2017)")</f>
        <v>2673.61</v>
      </c>
      <c r="E359" s="15">
        <f>D359/C359-1</f>
        <v>0.2957554668114144</v>
      </c>
      <c r="F359" s="8" t="s">
        <v>5729</v>
      </c>
      <c r="G359" s="8" t="s">
        <v>5730</v>
      </c>
      <c r="H359" s="13">
        <f>_xll.FDS(G359,"FG_PRICE(12/30/2015)")</f>
        <v>25.98</v>
      </c>
      <c r="I359" s="13" t="e">
        <f>_xll.FDS(G359,"FG_PRICE(12/31/2017)")</f>
        <v>#N/A</v>
      </c>
      <c r="J359" s="13" t="e">
        <f>I359/H359-1</f>
        <v>#N/A</v>
      </c>
      <c r="K359" s="13" t="e">
        <f>J359-E359</f>
        <v>#N/A</v>
      </c>
      <c r="L359" s="13">
        <f>_xll.FDS(G359,"FF_ROE(ANN_R,12/30/2015)")</f>
        <v>7.4811790301910399</v>
      </c>
      <c r="M359" s="8" t="s">
        <v>5731</v>
      </c>
      <c r="N359" s="4" t="s">
        <v>5732</v>
      </c>
      <c r="O359" s="4" t="s">
        <v>47</v>
      </c>
      <c r="P359" s="4" t="s">
        <v>96</v>
      </c>
      <c r="Q359" s="4" t="s">
        <v>58</v>
      </c>
      <c r="R359" s="4" t="s">
        <v>61</v>
      </c>
      <c r="S359" s="4" t="s">
        <v>62</v>
      </c>
      <c r="T359" s="6" t="e">
        <v>#N/A</v>
      </c>
      <c r="U359" s="5">
        <v>55</v>
      </c>
      <c r="V359" s="5">
        <v>52</v>
      </c>
      <c r="W359" s="5">
        <v>44</v>
      </c>
      <c r="X359" s="5">
        <v>72</v>
      </c>
      <c r="Y359" s="5">
        <v>42.31</v>
      </c>
      <c r="Z359" s="5">
        <v>39.229999999999997</v>
      </c>
      <c r="AA359" s="5">
        <v>14.62</v>
      </c>
      <c r="AB359" s="5">
        <v>86.15</v>
      </c>
      <c r="AC359" s="6">
        <v>0.25</v>
      </c>
      <c r="AD359" s="6">
        <v>0.45</v>
      </c>
      <c r="AE359" s="6">
        <v>0.3</v>
      </c>
      <c r="AF359" s="4" t="s">
        <v>6296</v>
      </c>
      <c r="AG359" s="4" t="s">
        <v>6296</v>
      </c>
      <c r="AH359" s="4" t="s">
        <v>6296</v>
      </c>
      <c r="AI359" s="4" t="s">
        <v>6296</v>
      </c>
      <c r="AJ359" s="4" t="s">
        <v>6296</v>
      </c>
      <c r="AK359" s="4" t="s">
        <v>6296</v>
      </c>
      <c r="AL359" s="4" t="s">
        <v>6296</v>
      </c>
      <c r="AM359" s="4" t="s">
        <v>6296</v>
      </c>
      <c r="AN359" s="4" t="s">
        <v>6296</v>
      </c>
      <c r="AO359" s="4" t="s">
        <v>6296</v>
      </c>
      <c r="AP359" s="4" t="s">
        <v>5733</v>
      </c>
      <c r="AQ359" s="4" t="s">
        <v>47</v>
      </c>
    </row>
    <row r="360" spans="1:43" ht="12.6" customHeight="1" x14ac:dyDescent="0.25">
      <c r="A360" s="8" t="s">
        <v>2590</v>
      </c>
      <c r="B360" s="9">
        <v>20151231</v>
      </c>
      <c r="C360" s="12">
        <f>_xll.FDS("SPX","FG_PRICE(12/30/2015)")</f>
        <v>2063.36</v>
      </c>
      <c r="D360" s="12">
        <f>_xll.FDS("SPX","FG_PRICE(12/30/2017)")</f>
        <v>2673.61</v>
      </c>
      <c r="E360" s="15">
        <f>D360/C360-1</f>
        <v>0.2957554668114144</v>
      </c>
      <c r="F360" s="8" t="s">
        <v>2591</v>
      </c>
      <c r="G360" s="8" t="s">
        <v>2592</v>
      </c>
      <c r="H360" s="13">
        <f>_xll.FDS(G360,"FG_PRICE(12/30/2015)")</f>
        <v>79.209999999999994</v>
      </c>
      <c r="I360" s="13">
        <f>_xll.FDS(G360,"FG_PRICE(12/31/2017)")</f>
        <v>112.71</v>
      </c>
      <c r="J360" s="13">
        <f>I360/H360-1</f>
        <v>0.42292639818204769</v>
      </c>
      <c r="K360" s="13">
        <f>J360-E360</f>
        <v>0.12717093137063329</v>
      </c>
      <c r="L360" s="13">
        <f>_xll.FDS(G360,"FF_ROE(ANN_R,12/30/2015)")</f>
        <v>43.251746387244708</v>
      </c>
      <c r="M360" s="8" t="s">
        <v>2593</v>
      </c>
      <c r="N360" s="4" t="s">
        <v>2593</v>
      </c>
      <c r="O360" s="4" t="s">
        <v>2594</v>
      </c>
      <c r="P360" s="4" t="s">
        <v>96</v>
      </c>
      <c r="Q360" s="4" t="s">
        <v>58</v>
      </c>
      <c r="R360" s="4" t="s">
        <v>61</v>
      </c>
      <c r="S360" s="4" t="s">
        <v>62</v>
      </c>
      <c r="T360" s="6" t="e">
        <v>#N/A</v>
      </c>
      <c r="U360" s="5">
        <v>57</v>
      </c>
      <c r="V360" s="5">
        <v>50</v>
      </c>
      <c r="W360" s="5">
        <v>60</v>
      </c>
      <c r="X360" s="5">
        <v>59</v>
      </c>
      <c r="Y360" s="5">
        <v>52.31</v>
      </c>
      <c r="Z360" s="5">
        <v>35.380000000000003</v>
      </c>
      <c r="AA360" s="5">
        <v>77.69</v>
      </c>
      <c r="AB360" s="5">
        <v>34.619999999999997</v>
      </c>
      <c r="AC360" s="6">
        <v>0.25</v>
      </c>
      <c r="AD360" s="6">
        <v>0.45</v>
      </c>
      <c r="AE360" s="6">
        <v>0.3</v>
      </c>
      <c r="AF360" s="4" t="s">
        <v>6296</v>
      </c>
      <c r="AG360" s="4" t="s">
        <v>6296</v>
      </c>
      <c r="AH360" s="4" t="s">
        <v>6296</v>
      </c>
      <c r="AI360" s="4" t="s">
        <v>6296</v>
      </c>
      <c r="AJ360" s="4" t="s">
        <v>6296</v>
      </c>
      <c r="AK360" s="4" t="s">
        <v>6296</v>
      </c>
      <c r="AL360" s="4" t="s">
        <v>6296</v>
      </c>
      <c r="AM360" s="4" t="s">
        <v>42</v>
      </c>
      <c r="AN360" s="4" t="s">
        <v>6296</v>
      </c>
      <c r="AO360" s="4" t="s">
        <v>6296</v>
      </c>
      <c r="AP360" s="4" t="s">
        <v>2595</v>
      </c>
      <c r="AQ360" s="4" t="s">
        <v>47</v>
      </c>
    </row>
    <row r="361" spans="1:43" ht="12.6" customHeight="1" x14ac:dyDescent="0.25">
      <c r="A361" s="8" t="s">
        <v>5182</v>
      </c>
      <c r="B361" s="9">
        <v>20151231</v>
      </c>
      <c r="C361" s="12">
        <f>_xll.FDS("SPX","FG_PRICE(12/30/2015)")</f>
        <v>2063.36</v>
      </c>
      <c r="D361" s="12">
        <f>_xll.FDS("SPX","FG_PRICE(12/30/2017)")</f>
        <v>2673.61</v>
      </c>
      <c r="E361" s="15">
        <f>D361/C361-1</f>
        <v>0.2957554668114144</v>
      </c>
      <c r="F361" s="8" t="s">
        <v>5183</v>
      </c>
      <c r="G361" s="8" t="s">
        <v>5184</v>
      </c>
      <c r="H361" s="13">
        <f>_xll.FDS(G361,"FG_PRICE(12/30/2015)")</f>
        <v>68.44</v>
      </c>
      <c r="I361" s="13">
        <f>_xll.FDS(G361,"FG_PRICE(12/31/2017)")</f>
        <v>87.84</v>
      </c>
      <c r="J361" s="13">
        <f>I361/H361-1</f>
        <v>0.28345996493278802</v>
      </c>
      <c r="K361" s="13">
        <f>J361-E361</f>
        <v>-1.229550187862638E-2</v>
      </c>
      <c r="L361" s="13" t="e">
        <f>_xll.FDS(G361,"FF_ROE(ANN_R,12/30/2015)")</f>
        <v>#N/A</v>
      </c>
      <c r="M361" s="8" t="s">
        <v>5185</v>
      </c>
      <c r="N361" s="4" t="s">
        <v>5186</v>
      </c>
      <c r="O361" s="4" t="s">
        <v>5187</v>
      </c>
      <c r="P361" s="4" t="s">
        <v>96</v>
      </c>
      <c r="Q361" s="4" t="s">
        <v>58</v>
      </c>
      <c r="R361" s="4" t="s">
        <v>61</v>
      </c>
      <c r="S361" s="4" t="s">
        <v>62</v>
      </c>
      <c r="T361" s="6" t="e">
        <v>#N/A</v>
      </c>
      <c r="U361" s="5">
        <v>56</v>
      </c>
      <c r="V361" s="5">
        <v>62</v>
      </c>
      <c r="W361" s="5">
        <v>49</v>
      </c>
      <c r="X361" s="5">
        <v>61</v>
      </c>
      <c r="Y361" s="5">
        <v>47.69</v>
      </c>
      <c r="Z361" s="5">
        <v>64.62</v>
      </c>
      <c r="AA361" s="5">
        <v>40.770000000000003</v>
      </c>
      <c r="AB361" s="5">
        <v>44.62</v>
      </c>
      <c r="AC361" s="6">
        <v>0.25</v>
      </c>
      <c r="AD361" s="6">
        <v>0.45</v>
      </c>
      <c r="AE361" s="6">
        <v>0.3</v>
      </c>
      <c r="AF361" s="4" t="s">
        <v>6296</v>
      </c>
      <c r="AG361" s="4" t="s">
        <v>6296</v>
      </c>
      <c r="AH361" s="4" t="s">
        <v>6296</v>
      </c>
      <c r="AI361" s="4" t="s">
        <v>42</v>
      </c>
      <c r="AJ361" s="4" t="s">
        <v>6296</v>
      </c>
      <c r="AK361" s="4" t="s">
        <v>37</v>
      </c>
      <c r="AL361" s="4" t="s">
        <v>6296</v>
      </c>
      <c r="AM361" s="4" t="s">
        <v>42</v>
      </c>
      <c r="AN361" s="4" t="s">
        <v>6296</v>
      </c>
      <c r="AO361" s="4" t="s">
        <v>6296</v>
      </c>
      <c r="AP361" s="4" t="s">
        <v>5188</v>
      </c>
      <c r="AQ361" s="4" t="s">
        <v>47</v>
      </c>
    </row>
    <row r="362" spans="1:43" ht="12.6" customHeight="1" x14ac:dyDescent="0.25">
      <c r="A362" s="8" t="s">
        <v>1935</v>
      </c>
      <c r="B362" s="9">
        <v>20151231</v>
      </c>
      <c r="C362" s="12">
        <f>_xll.FDS("SPX","FG_PRICE(12/30/2015)")</f>
        <v>2063.36</v>
      </c>
      <c r="D362" s="12">
        <f>_xll.FDS("SPX","FG_PRICE(12/30/2017)")</f>
        <v>2673.61</v>
      </c>
      <c r="E362" s="15">
        <f>D362/C362-1</f>
        <v>0.2957554668114144</v>
      </c>
      <c r="F362" s="8" t="s">
        <v>1936</v>
      </c>
      <c r="G362" s="8" t="s">
        <v>1937</v>
      </c>
      <c r="H362" s="13">
        <f>_xll.FDS(G362,"FG_PRICE(12/30/2015)")</f>
        <v>68.75</v>
      </c>
      <c r="I362" s="13" t="e">
        <f>_xll.FDS(G362,"FG_PRICE(12/31/2017)")</f>
        <v>#N/A</v>
      </c>
      <c r="J362" s="13" t="e">
        <f>I362/H362-1</f>
        <v>#N/A</v>
      </c>
      <c r="K362" s="13" t="e">
        <f>J362-E362</f>
        <v>#N/A</v>
      </c>
      <c r="L362" s="13">
        <f>_xll.FDS(G362,"FF_ROE(ANN_R,12/30/2015)")</f>
        <v>8.7254380049568105</v>
      </c>
      <c r="M362" s="8" t="s">
        <v>1938</v>
      </c>
      <c r="N362" s="4" t="s">
        <v>1939</v>
      </c>
      <c r="O362" s="4" t="s">
        <v>47</v>
      </c>
      <c r="P362" s="4" t="s">
        <v>96</v>
      </c>
      <c r="Q362" s="4" t="s">
        <v>58</v>
      </c>
      <c r="R362" s="4" t="s">
        <v>61</v>
      </c>
      <c r="S362" s="4" t="s">
        <v>62</v>
      </c>
      <c r="T362" s="6" t="e">
        <v>#N/A</v>
      </c>
      <c r="U362" s="5">
        <v>55</v>
      </c>
      <c r="V362" s="5">
        <v>49</v>
      </c>
      <c r="W362" s="5">
        <v>47</v>
      </c>
      <c r="X362" s="5">
        <v>74</v>
      </c>
      <c r="Y362" s="5">
        <v>42.31</v>
      </c>
      <c r="Z362" s="5">
        <v>29.23</v>
      </c>
      <c r="AA362" s="5">
        <v>30.77</v>
      </c>
      <c r="AB362" s="5">
        <v>89.23</v>
      </c>
      <c r="AC362" s="6">
        <v>0.25</v>
      </c>
      <c r="AD362" s="6">
        <v>0.45</v>
      </c>
      <c r="AE362" s="6">
        <v>0.3</v>
      </c>
      <c r="AF362" s="4" t="s">
        <v>6296</v>
      </c>
      <c r="AG362" s="4" t="s">
        <v>6296</v>
      </c>
      <c r="AH362" s="4" t="s">
        <v>6296</v>
      </c>
      <c r="AI362" s="4" t="s">
        <v>6296</v>
      </c>
      <c r="AJ362" s="4" t="s">
        <v>6296</v>
      </c>
      <c r="AK362" s="4" t="s">
        <v>42</v>
      </c>
      <c r="AL362" s="4" t="s">
        <v>6296</v>
      </c>
      <c r="AM362" s="4" t="s">
        <v>6296</v>
      </c>
      <c r="AN362" s="4" t="s">
        <v>6296</v>
      </c>
      <c r="AO362" s="4" t="s">
        <v>6296</v>
      </c>
      <c r="AP362" s="4" t="s">
        <v>1940</v>
      </c>
      <c r="AQ362" s="4" t="s">
        <v>47</v>
      </c>
    </row>
    <row r="363" spans="1:43" ht="12.6" customHeight="1" x14ac:dyDescent="0.25">
      <c r="A363" s="8" t="s">
        <v>2008</v>
      </c>
      <c r="B363" s="9">
        <v>20151231</v>
      </c>
      <c r="C363" s="12">
        <f>_xll.FDS("SPX","FG_PRICE(12/30/2015)")</f>
        <v>2063.36</v>
      </c>
      <c r="D363" s="12">
        <f>_xll.FDS("SPX","FG_PRICE(12/30/2017)")</f>
        <v>2673.61</v>
      </c>
      <c r="E363" s="15">
        <f>D363/C363-1</f>
        <v>0.2957554668114144</v>
      </c>
      <c r="F363" s="8" t="s">
        <v>2009</v>
      </c>
      <c r="G363" s="8" t="s">
        <v>2010</v>
      </c>
      <c r="H363" s="13">
        <f>_xll.FDS(G363,"FG_PRICE(12/30/2015)")</f>
        <v>39.340000000000003</v>
      </c>
      <c r="I363" s="13">
        <f>_xll.FDS(G363,"FG_PRICE(12/31/2017)")</f>
        <v>42.75</v>
      </c>
      <c r="J363" s="13">
        <f>I363/H363-1</f>
        <v>8.6680223690899671E-2</v>
      </c>
      <c r="K363" s="13">
        <f>J363-E363</f>
        <v>-0.20907524312051473</v>
      </c>
      <c r="L363" s="13">
        <f>_xll.FDS(G363,"FF_ROE(ANN_R,12/30/2015)")</f>
        <v>6.3541113417990447</v>
      </c>
      <c r="M363" s="8" t="s">
        <v>2011</v>
      </c>
      <c r="N363" s="4" t="s">
        <v>2012</v>
      </c>
      <c r="O363" s="4" t="s">
        <v>2013</v>
      </c>
      <c r="P363" s="4" t="s">
        <v>106</v>
      </c>
      <c r="Q363" s="4" t="s">
        <v>58</v>
      </c>
      <c r="R363" s="4" t="s">
        <v>61</v>
      </c>
      <c r="S363" s="4" t="s">
        <v>62</v>
      </c>
      <c r="T363" s="6" t="e">
        <v>#N/A</v>
      </c>
      <c r="U363" s="5">
        <v>49</v>
      </c>
      <c r="V363" s="5">
        <v>48</v>
      </c>
      <c r="W363" s="5">
        <v>45</v>
      </c>
      <c r="X363" s="5">
        <v>54</v>
      </c>
      <c r="Y363" s="6">
        <v>7.69</v>
      </c>
      <c r="Z363" s="5">
        <v>18.46</v>
      </c>
      <c r="AA363" s="5">
        <v>20</v>
      </c>
      <c r="AB363" s="5">
        <v>18.46</v>
      </c>
      <c r="AC363" s="6">
        <v>0.25</v>
      </c>
      <c r="AD363" s="6">
        <v>0.45</v>
      </c>
      <c r="AE363" s="6">
        <v>0.3</v>
      </c>
      <c r="AF363" s="4" t="s">
        <v>6296</v>
      </c>
      <c r="AG363" s="4" t="s">
        <v>6296</v>
      </c>
      <c r="AH363" s="4" t="s">
        <v>6296</v>
      </c>
      <c r="AI363" s="4" t="s">
        <v>6296</v>
      </c>
      <c r="AJ363" s="4" t="s">
        <v>6296</v>
      </c>
      <c r="AK363" s="4" t="s">
        <v>6296</v>
      </c>
      <c r="AL363" s="4" t="s">
        <v>6296</v>
      </c>
      <c r="AM363" s="4" t="s">
        <v>42</v>
      </c>
      <c r="AN363" s="4" t="s">
        <v>6296</v>
      </c>
      <c r="AO363" s="4" t="s">
        <v>6296</v>
      </c>
      <c r="AP363" s="4" t="s">
        <v>2014</v>
      </c>
      <c r="AQ363" s="4" t="s">
        <v>47</v>
      </c>
    </row>
    <row r="364" spans="1:43" ht="12.6" customHeight="1" x14ac:dyDescent="0.25">
      <c r="A364" s="8" t="s">
        <v>1968</v>
      </c>
      <c r="B364" s="9">
        <v>20151231</v>
      </c>
      <c r="C364" s="12">
        <f>_xll.FDS("SPX","FG_PRICE(12/30/2015)")</f>
        <v>2063.36</v>
      </c>
      <c r="D364" s="12">
        <f>_xll.FDS("SPX","FG_PRICE(12/30/2017)")</f>
        <v>2673.61</v>
      </c>
      <c r="E364" s="15">
        <f>D364/C364-1</f>
        <v>0.2957554668114144</v>
      </c>
      <c r="F364" s="8" t="s">
        <v>1969</v>
      </c>
      <c r="G364" s="8" t="s">
        <v>1970</v>
      </c>
      <c r="H364" s="13">
        <f>_xll.FDS(G364,"FG_PRICE(12/30/2015)")</f>
        <v>49</v>
      </c>
      <c r="I364" s="13">
        <f>_xll.FDS(G364,"FG_PRICE(12/31/2017)")</f>
        <v>84.29</v>
      </c>
      <c r="J364" s="13">
        <f>I364/H364-1</f>
        <v>0.72020408163265315</v>
      </c>
      <c r="K364" s="13">
        <f>J364-E364</f>
        <v>0.42444861482123875</v>
      </c>
      <c r="L364" s="13">
        <f>_xll.FDS(G364,"FF_ROE(ANN_R,12/30/2015)")</f>
        <v>4.8837923620354253</v>
      </c>
      <c r="M364" s="8" t="s">
        <v>1971</v>
      </c>
      <c r="N364" s="4" t="s">
        <v>1972</v>
      </c>
      <c r="O364" s="4" t="s">
        <v>1973</v>
      </c>
      <c r="P364" s="4" t="s">
        <v>96</v>
      </c>
      <c r="Q364" s="4" t="s">
        <v>58</v>
      </c>
      <c r="R364" s="4" t="s">
        <v>61</v>
      </c>
      <c r="S364" s="4" t="s">
        <v>62</v>
      </c>
      <c r="T364" s="6" t="e">
        <v>#N/A</v>
      </c>
      <c r="U364" s="5">
        <v>53</v>
      </c>
      <c r="V364" s="5">
        <v>48</v>
      </c>
      <c r="W364" s="5">
        <v>49</v>
      </c>
      <c r="X364" s="5">
        <v>62</v>
      </c>
      <c r="Y364" s="5">
        <v>33.85</v>
      </c>
      <c r="Z364" s="5">
        <v>18.46</v>
      </c>
      <c r="AA364" s="5">
        <v>40.770000000000003</v>
      </c>
      <c r="AB364" s="5">
        <v>46.92</v>
      </c>
      <c r="AC364" s="6">
        <v>0.25</v>
      </c>
      <c r="AD364" s="6">
        <v>0.45</v>
      </c>
      <c r="AE364" s="6">
        <v>0.3</v>
      </c>
      <c r="AF364" s="4" t="s">
        <v>6296</v>
      </c>
      <c r="AG364" s="4" t="s">
        <v>6296</v>
      </c>
      <c r="AH364" s="4" t="s">
        <v>6296</v>
      </c>
      <c r="AI364" s="4" t="s">
        <v>6296</v>
      </c>
      <c r="AJ364" s="4" t="s">
        <v>6296</v>
      </c>
      <c r="AK364" s="4" t="s">
        <v>42</v>
      </c>
      <c r="AL364" s="4" t="s">
        <v>6296</v>
      </c>
      <c r="AM364" s="4" t="s">
        <v>6296</v>
      </c>
      <c r="AN364" s="4" t="s">
        <v>6296</v>
      </c>
      <c r="AO364" s="4" t="s">
        <v>6296</v>
      </c>
      <c r="AP364" s="4" t="s">
        <v>1974</v>
      </c>
      <c r="AQ364" s="4" t="s">
        <v>47</v>
      </c>
    </row>
    <row r="365" spans="1:43" ht="12.6" customHeight="1" x14ac:dyDescent="0.25">
      <c r="A365" s="8" t="s">
        <v>1901</v>
      </c>
      <c r="B365" s="9">
        <v>20151231</v>
      </c>
      <c r="C365" s="12">
        <f>_xll.FDS("SPX","FG_PRICE(12/30/2015)")</f>
        <v>2063.36</v>
      </c>
      <c r="D365" s="12">
        <f>_xll.FDS("SPX","FG_PRICE(12/30/2017)")</f>
        <v>2673.61</v>
      </c>
      <c r="E365" s="15">
        <f>D365/C365-1</f>
        <v>0.2957554668114144</v>
      </c>
      <c r="F365" s="8" t="s">
        <v>1902</v>
      </c>
      <c r="G365" s="8" t="s">
        <v>1903</v>
      </c>
      <c r="H365" s="13">
        <f>_xll.FDS(G365,"FG_PRICE(12/30/2015)")</f>
        <v>79.954999999999998</v>
      </c>
      <c r="I365" s="13">
        <f>_xll.FDS(G365,"FG_PRICE(12/31/2017)")</f>
        <v>69.88</v>
      </c>
      <c r="J365" s="13">
        <f>I365/H365-1</f>
        <v>-0.12600837971358891</v>
      </c>
      <c r="K365" s="13">
        <f>J365-E365</f>
        <v>-0.42176384652500332</v>
      </c>
      <c r="L365" s="13">
        <f>_xll.FDS(G365,"FF_ROE(ANN_R,12/30/2015)")</f>
        <v>16.64920158655681</v>
      </c>
      <c r="M365" s="8" t="s">
        <v>1904</v>
      </c>
      <c r="N365" s="4" t="s">
        <v>1905</v>
      </c>
      <c r="O365" s="4" t="s">
        <v>1906</v>
      </c>
      <c r="P365" s="4" t="s">
        <v>106</v>
      </c>
      <c r="Q365" s="4" t="s">
        <v>58</v>
      </c>
      <c r="R365" s="4" t="s">
        <v>61</v>
      </c>
      <c r="S365" s="4" t="s">
        <v>62</v>
      </c>
      <c r="T365" s="6" t="e">
        <v>#N/A</v>
      </c>
      <c r="U365" s="5">
        <v>59</v>
      </c>
      <c r="V365" s="5">
        <v>55</v>
      </c>
      <c r="W365" s="5">
        <v>59</v>
      </c>
      <c r="X365" s="5">
        <v>61</v>
      </c>
      <c r="Y365" s="5">
        <v>63.08</v>
      </c>
      <c r="Z365" s="5">
        <v>46.92</v>
      </c>
      <c r="AA365" s="5">
        <v>74.62</v>
      </c>
      <c r="AB365" s="5">
        <v>44.62</v>
      </c>
      <c r="AC365" s="6">
        <v>0.25</v>
      </c>
      <c r="AD365" s="6">
        <v>0.45</v>
      </c>
      <c r="AE365" s="6">
        <v>0.3</v>
      </c>
      <c r="AF365" s="4" t="s">
        <v>6296</v>
      </c>
      <c r="AG365" s="4" t="s">
        <v>6296</v>
      </c>
      <c r="AH365" s="4" t="s">
        <v>6296</v>
      </c>
      <c r="AI365" s="4" t="s">
        <v>6296</v>
      </c>
      <c r="AJ365" s="4" t="s">
        <v>6296</v>
      </c>
      <c r="AK365" s="4" t="s">
        <v>42</v>
      </c>
      <c r="AL365" s="4" t="s">
        <v>6296</v>
      </c>
      <c r="AM365" s="4" t="s">
        <v>6296</v>
      </c>
      <c r="AN365" s="4" t="s">
        <v>6296</v>
      </c>
      <c r="AO365" s="4" t="s">
        <v>6296</v>
      </c>
      <c r="AP365" s="4" t="s">
        <v>1907</v>
      </c>
      <c r="AQ365" s="4" t="s">
        <v>47</v>
      </c>
    </row>
    <row r="366" spans="1:43" ht="12.6" customHeight="1" x14ac:dyDescent="0.25">
      <c r="A366" s="8" t="s">
        <v>2065</v>
      </c>
      <c r="B366" s="9">
        <v>20151231</v>
      </c>
      <c r="C366" s="12">
        <f>_xll.FDS("SPX","FG_PRICE(12/30/2015)")</f>
        <v>2063.36</v>
      </c>
      <c r="D366" s="12">
        <f>_xll.FDS("SPX","FG_PRICE(12/30/2017)")</f>
        <v>2673.61</v>
      </c>
      <c r="E366" s="15">
        <f>D366/C366-1</f>
        <v>0.2957554668114144</v>
      </c>
      <c r="F366" s="8" t="s">
        <v>2066</v>
      </c>
      <c r="G366" s="8" t="s">
        <v>2067</v>
      </c>
      <c r="H366" s="13">
        <f>_xll.FDS(G366,"FG_PRICE(12/30/2015)")</f>
        <v>179</v>
      </c>
      <c r="I366" s="13">
        <f>_xll.FDS(G366,"FG_PRICE(12/31/2017)")</f>
        <v>248.07</v>
      </c>
      <c r="J366" s="13">
        <f>I366/H366-1</f>
        <v>0.3858659217877094</v>
      </c>
      <c r="K366" s="13">
        <f>J366-E366</f>
        <v>9.0110454976294996E-2</v>
      </c>
      <c r="L366" s="13">
        <f>_xll.FDS(G366,"FF_ROE(ANN_R,12/30/2015)")</f>
        <v>12.09787997046725</v>
      </c>
      <c r="M366" s="8" t="s">
        <v>2068</v>
      </c>
      <c r="N366" s="4" t="s">
        <v>2068</v>
      </c>
      <c r="O366" s="4" t="s">
        <v>2069</v>
      </c>
      <c r="P366" s="4" t="s">
        <v>96</v>
      </c>
      <c r="Q366" s="4" t="s">
        <v>58</v>
      </c>
      <c r="R366" s="4" t="s">
        <v>61</v>
      </c>
      <c r="S366" s="4" t="s">
        <v>62</v>
      </c>
      <c r="T366" s="6" t="e">
        <v>#N/A</v>
      </c>
      <c r="U366" s="5">
        <v>67</v>
      </c>
      <c r="V366" s="5">
        <v>70</v>
      </c>
      <c r="W366" s="5">
        <v>58</v>
      </c>
      <c r="X366" s="5">
        <v>77</v>
      </c>
      <c r="Y366" s="5">
        <v>86.92</v>
      </c>
      <c r="Z366" s="5">
        <v>82.31</v>
      </c>
      <c r="AA366" s="5">
        <v>70.77</v>
      </c>
      <c r="AB366" s="5">
        <v>94.62</v>
      </c>
      <c r="AC366" s="6">
        <v>0.25</v>
      </c>
      <c r="AD366" s="6">
        <v>0.45</v>
      </c>
      <c r="AE366" s="6">
        <v>0.3</v>
      </c>
      <c r="AF366" s="4" t="s">
        <v>6296</v>
      </c>
      <c r="AG366" s="4" t="s">
        <v>6296</v>
      </c>
      <c r="AH366" s="4" t="s">
        <v>6296</v>
      </c>
      <c r="AI366" s="4" t="s">
        <v>42</v>
      </c>
      <c r="AJ366" s="4" t="s">
        <v>6296</v>
      </c>
      <c r="AK366" s="4" t="s">
        <v>37</v>
      </c>
      <c r="AL366" s="4" t="s">
        <v>6296</v>
      </c>
      <c r="AM366" s="4" t="s">
        <v>42</v>
      </c>
      <c r="AN366" s="4" t="s">
        <v>42</v>
      </c>
      <c r="AO366" s="4" t="s">
        <v>6296</v>
      </c>
      <c r="AP366" s="4" t="s">
        <v>2070</v>
      </c>
      <c r="AQ366" s="4" t="s">
        <v>47</v>
      </c>
    </row>
    <row r="367" spans="1:43" ht="12.6" customHeight="1" x14ac:dyDescent="0.25">
      <c r="A367" s="8" t="s">
        <v>5991</v>
      </c>
      <c r="B367" s="9">
        <v>20151231</v>
      </c>
      <c r="C367" s="12">
        <f>_xll.FDS("SPX","FG_PRICE(12/30/2015)")</f>
        <v>2063.36</v>
      </c>
      <c r="D367" s="12">
        <f>_xll.FDS("SPX","FG_PRICE(12/30/2017)")</f>
        <v>2673.61</v>
      </c>
      <c r="E367" s="15">
        <f>D367/C367-1</f>
        <v>0.2957554668114144</v>
      </c>
      <c r="F367" s="8" t="s">
        <v>5992</v>
      </c>
      <c r="G367" s="8" t="s">
        <v>5993</v>
      </c>
      <c r="H367" s="13">
        <f>_xll.FDS(G367,"FG_PRICE(12/30/2015)")</f>
        <v>33.630000000000003</v>
      </c>
      <c r="I367" s="13">
        <f>_xll.FDS(G367,"FG_PRICE(12/31/2017)")</f>
        <v>46.18</v>
      </c>
      <c r="J367" s="13">
        <f>I367/H367-1</f>
        <v>0.3731787094855783</v>
      </c>
      <c r="K367" s="13">
        <f>J367-E367</f>
        <v>7.7423242674163895E-2</v>
      </c>
      <c r="L367" s="13">
        <f>_xll.FDS(G367,"FF_ROE(ANN_R,12/30/2015)")</f>
        <v>1.518079713189368</v>
      </c>
      <c r="M367" s="8" t="s">
        <v>5994</v>
      </c>
      <c r="N367" s="4" t="s">
        <v>5995</v>
      </c>
      <c r="O367" s="4" t="s">
        <v>5996</v>
      </c>
      <c r="P367" s="4" t="s">
        <v>96</v>
      </c>
      <c r="Q367" s="4" t="s">
        <v>58</v>
      </c>
      <c r="R367" s="4" t="s">
        <v>61</v>
      </c>
      <c r="S367" s="4" t="s">
        <v>62</v>
      </c>
      <c r="T367" s="6" t="e">
        <v>#N/A</v>
      </c>
      <c r="U367" s="5">
        <v>71</v>
      </c>
      <c r="V367" s="5">
        <v>74</v>
      </c>
      <c r="W367" s="5">
        <v>75</v>
      </c>
      <c r="X367" s="5">
        <v>63</v>
      </c>
      <c r="Y367" s="5">
        <v>94.62</v>
      </c>
      <c r="Z367" s="5">
        <v>85.38</v>
      </c>
      <c r="AA367" s="5">
        <v>96.92</v>
      </c>
      <c r="AB367" s="5">
        <v>51.54</v>
      </c>
      <c r="AC367" s="6">
        <v>0.25</v>
      </c>
      <c r="AD367" s="6">
        <v>0.45</v>
      </c>
      <c r="AE367" s="6">
        <v>0.3</v>
      </c>
      <c r="AF367" s="4" t="s">
        <v>6296</v>
      </c>
      <c r="AG367" s="4" t="s">
        <v>6296</v>
      </c>
      <c r="AH367" s="4" t="s">
        <v>6296</v>
      </c>
      <c r="AI367" s="4" t="s">
        <v>6296</v>
      </c>
      <c r="AJ367" s="4" t="s">
        <v>6296</v>
      </c>
      <c r="AK367" s="4" t="s">
        <v>42</v>
      </c>
      <c r="AL367" s="4" t="s">
        <v>6296</v>
      </c>
      <c r="AM367" s="4" t="s">
        <v>6296</v>
      </c>
      <c r="AN367" s="4" t="s">
        <v>6296</v>
      </c>
      <c r="AO367" s="4" t="s">
        <v>6296</v>
      </c>
      <c r="AP367" s="4" t="s">
        <v>5997</v>
      </c>
      <c r="AQ367" s="4" t="s">
        <v>47</v>
      </c>
    </row>
    <row r="368" spans="1:43" ht="12.6" customHeight="1" x14ac:dyDescent="0.25">
      <c r="A368" s="8" t="s">
        <v>2128</v>
      </c>
      <c r="B368" s="9">
        <v>20151231</v>
      </c>
      <c r="C368" s="12">
        <f>_xll.FDS("SPX","FG_PRICE(12/30/2015)")</f>
        <v>2063.36</v>
      </c>
      <c r="D368" s="12">
        <f>_xll.FDS("SPX","FG_PRICE(12/30/2017)")</f>
        <v>2673.61</v>
      </c>
      <c r="E368" s="15">
        <f>D368/C368-1</f>
        <v>0.2957554668114144</v>
      </c>
      <c r="F368" s="8" t="s">
        <v>2129</v>
      </c>
      <c r="G368" s="8" t="s">
        <v>2130</v>
      </c>
      <c r="H368" s="13">
        <f>_xll.FDS(G368,"FG_PRICE(12/30/2015)")</f>
        <v>73.97</v>
      </c>
      <c r="I368" s="13">
        <f>_xll.FDS(G368,"FG_PRICE(12/31/2017)")</f>
        <v>156.38</v>
      </c>
      <c r="J368" s="13">
        <f>I368/H368-1</f>
        <v>1.1141003109368661</v>
      </c>
      <c r="K368" s="13">
        <f>J368-E368</f>
        <v>0.81834484412545172</v>
      </c>
      <c r="L368" s="13">
        <f>_xll.FDS(G368,"FF_ROE(ANN_R,12/30/2015)")</f>
        <v>57.229959949787798</v>
      </c>
      <c r="M368" s="8" t="s">
        <v>2131</v>
      </c>
      <c r="N368" s="4" t="s">
        <v>2132</v>
      </c>
      <c r="O368" s="4" t="s">
        <v>2133</v>
      </c>
      <c r="P368" s="4" t="s">
        <v>106</v>
      </c>
      <c r="Q368" s="4" t="s">
        <v>58</v>
      </c>
      <c r="R368" s="4" t="s">
        <v>61</v>
      </c>
      <c r="S368" s="4" t="s">
        <v>62</v>
      </c>
      <c r="T368" s="6" t="e">
        <v>#N/A</v>
      </c>
      <c r="U368" s="5">
        <v>50</v>
      </c>
      <c r="V368" s="5">
        <v>44</v>
      </c>
      <c r="W368" s="5">
        <v>46</v>
      </c>
      <c r="X368" s="5">
        <v>60</v>
      </c>
      <c r="Y368" s="5">
        <v>14.62</v>
      </c>
      <c r="Z368" s="6">
        <v>0</v>
      </c>
      <c r="AA368" s="5">
        <v>23.85</v>
      </c>
      <c r="AB368" s="5">
        <v>36.92</v>
      </c>
      <c r="AC368" s="6">
        <v>0.25</v>
      </c>
      <c r="AD368" s="6">
        <v>0.45</v>
      </c>
      <c r="AE368" s="6">
        <v>0.3</v>
      </c>
      <c r="AF368" s="4" t="s">
        <v>6296</v>
      </c>
      <c r="AG368" s="4" t="s">
        <v>6296</v>
      </c>
      <c r="AH368" s="4" t="s">
        <v>6296</v>
      </c>
      <c r="AI368" s="4" t="s">
        <v>6296</v>
      </c>
      <c r="AJ368" s="4" t="s">
        <v>6296</v>
      </c>
      <c r="AK368" s="4" t="s">
        <v>6296</v>
      </c>
      <c r="AL368" s="4" t="s">
        <v>6296</v>
      </c>
      <c r="AM368" s="4" t="s">
        <v>6296</v>
      </c>
      <c r="AN368" s="4" t="s">
        <v>6296</v>
      </c>
      <c r="AO368" s="4" t="s">
        <v>6296</v>
      </c>
      <c r="AP368" s="4" t="s">
        <v>2134</v>
      </c>
      <c r="AQ368" s="4" t="s">
        <v>47</v>
      </c>
    </row>
    <row r="369" spans="1:43" ht="12.6" customHeight="1" x14ac:dyDescent="0.25">
      <c r="A369" s="8" t="s">
        <v>3912</v>
      </c>
      <c r="B369" s="9">
        <v>20151231</v>
      </c>
      <c r="C369" s="12">
        <f>_xll.FDS("SPX","FG_PRICE(12/30/2015)")</f>
        <v>2063.36</v>
      </c>
      <c r="D369" s="12">
        <f>_xll.FDS("SPX","FG_PRICE(12/30/2017)")</f>
        <v>2673.61</v>
      </c>
      <c r="E369" s="15">
        <f>D369/C369-1</f>
        <v>0.2957554668114144</v>
      </c>
      <c r="F369" s="8" t="s">
        <v>3913</v>
      </c>
      <c r="G369" s="8" t="s">
        <v>3914</v>
      </c>
      <c r="H369" s="13">
        <f>_xll.FDS(G369,"FG_PRICE(12/30/2015)")</f>
        <v>184.17000999999999</v>
      </c>
      <c r="I369" s="13">
        <f>_xll.FDS(G369,"FG_PRICE(12/31/2017)")</f>
        <v>364.94</v>
      </c>
      <c r="J369" s="13">
        <f>I369/H369-1</f>
        <v>0.98153868808499278</v>
      </c>
      <c r="K369" s="13">
        <f>J369-E369</f>
        <v>0.68578322127357838</v>
      </c>
      <c r="L369" s="13">
        <f>_xll.FDS(G369,"FF_ROE(ANN_R,12/30/2015)")</f>
        <v>12.173003139169859</v>
      </c>
      <c r="M369" s="8" t="s">
        <v>3915</v>
      </c>
      <c r="N369" s="4" t="s">
        <v>3916</v>
      </c>
      <c r="O369" s="4" t="s">
        <v>3917</v>
      </c>
      <c r="P369" s="4" t="s">
        <v>106</v>
      </c>
      <c r="Q369" s="4" t="s">
        <v>58</v>
      </c>
      <c r="R369" s="4" t="s">
        <v>61</v>
      </c>
      <c r="S369" s="4" t="s">
        <v>62</v>
      </c>
      <c r="T369" s="6" t="e">
        <v>#N/A</v>
      </c>
      <c r="U369" s="5">
        <v>49</v>
      </c>
      <c r="V369" s="5">
        <v>48</v>
      </c>
      <c r="W369" s="5">
        <v>46</v>
      </c>
      <c r="X369" s="5">
        <v>53</v>
      </c>
      <c r="Y369" s="6">
        <v>7.69</v>
      </c>
      <c r="Z369" s="5">
        <v>18.46</v>
      </c>
      <c r="AA369" s="5">
        <v>23.85</v>
      </c>
      <c r="AB369" s="6">
        <v>9.23</v>
      </c>
      <c r="AC369" s="6">
        <v>0.25</v>
      </c>
      <c r="AD369" s="6">
        <v>0.45</v>
      </c>
      <c r="AE369" s="6">
        <v>0.3</v>
      </c>
      <c r="AF369" s="4" t="s">
        <v>6296</v>
      </c>
      <c r="AG369" s="4" t="s">
        <v>6296</v>
      </c>
      <c r="AH369" s="4" t="s">
        <v>6296</v>
      </c>
      <c r="AI369" s="4" t="s">
        <v>6296</v>
      </c>
      <c r="AJ369" s="4" t="s">
        <v>6296</v>
      </c>
      <c r="AK369" s="4" t="s">
        <v>37</v>
      </c>
      <c r="AL369" s="4" t="s">
        <v>6296</v>
      </c>
      <c r="AM369" s="4" t="s">
        <v>6296</v>
      </c>
      <c r="AN369" s="4" t="s">
        <v>42</v>
      </c>
      <c r="AO369" s="4" t="s">
        <v>6296</v>
      </c>
      <c r="AP369" s="4" t="s">
        <v>3918</v>
      </c>
      <c r="AQ369" s="4" t="s">
        <v>47</v>
      </c>
    </row>
    <row r="370" spans="1:43" ht="12.6" customHeight="1" x14ac:dyDescent="0.25">
      <c r="A370" s="8" t="s">
        <v>2695</v>
      </c>
      <c r="B370" s="9">
        <v>20151231</v>
      </c>
      <c r="C370" s="12">
        <f>_xll.FDS("SPX","FG_PRICE(12/30/2015)")</f>
        <v>2063.36</v>
      </c>
      <c r="D370" s="12">
        <f>_xll.FDS("SPX","FG_PRICE(12/30/2017)")</f>
        <v>2673.61</v>
      </c>
      <c r="E370" s="15">
        <f>D370/C370-1</f>
        <v>0.2957554668114144</v>
      </c>
      <c r="F370" s="8" t="s">
        <v>2696</v>
      </c>
      <c r="G370" s="8" t="s">
        <v>2697</v>
      </c>
      <c r="H370" s="13">
        <f>_xll.FDS(G370,"FG_PRICE(12/30/2015)")</f>
        <v>124.19</v>
      </c>
      <c r="I370" s="13">
        <f>_xll.FDS(G370,"FG_PRICE(12/31/2017)")</f>
        <v>159.51</v>
      </c>
      <c r="J370" s="13">
        <f>I370/H370-1</f>
        <v>0.28440293099283354</v>
      </c>
      <c r="K370" s="13">
        <f>J370-E370</f>
        <v>-1.1352535818580867E-2</v>
      </c>
      <c r="L370" s="13">
        <f>_xll.FDS(G370,"FF_ROE(ANN_R,12/30/2015)")</f>
        <v>19.247712639783121</v>
      </c>
      <c r="M370" s="8" t="s">
        <v>2698</v>
      </c>
      <c r="N370" s="4" t="s">
        <v>2698</v>
      </c>
      <c r="O370" s="4" t="s">
        <v>2699</v>
      </c>
      <c r="P370" s="4" t="s">
        <v>96</v>
      </c>
      <c r="Q370" s="4" t="s">
        <v>58</v>
      </c>
      <c r="R370" s="4" t="s">
        <v>61</v>
      </c>
      <c r="S370" s="4" t="s">
        <v>62</v>
      </c>
      <c r="T370" s="6" t="e">
        <v>#N/A</v>
      </c>
      <c r="U370" s="5">
        <v>49</v>
      </c>
      <c r="V370" s="5">
        <v>48</v>
      </c>
      <c r="W370" s="5">
        <v>45</v>
      </c>
      <c r="X370" s="5">
        <v>57</v>
      </c>
      <c r="Y370" s="6">
        <v>7.69</v>
      </c>
      <c r="Z370" s="5">
        <v>18.46</v>
      </c>
      <c r="AA370" s="5">
        <v>20</v>
      </c>
      <c r="AB370" s="5">
        <v>29.23</v>
      </c>
      <c r="AC370" s="6">
        <v>0.25</v>
      </c>
      <c r="AD370" s="6">
        <v>0.45</v>
      </c>
      <c r="AE370" s="6">
        <v>0.3</v>
      </c>
      <c r="AF370" s="4" t="s">
        <v>6296</v>
      </c>
      <c r="AG370" s="4" t="s">
        <v>6296</v>
      </c>
      <c r="AH370" s="4" t="s">
        <v>6296</v>
      </c>
      <c r="AI370" s="4" t="s">
        <v>42</v>
      </c>
      <c r="AJ370" s="4" t="s">
        <v>6296</v>
      </c>
      <c r="AK370" s="4" t="s">
        <v>42</v>
      </c>
      <c r="AL370" s="4" t="s">
        <v>6296</v>
      </c>
      <c r="AM370" s="4" t="s">
        <v>6296</v>
      </c>
      <c r="AN370" s="4" t="s">
        <v>42</v>
      </c>
      <c r="AO370" s="4" t="s">
        <v>6296</v>
      </c>
      <c r="AP370" s="4" t="s">
        <v>2700</v>
      </c>
      <c r="AQ370" s="4" t="s">
        <v>47</v>
      </c>
    </row>
    <row r="371" spans="1:43" ht="12.6" customHeight="1" x14ac:dyDescent="0.25">
      <c r="A371" s="8" t="s">
        <v>1874</v>
      </c>
      <c r="B371" s="9">
        <v>20151231</v>
      </c>
      <c r="C371" s="12">
        <f>_xll.FDS("SPX","FG_PRICE(12/30/2015)")</f>
        <v>2063.36</v>
      </c>
      <c r="D371" s="12">
        <f>_xll.FDS("SPX","FG_PRICE(12/30/2017)")</f>
        <v>2673.61</v>
      </c>
      <c r="E371" s="15">
        <f>D371/C371-1</f>
        <v>0.2957554668114144</v>
      </c>
      <c r="F371" s="8" t="s">
        <v>1875</v>
      </c>
      <c r="G371" s="8" t="s">
        <v>1876</v>
      </c>
      <c r="H371" s="13">
        <f>_xll.FDS(G371,"FG_PRICE(12/30/2015)")</f>
        <v>74.099999999999994</v>
      </c>
      <c r="I371" s="13">
        <f>_xll.FDS(G371,"FG_PRICE(12/31/2017)")</f>
        <v>49.8</v>
      </c>
      <c r="J371" s="13">
        <f>I371/H371-1</f>
        <v>-0.32793522267206476</v>
      </c>
      <c r="K371" s="13">
        <f>J371-E371</f>
        <v>-0.62369068948347917</v>
      </c>
      <c r="L371" s="13">
        <f>_xll.FDS(G371,"FF_ROE(ANN_R,12/30/2015)")</f>
        <v>5.7781749032006777</v>
      </c>
      <c r="M371" s="8" t="s">
        <v>1877</v>
      </c>
      <c r="N371" s="4" t="s">
        <v>1878</v>
      </c>
      <c r="O371" s="4" t="s">
        <v>1879</v>
      </c>
      <c r="P371" s="4" t="s">
        <v>106</v>
      </c>
      <c r="Q371" s="4" t="s">
        <v>58</v>
      </c>
      <c r="R371" s="4" t="s">
        <v>61</v>
      </c>
      <c r="S371" s="4" t="s">
        <v>62</v>
      </c>
      <c r="T371" s="6" t="e">
        <v>#N/A</v>
      </c>
      <c r="U371" s="5">
        <v>59</v>
      </c>
      <c r="V371" s="5">
        <v>61</v>
      </c>
      <c r="W371" s="5">
        <v>47</v>
      </c>
      <c r="X371" s="5">
        <v>75</v>
      </c>
      <c r="Y371" s="5">
        <v>63.08</v>
      </c>
      <c r="Z371" s="5">
        <v>62.31</v>
      </c>
      <c r="AA371" s="5">
        <v>30.77</v>
      </c>
      <c r="AB371" s="5">
        <v>90</v>
      </c>
      <c r="AC371" s="6">
        <v>0.25</v>
      </c>
      <c r="AD371" s="6">
        <v>0.45</v>
      </c>
      <c r="AE371" s="6">
        <v>0.3</v>
      </c>
      <c r="AF371" s="4" t="s">
        <v>6296</v>
      </c>
      <c r="AG371" s="4" t="s">
        <v>6296</v>
      </c>
      <c r="AH371" s="4" t="s">
        <v>6296</v>
      </c>
      <c r="AI371" s="4" t="s">
        <v>6296</v>
      </c>
      <c r="AJ371" s="4" t="s">
        <v>6296</v>
      </c>
      <c r="AK371" s="4" t="s">
        <v>42</v>
      </c>
      <c r="AL371" s="4" t="s">
        <v>6296</v>
      </c>
      <c r="AM371" s="4" t="s">
        <v>6296</v>
      </c>
      <c r="AN371" s="4" t="s">
        <v>6296</v>
      </c>
      <c r="AO371" s="4" t="s">
        <v>6296</v>
      </c>
      <c r="AP371" s="4" t="s">
        <v>1880</v>
      </c>
      <c r="AQ371" s="4" t="s">
        <v>47</v>
      </c>
    </row>
    <row r="372" spans="1:43" ht="12.6" customHeight="1" x14ac:dyDescent="0.25">
      <c r="A372" s="8" t="s">
        <v>1776</v>
      </c>
      <c r="B372" s="9">
        <v>20151231</v>
      </c>
      <c r="C372" s="12">
        <f>_xll.FDS("SPX","FG_PRICE(12/30/2015)")</f>
        <v>2063.36</v>
      </c>
      <c r="D372" s="12">
        <f>_xll.FDS("SPX","FG_PRICE(12/30/2017)")</f>
        <v>2673.61</v>
      </c>
      <c r="E372" s="15">
        <f>D372/C372-1</f>
        <v>0.2957554668114144</v>
      </c>
      <c r="F372" s="8" t="s">
        <v>1777</v>
      </c>
      <c r="G372" s="8" t="s">
        <v>1778</v>
      </c>
      <c r="H372" s="13">
        <f>_xll.FDS(G372,"FG_PRICE(12/30/2015)")</f>
        <v>198.74</v>
      </c>
      <c r="I372" s="13">
        <f>_xll.FDS(G372,"FG_PRICE(12/31/2017)")</f>
        <v>155.94999999999999</v>
      </c>
      <c r="J372" s="13">
        <f>I372/H372-1</f>
        <v>-0.21530643051222709</v>
      </c>
      <c r="K372" s="13">
        <f>J372-E372</f>
        <v>-0.51106189732364149</v>
      </c>
      <c r="L372" s="13">
        <f>_xll.FDS(G372,"FF_ROE(ANN_R,12/30/2015)")</f>
        <v>21.48520244507656</v>
      </c>
      <c r="M372" s="8" t="s">
        <v>1779</v>
      </c>
      <c r="N372" s="4" t="s">
        <v>1779</v>
      </c>
      <c r="O372" s="4" t="s">
        <v>1780</v>
      </c>
      <c r="P372" s="4" t="s">
        <v>96</v>
      </c>
      <c r="Q372" s="4" t="s">
        <v>58</v>
      </c>
      <c r="R372" s="4" t="s">
        <v>61</v>
      </c>
      <c r="S372" s="4" t="s">
        <v>62</v>
      </c>
      <c r="T372" s="6" t="e">
        <v>#N/A</v>
      </c>
      <c r="U372" s="5">
        <v>60</v>
      </c>
      <c r="V372" s="5">
        <v>58</v>
      </c>
      <c r="W372" s="5">
        <v>54</v>
      </c>
      <c r="X372" s="5">
        <v>71</v>
      </c>
      <c r="Y372" s="5">
        <v>66.92</v>
      </c>
      <c r="Z372" s="5">
        <v>53.85</v>
      </c>
      <c r="AA372" s="5">
        <v>56.15</v>
      </c>
      <c r="AB372" s="5">
        <v>80.77</v>
      </c>
      <c r="AC372" s="6">
        <v>0.25</v>
      </c>
      <c r="AD372" s="6">
        <v>0.45</v>
      </c>
      <c r="AE372" s="6">
        <v>0.3</v>
      </c>
      <c r="AF372" s="4" t="s">
        <v>6296</v>
      </c>
      <c r="AG372" s="4" t="s">
        <v>6296</v>
      </c>
      <c r="AH372" s="4" t="s">
        <v>6296</v>
      </c>
      <c r="AI372" s="4" t="s">
        <v>6296</v>
      </c>
      <c r="AJ372" s="4" t="s">
        <v>6296</v>
      </c>
      <c r="AK372" s="4" t="s">
        <v>37</v>
      </c>
      <c r="AL372" s="4" t="s">
        <v>6296</v>
      </c>
      <c r="AM372" s="4" t="s">
        <v>6296</v>
      </c>
      <c r="AN372" s="4" t="s">
        <v>42</v>
      </c>
      <c r="AO372" s="4" t="s">
        <v>6296</v>
      </c>
      <c r="AP372" s="4" t="s">
        <v>1781</v>
      </c>
      <c r="AQ372" s="4" t="s">
        <v>47</v>
      </c>
    </row>
    <row r="373" spans="1:43" ht="12.6" customHeight="1" x14ac:dyDescent="0.25">
      <c r="A373" s="8" t="s">
        <v>3271</v>
      </c>
      <c r="B373" s="9">
        <v>20151231</v>
      </c>
      <c r="C373" s="12">
        <f>_xll.FDS("SPX","FG_PRICE(12/30/2015)")</f>
        <v>2063.36</v>
      </c>
      <c r="D373" s="12">
        <f>_xll.FDS("SPX","FG_PRICE(12/30/2017)")</f>
        <v>2673.61</v>
      </c>
      <c r="E373" s="15">
        <f>D373/C373-1</f>
        <v>0.2957554668114144</v>
      </c>
      <c r="F373" s="8" t="s">
        <v>3272</v>
      </c>
      <c r="G373" s="8" t="s">
        <v>3273</v>
      </c>
      <c r="H373" s="13">
        <f>_xll.FDS(G373,"FG_PRICE(12/30/2015)")</f>
        <v>15.42</v>
      </c>
      <c r="I373" s="13">
        <f>_xll.FDS(G373,"FG_PRICE(12/31/2017)")</f>
        <v>14.55</v>
      </c>
      <c r="J373" s="13">
        <f>I373/H373-1</f>
        <v>-5.642023346303493E-2</v>
      </c>
      <c r="K373" s="13">
        <f>J373-E373</f>
        <v>-0.35217570027444933</v>
      </c>
      <c r="L373" s="13">
        <f>_xll.FDS(G373,"FF_ROE(ANN_R,12/30/2015)")</f>
        <v>-5.1071237124692352</v>
      </c>
      <c r="M373" s="8" t="s">
        <v>3274</v>
      </c>
      <c r="N373" s="4" t="s">
        <v>3275</v>
      </c>
      <c r="O373" s="4" t="s">
        <v>3276</v>
      </c>
      <c r="P373" s="4" t="s">
        <v>106</v>
      </c>
      <c r="Q373" s="4" t="s">
        <v>58</v>
      </c>
      <c r="R373" s="4" t="s">
        <v>61</v>
      </c>
      <c r="S373" s="4" t="s">
        <v>62</v>
      </c>
      <c r="T373" s="6" t="e">
        <v>#N/A</v>
      </c>
      <c r="U373" s="5">
        <v>52</v>
      </c>
      <c r="V373" s="5">
        <v>44</v>
      </c>
      <c r="W373" s="5">
        <v>44</v>
      </c>
      <c r="X373" s="5">
        <v>71</v>
      </c>
      <c r="Y373" s="5">
        <v>29.23</v>
      </c>
      <c r="Z373" s="6">
        <v>0</v>
      </c>
      <c r="AA373" s="5">
        <v>14.62</v>
      </c>
      <c r="AB373" s="5">
        <v>80.77</v>
      </c>
      <c r="AC373" s="6">
        <v>0.25</v>
      </c>
      <c r="AD373" s="6">
        <v>0.45</v>
      </c>
      <c r="AE373" s="6">
        <v>0.3</v>
      </c>
      <c r="AF373" s="4" t="s">
        <v>6296</v>
      </c>
      <c r="AG373" s="4" t="s">
        <v>6296</v>
      </c>
      <c r="AH373" s="4" t="s">
        <v>6296</v>
      </c>
      <c r="AI373" s="4" t="s">
        <v>6296</v>
      </c>
      <c r="AJ373" s="4" t="s">
        <v>6296</v>
      </c>
      <c r="AK373" s="4" t="s">
        <v>6296</v>
      </c>
      <c r="AL373" s="4" t="s">
        <v>6296</v>
      </c>
      <c r="AM373" s="4" t="s">
        <v>6296</v>
      </c>
      <c r="AN373" s="4" t="s">
        <v>6296</v>
      </c>
      <c r="AO373" s="4" t="s">
        <v>6296</v>
      </c>
      <c r="AP373" s="4" t="s">
        <v>3277</v>
      </c>
      <c r="AQ373" s="4" t="s">
        <v>47</v>
      </c>
    </row>
    <row r="374" spans="1:43" ht="12.6" customHeight="1" x14ac:dyDescent="0.25">
      <c r="A374" s="8" t="s">
        <v>3082</v>
      </c>
      <c r="B374" s="9">
        <v>20151231</v>
      </c>
      <c r="C374" s="12">
        <f>_xll.FDS("SPX","FG_PRICE(12/30/2015)")</f>
        <v>2063.36</v>
      </c>
      <c r="D374" s="12">
        <f>_xll.FDS("SPX","FG_PRICE(12/30/2017)")</f>
        <v>2673.61</v>
      </c>
      <c r="E374" s="15">
        <f>D374/C374-1</f>
        <v>0.2957554668114144</v>
      </c>
      <c r="F374" s="8" t="s">
        <v>3083</v>
      </c>
      <c r="G374" s="8" t="s">
        <v>3084</v>
      </c>
      <c r="H374" s="13">
        <f>_xll.FDS(G374,"FG_PRICE(12/30/2015)")</f>
        <v>72.099999999999994</v>
      </c>
      <c r="I374" s="13">
        <f>_xll.FDS(G374,"FG_PRICE(12/31/2017)")</f>
        <v>53.44</v>
      </c>
      <c r="J374" s="13">
        <f>I374/H374-1</f>
        <v>-0.25880721220527048</v>
      </c>
      <c r="K374" s="13">
        <f>J374-E374</f>
        <v>-0.55456267901668488</v>
      </c>
      <c r="L374" s="13">
        <f>_xll.FDS(G374,"FF_ROE(ANN_R,12/30/2015)")</f>
        <v>13.772051305590949</v>
      </c>
      <c r="M374" s="8" t="s">
        <v>3085</v>
      </c>
      <c r="N374" s="4" t="s">
        <v>3086</v>
      </c>
      <c r="O374" s="4" t="s">
        <v>3087</v>
      </c>
      <c r="P374" s="4" t="s">
        <v>96</v>
      </c>
      <c r="Q374" s="4" t="s">
        <v>58</v>
      </c>
      <c r="R374" s="4" t="s">
        <v>61</v>
      </c>
      <c r="S374" s="4" t="s">
        <v>62</v>
      </c>
      <c r="T374" s="6" t="e">
        <v>#N/A</v>
      </c>
      <c r="U374" s="5">
        <v>51</v>
      </c>
      <c r="V374" s="5">
        <v>50</v>
      </c>
      <c r="W374" s="5">
        <v>40</v>
      </c>
      <c r="X374" s="5">
        <v>68</v>
      </c>
      <c r="Y374" s="5">
        <v>21.54</v>
      </c>
      <c r="Z374" s="5">
        <v>35.380000000000003</v>
      </c>
      <c r="AA374" s="6">
        <v>1.54</v>
      </c>
      <c r="AB374" s="5">
        <v>71.540000000000006</v>
      </c>
      <c r="AC374" s="6">
        <v>0.25</v>
      </c>
      <c r="AD374" s="6">
        <v>0.45</v>
      </c>
      <c r="AE374" s="6">
        <v>0.3</v>
      </c>
      <c r="AF374" s="4" t="s">
        <v>6296</v>
      </c>
      <c r="AG374" s="4" t="s">
        <v>6296</v>
      </c>
      <c r="AH374" s="4" t="s">
        <v>6296</v>
      </c>
      <c r="AI374" s="4" t="s">
        <v>6296</v>
      </c>
      <c r="AJ374" s="4" t="s">
        <v>6296</v>
      </c>
      <c r="AK374" s="4" t="s">
        <v>6296</v>
      </c>
      <c r="AL374" s="4" t="s">
        <v>6296</v>
      </c>
      <c r="AM374" s="4" t="s">
        <v>6296</v>
      </c>
      <c r="AN374" s="4" t="s">
        <v>6296</v>
      </c>
      <c r="AO374" s="4" t="s">
        <v>6296</v>
      </c>
      <c r="AP374" s="4" t="s">
        <v>3088</v>
      </c>
      <c r="AQ374" s="4" t="s">
        <v>47</v>
      </c>
    </row>
    <row r="375" spans="1:43" ht="12.6" customHeight="1" x14ac:dyDescent="0.25">
      <c r="A375" s="8" t="s">
        <v>3068</v>
      </c>
      <c r="B375" s="9">
        <v>20151231</v>
      </c>
      <c r="C375" s="12">
        <f>_xll.FDS("SPX","FG_PRICE(12/30/2015)")</f>
        <v>2063.36</v>
      </c>
      <c r="D375" s="12">
        <f>_xll.FDS("SPX","FG_PRICE(12/30/2017)")</f>
        <v>2673.61</v>
      </c>
      <c r="E375" s="15">
        <f>D375/C375-1</f>
        <v>0.2957554668114144</v>
      </c>
      <c r="F375" s="8" t="s">
        <v>3069</v>
      </c>
      <c r="G375" s="8" t="s">
        <v>3070</v>
      </c>
      <c r="H375" s="13">
        <f>_xll.FDS(G375,"FG_PRICE(12/30/2015)")</f>
        <v>45.45</v>
      </c>
      <c r="I375" s="13">
        <f>_xll.FDS(G375,"FG_PRICE(12/31/2017)")</f>
        <v>36.130000000000003</v>
      </c>
      <c r="J375" s="13">
        <f>I375/H375-1</f>
        <v>-0.20506050605060511</v>
      </c>
      <c r="K375" s="13">
        <f>J375-E375</f>
        <v>-0.50081597286201951</v>
      </c>
      <c r="L375" s="13">
        <f>_xll.FDS(G375,"FF_ROE(ANN_R,12/30/2015)")</f>
        <v>14.95491808357394</v>
      </c>
      <c r="M375" s="8" t="s">
        <v>3071</v>
      </c>
      <c r="N375" s="4" t="s">
        <v>3072</v>
      </c>
      <c r="O375" s="4" t="s">
        <v>3073</v>
      </c>
      <c r="P375" s="4" t="s">
        <v>106</v>
      </c>
      <c r="Q375" s="4" t="s">
        <v>58</v>
      </c>
      <c r="R375" s="4" t="s">
        <v>61</v>
      </c>
      <c r="S375" s="4" t="s">
        <v>62</v>
      </c>
      <c r="T375" s="6" t="e">
        <v>#N/A</v>
      </c>
      <c r="U375" s="5">
        <v>54</v>
      </c>
      <c r="V375" s="5">
        <v>54</v>
      </c>
      <c r="W375" s="5">
        <v>50</v>
      </c>
      <c r="X375" s="5">
        <v>60</v>
      </c>
      <c r="Y375" s="5">
        <v>36.15</v>
      </c>
      <c r="Z375" s="5">
        <v>45.38</v>
      </c>
      <c r="AA375" s="5">
        <v>43.85</v>
      </c>
      <c r="AB375" s="5">
        <v>36.92</v>
      </c>
      <c r="AC375" s="6">
        <v>0.25</v>
      </c>
      <c r="AD375" s="6">
        <v>0.45</v>
      </c>
      <c r="AE375" s="6">
        <v>0.3</v>
      </c>
      <c r="AF375" s="4" t="s">
        <v>6296</v>
      </c>
      <c r="AG375" s="4" t="s">
        <v>6296</v>
      </c>
      <c r="AH375" s="4" t="s">
        <v>6296</v>
      </c>
      <c r="AI375" s="4" t="s">
        <v>6296</v>
      </c>
      <c r="AJ375" s="4" t="s">
        <v>6296</v>
      </c>
      <c r="AK375" s="4" t="s">
        <v>6296</v>
      </c>
      <c r="AL375" s="4" t="s">
        <v>6296</v>
      </c>
      <c r="AM375" s="4" t="s">
        <v>6296</v>
      </c>
      <c r="AN375" s="4" t="s">
        <v>6296</v>
      </c>
      <c r="AO375" s="4" t="s">
        <v>6296</v>
      </c>
      <c r="AP375" s="4" t="s">
        <v>3074</v>
      </c>
      <c r="AQ375" s="4" t="s">
        <v>47</v>
      </c>
    </row>
    <row r="376" spans="1:43" ht="12.6" customHeight="1" x14ac:dyDescent="0.25">
      <c r="A376" s="8" t="s">
        <v>3303</v>
      </c>
      <c r="B376" s="9">
        <v>20151231</v>
      </c>
      <c r="C376" s="12">
        <f>_xll.FDS("SPX","FG_PRICE(12/30/2015)")</f>
        <v>2063.36</v>
      </c>
      <c r="D376" s="12">
        <f>_xll.FDS("SPX","FG_PRICE(12/30/2017)")</f>
        <v>2673.61</v>
      </c>
      <c r="E376" s="15">
        <f>D376/C376-1</f>
        <v>0.2957554668114144</v>
      </c>
      <c r="F376" s="8" t="s">
        <v>3304</v>
      </c>
      <c r="G376" s="8" t="s">
        <v>3305</v>
      </c>
      <c r="H376" s="13">
        <f>_xll.FDS(G376,"FG_PRICE(12/30/2015)")</f>
        <v>16.670000000000002</v>
      </c>
      <c r="I376" s="13">
        <f>_xll.FDS(G376,"FG_PRICE(12/31/2017)")</f>
        <v>13.58</v>
      </c>
      <c r="J376" s="13">
        <f>I376/H376-1</f>
        <v>-0.18536292741451721</v>
      </c>
      <c r="K376" s="13">
        <f>J376-E376</f>
        <v>-0.48111839422593161</v>
      </c>
      <c r="L376" s="13">
        <f>_xll.FDS(G376,"FF_ROE(ANN_R,12/30/2015)")</f>
        <v>9.4471423880545426</v>
      </c>
      <c r="M376" s="8" t="s">
        <v>3306</v>
      </c>
      <c r="N376" s="4" t="s">
        <v>3307</v>
      </c>
      <c r="O376" s="4" t="s">
        <v>3308</v>
      </c>
      <c r="P376" s="4" t="s">
        <v>106</v>
      </c>
      <c r="Q376" s="4" t="s">
        <v>58</v>
      </c>
      <c r="R376" s="4" t="s">
        <v>61</v>
      </c>
      <c r="S376" s="4" t="s">
        <v>62</v>
      </c>
      <c r="T376" s="6" t="e">
        <v>#N/A</v>
      </c>
      <c r="U376" s="5">
        <v>50</v>
      </c>
      <c r="V376" s="5">
        <v>51</v>
      </c>
      <c r="W376" s="5">
        <v>43</v>
      </c>
      <c r="X376" s="5">
        <v>62</v>
      </c>
      <c r="Y376" s="5">
        <v>14.62</v>
      </c>
      <c r="Z376" s="5">
        <v>38.46</v>
      </c>
      <c r="AA376" s="6">
        <v>8.4600000000000009</v>
      </c>
      <c r="AB376" s="5">
        <v>46.92</v>
      </c>
      <c r="AC376" s="6">
        <v>0.25</v>
      </c>
      <c r="AD376" s="6">
        <v>0.45</v>
      </c>
      <c r="AE376" s="6">
        <v>0.3</v>
      </c>
      <c r="AF376" s="4" t="s">
        <v>6296</v>
      </c>
      <c r="AG376" s="4" t="s">
        <v>6296</v>
      </c>
      <c r="AH376" s="4" t="s">
        <v>6296</v>
      </c>
      <c r="AI376" s="4" t="s">
        <v>42</v>
      </c>
      <c r="AJ376" s="4" t="s">
        <v>6296</v>
      </c>
      <c r="AK376" s="4" t="s">
        <v>6296</v>
      </c>
      <c r="AL376" s="4" t="s">
        <v>6296</v>
      </c>
      <c r="AM376" s="4" t="s">
        <v>6296</v>
      </c>
      <c r="AN376" s="4" t="s">
        <v>6296</v>
      </c>
      <c r="AO376" s="4" t="s">
        <v>6296</v>
      </c>
      <c r="AP376" s="4" t="s">
        <v>3309</v>
      </c>
      <c r="AQ376" s="4" t="s">
        <v>47</v>
      </c>
    </row>
    <row r="377" spans="1:43" ht="12.6" customHeight="1" x14ac:dyDescent="0.25">
      <c r="A377" s="8" t="s">
        <v>6486</v>
      </c>
      <c r="B377" s="9">
        <v>20151231</v>
      </c>
      <c r="C377" s="12">
        <f>_xll.FDS("SPX","FG_PRICE(12/30/2015)")</f>
        <v>2063.36</v>
      </c>
      <c r="D377" s="12">
        <f>_xll.FDS("SPX","FG_PRICE(12/30/2017)")</f>
        <v>2673.61</v>
      </c>
      <c r="E377" s="15">
        <f>D377/C377-1</f>
        <v>0.2957554668114144</v>
      </c>
      <c r="F377" s="8" t="s">
        <v>5770</v>
      </c>
      <c r="G377" s="8" t="s">
        <v>5771</v>
      </c>
      <c r="H377" s="13">
        <f>_xll.FDS(G377,"FG_PRICE(12/30/2015)")</f>
        <v>3.25</v>
      </c>
      <c r="I377" s="13">
        <f>_xll.FDS(G377,"FG_PRICE(12/31/2017)")</f>
        <v>4.41</v>
      </c>
      <c r="J377" s="13">
        <f>I377/H377-1</f>
        <v>0.3569230769230769</v>
      </c>
      <c r="K377" s="13">
        <f>J377-E377</f>
        <v>6.1167610111662496E-2</v>
      </c>
      <c r="L377" s="13" t="e">
        <f>_xll.FDS(G377,"FF_ROE(ANN_R,12/30/2015)")</f>
        <v>#N/A</v>
      </c>
      <c r="M377" s="8" t="s">
        <v>5772</v>
      </c>
      <c r="N377" s="4" t="s">
        <v>6487</v>
      </c>
      <c r="O377" s="4" t="s">
        <v>6488</v>
      </c>
      <c r="P377" s="4" t="s">
        <v>320</v>
      </c>
      <c r="Q377" s="4" t="s">
        <v>58</v>
      </c>
      <c r="R377" s="4" t="s">
        <v>61</v>
      </c>
      <c r="S377" s="4" t="s">
        <v>62</v>
      </c>
      <c r="T377" s="6" t="e">
        <v>#N/A</v>
      </c>
      <c r="U377" s="5">
        <v>55</v>
      </c>
      <c r="V377" s="5">
        <v>44</v>
      </c>
      <c r="W377" s="5">
        <v>47</v>
      </c>
      <c r="X377" s="5">
        <v>78</v>
      </c>
      <c r="Y377" s="5">
        <v>42.31</v>
      </c>
      <c r="Z377" s="6">
        <v>0</v>
      </c>
      <c r="AA377" s="5">
        <v>30.77</v>
      </c>
      <c r="AB377" s="5">
        <v>96.15</v>
      </c>
      <c r="AC377" s="6">
        <v>0.25</v>
      </c>
      <c r="AD377" s="6">
        <v>0.45</v>
      </c>
      <c r="AE377" s="6">
        <v>0.3</v>
      </c>
      <c r="AF377" s="4" t="s">
        <v>6296</v>
      </c>
      <c r="AG377" s="4" t="s">
        <v>6296</v>
      </c>
      <c r="AH377" s="4" t="s">
        <v>6296</v>
      </c>
      <c r="AI377" s="4" t="s">
        <v>6296</v>
      </c>
      <c r="AJ377" s="4" t="s">
        <v>6296</v>
      </c>
      <c r="AK377" s="4" t="s">
        <v>37</v>
      </c>
      <c r="AL377" s="4" t="s">
        <v>6296</v>
      </c>
      <c r="AM377" s="4" t="s">
        <v>6296</v>
      </c>
      <c r="AN377" s="4" t="s">
        <v>42</v>
      </c>
      <c r="AO377" s="4" t="s">
        <v>6296</v>
      </c>
      <c r="AP377" s="4" t="s">
        <v>6489</v>
      </c>
      <c r="AQ377" s="4" t="s">
        <v>47</v>
      </c>
    </row>
    <row r="378" spans="1:43" ht="12.6" customHeight="1" x14ac:dyDescent="0.25">
      <c r="A378" s="8" t="s">
        <v>3390</v>
      </c>
      <c r="B378" s="9">
        <v>20151231</v>
      </c>
      <c r="C378" s="12">
        <f>_xll.FDS("SPX","FG_PRICE(12/30/2015)")</f>
        <v>2063.36</v>
      </c>
      <c r="D378" s="12">
        <f>_xll.FDS("SPX","FG_PRICE(12/30/2017)")</f>
        <v>2673.61</v>
      </c>
      <c r="E378" s="15">
        <f>D378/C378-1</f>
        <v>0.2957554668114144</v>
      </c>
      <c r="F378" s="8" t="s">
        <v>3391</v>
      </c>
      <c r="G378" s="8" t="s">
        <v>3392</v>
      </c>
      <c r="H378" s="13">
        <f>_xll.FDS(G378,"FG_PRICE(12/30/2015)")</f>
        <v>54.37</v>
      </c>
      <c r="I378" s="13">
        <f>_xll.FDS(G378,"FG_PRICE(12/31/2017)")</f>
        <v>84.69</v>
      </c>
      <c r="J378" s="13">
        <f>I378/H378-1</f>
        <v>0.55766047452639333</v>
      </c>
      <c r="K378" s="13">
        <f>J378-E378</f>
        <v>0.26190500771497893</v>
      </c>
      <c r="L378" s="13">
        <f>_xll.FDS(G378,"FF_ROE(ANN_R,12/30/2015)")</f>
        <v>21.095812204552011</v>
      </c>
      <c r="M378" s="8" t="s">
        <v>3393</v>
      </c>
      <c r="N378" s="4" t="s">
        <v>3393</v>
      </c>
      <c r="O378" s="4" t="s">
        <v>3394</v>
      </c>
      <c r="P378" s="4" t="s">
        <v>96</v>
      </c>
      <c r="Q378" s="4" t="s">
        <v>58</v>
      </c>
      <c r="R378" s="4" t="s">
        <v>61</v>
      </c>
      <c r="S378" s="4" t="s">
        <v>62</v>
      </c>
      <c r="T378" s="6" t="e">
        <v>#N/A</v>
      </c>
      <c r="U378" s="5">
        <v>67</v>
      </c>
      <c r="V378" s="5">
        <v>64</v>
      </c>
      <c r="W378" s="5">
        <v>71</v>
      </c>
      <c r="X378" s="5">
        <v>64</v>
      </c>
      <c r="Y378" s="5">
        <v>86.92</v>
      </c>
      <c r="Z378" s="5">
        <v>69.23</v>
      </c>
      <c r="AA378" s="5">
        <v>94.62</v>
      </c>
      <c r="AB378" s="5">
        <v>56.15</v>
      </c>
      <c r="AC378" s="6">
        <v>0.25</v>
      </c>
      <c r="AD378" s="6">
        <v>0.45</v>
      </c>
      <c r="AE378" s="6">
        <v>0.3</v>
      </c>
      <c r="AF378" s="4" t="s">
        <v>6296</v>
      </c>
      <c r="AG378" s="4" t="s">
        <v>6296</v>
      </c>
      <c r="AH378" s="4" t="s">
        <v>6296</v>
      </c>
      <c r="AI378" s="4" t="s">
        <v>6296</v>
      </c>
      <c r="AJ378" s="4" t="s">
        <v>6296</v>
      </c>
      <c r="AK378" s="4" t="s">
        <v>42</v>
      </c>
      <c r="AL378" s="4" t="s">
        <v>6296</v>
      </c>
      <c r="AM378" s="4" t="s">
        <v>42</v>
      </c>
      <c r="AN378" s="4" t="s">
        <v>6296</v>
      </c>
      <c r="AO378" s="4" t="s">
        <v>6296</v>
      </c>
      <c r="AP378" s="4" t="s">
        <v>3395</v>
      </c>
      <c r="AQ378" s="4" t="s">
        <v>47</v>
      </c>
    </row>
    <row r="379" spans="1:43" ht="12.6" customHeight="1" x14ac:dyDescent="0.25">
      <c r="A379" s="8" t="s">
        <v>3514</v>
      </c>
      <c r="B379" s="9">
        <v>20151231</v>
      </c>
      <c r="C379" s="12">
        <f>_xll.FDS("SPX","FG_PRICE(12/30/2015)")</f>
        <v>2063.36</v>
      </c>
      <c r="D379" s="12">
        <f>_xll.FDS("SPX","FG_PRICE(12/30/2017)")</f>
        <v>2673.61</v>
      </c>
      <c r="E379" s="15">
        <f>D379/C379-1</f>
        <v>0.2957554668114144</v>
      </c>
      <c r="F379" s="8" t="s">
        <v>3515</v>
      </c>
      <c r="G379" s="8" t="s">
        <v>3516</v>
      </c>
      <c r="H379" s="13">
        <f>_xll.FDS(G379,"FG_PRICE(12/30/2015)")</f>
        <v>62.22</v>
      </c>
      <c r="I379" s="13" t="e">
        <f>_xll.FDS(G379,"FG_PRICE(12/31/2017)")</f>
        <v>#N/A</v>
      </c>
      <c r="J379" s="13" t="e">
        <f>I379/H379-1</f>
        <v>#N/A</v>
      </c>
      <c r="K379" s="13" t="e">
        <f>J379-E379</f>
        <v>#N/A</v>
      </c>
      <c r="L379" s="13">
        <f>_xll.FDS(G379,"FF_ROE(ANN_R,12/30/2015)")</f>
        <v>23.772241992882559</v>
      </c>
      <c r="M379" s="8" t="s">
        <v>3517</v>
      </c>
      <c r="N379" s="4" t="s">
        <v>3518</v>
      </c>
      <c r="O379" s="4" t="s">
        <v>47</v>
      </c>
      <c r="P379" s="4" t="s">
        <v>96</v>
      </c>
      <c r="Q379" s="4" t="s">
        <v>58</v>
      </c>
      <c r="R379" s="4" t="s">
        <v>61</v>
      </c>
      <c r="S379" s="4" t="s">
        <v>62</v>
      </c>
      <c r="T379" s="6" t="e">
        <v>#N/A</v>
      </c>
      <c r="U379" s="5">
        <v>54</v>
      </c>
      <c r="V379" s="5">
        <v>61</v>
      </c>
      <c r="W379" s="5">
        <v>53</v>
      </c>
      <c r="X379" s="5">
        <v>50</v>
      </c>
      <c r="Y379" s="5">
        <v>36.15</v>
      </c>
      <c r="Z379" s="5">
        <v>62.31</v>
      </c>
      <c r="AA379" s="5">
        <v>53.85</v>
      </c>
      <c r="AB379" s="6">
        <v>4.62</v>
      </c>
      <c r="AC379" s="6">
        <v>0.25</v>
      </c>
      <c r="AD379" s="6">
        <v>0.45</v>
      </c>
      <c r="AE379" s="6">
        <v>0.3</v>
      </c>
      <c r="AF379" s="4" t="s">
        <v>6296</v>
      </c>
      <c r="AG379" s="4" t="s">
        <v>6296</v>
      </c>
      <c r="AH379" s="4" t="s">
        <v>6296</v>
      </c>
      <c r="AI379" s="4" t="s">
        <v>6296</v>
      </c>
      <c r="AJ379" s="4" t="s">
        <v>6296</v>
      </c>
      <c r="AK379" s="4" t="s">
        <v>37</v>
      </c>
      <c r="AL379" s="4" t="s">
        <v>6296</v>
      </c>
      <c r="AM379" s="4" t="s">
        <v>37</v>
      </c>
      <c r="AN379" s="4" t="s">
        <v>37</v>
      </c>
      <c r="AO379" s="4" t="s">
        <v>6296</v>
      </c>
      <c r="AP379" s="4" t="s">
        <v>3519</v>
      </c>
      <c r="AQ379" s="4" t="s">
        <v>47</v>
      </c>
    </row>
    <row r="380" spans="1:43" ht="12.6" customHeight="1" x14ac:dyDescent="0.25">
      <c r="A380" s="8" t="s">
        <v>3839</v>
      </c>
      <c r="B380" s="9">
        <v>20151231</v>
      </c>
      <c r="C380" s="12">
        <f>_xll.FDS("SPX","FG_PRICE(12/30/2015)")</f>
        <v>2063.36</v>
      </c>
      <c r="D380" s="12">
        <f>_xll.FDS("SPX","FG_PRICE(12/30/2017)")</f>
        <v>2673.61</v>
      </c>
      <c r="E380" s="15">
        <f>D380/C380-1</f>
        <v>0.2957554668114144</v>
      </c>
      <c r="F380" s="8" t="s">
        <v>3840</v>
      </c>
      <c r="G380" s="8" t="s">
        <v>3841</v>
      </c>
      <c r="H380" s="13">
        <f>_xll.FDS(G380,"FG_PRICE(12/30/2015)")</f>
        <v>94.25</v>
      </c>
      <c r="I380" s="13">
        <f>_xll.FDS(G380,"FG_PRICE(12/31/2017)")</f>
        <v>154.84</v>
      </c>
      <c r="J380" s="13">
        <f>I380/H380-1</f>
        <v>0.64286472148541107</v>
      </c>
      <c r="K380" s="13">
        <f>J380-E380</f>
        <v>0.34710925467399667</v>
      </c>
      <c r="L380" s="13">
        <f>_xll.FDS(G380,"FF_ROE(ANN_R,12/30/2015)")</f>
        <v>5.8383403242262784</v>
      </c>
      <c r="M380" s="8" t="s">
        <v>3842</v>
      </c>
      <c r="N380" s="4" t="s">
        <v>3842</v>
      </c>
      <c r="O380" s="4" t="s">
        <v>3843</v>
      </c>
      <c r="P380" s="4" t="s">
        <v>96</v>
      </c>
      <c r="Q380" s="4" t="s">
        <v>58</v>
      </c>
      <c r="R380" s="4" t="s">
        <v>61</v>
      </c>
      <c r="S380" s="4" t="s">
        <v>62</v>
      </c>
      <c r="T380" s="6" t="e">
        <v>#N/A</v>
      </c>
      <c r="U380" s="5">
        <v>56</v>
      </c>
      <c r="V380" s="5">
        <v>65</v>
      </c>
      <c r="W380" s="5">
        <v>51</v>
      </c>
      <c r="X380" s="5">
        <v>55</v>
      </c>
      <c r="Y380" s="5">
        <v>47.69</v>
      </c>
      <c r="Z380" s="5">
        <v>72.31</v>
      </c>
      <c r="AA380" s="5">
        <v>48.46</v>
      </c>
      <c r="AB380" s="5">
        <v>22.31</v>
      </c>
      <c r="AC380" s="6">
        <v>0.25</v>
      </c>
      <c r="AD380" s="6">
        <v>0.45</v>
      </c>
      <c r="AE380" s="6">
        <v>0.3</v>
      </c>
      <c r="AF380" s="4" t="s">
        <v>6296</v>
      </c>
      <c r="AG380" s="4" t="s">
        <v>6296</v>
      </c>
      <c r="AH380" s="4" t="s">
        <v>6296</v>
      </c>
      <c r="AI380" s="4" t="s">
        <v>6296</v>
      </c>
      <c r="AJ380" s="4" t="s">
        <v>6296</v>
      </c>
      <c r="AK380" s="4" t="s">
        <v>45</v>
      </c>
      <c r="AL380" s="4" t="s">
        <v>6296</v>
      </c>
      <c r="AM380" s="4" t="s">
        <v>42</v>
      </c>
      <c r="AN380" s="4" t="s">
        <v>6296</v>
      </c>
      <c r="AO380" s="4" t="s">
        <v>6296</v>
      </c>
      <c r="AP380" s="4" t="s">
        <v>3844</v>
      </c>
      <c r="AQ380" s="4" t="s">
        <v>47</v>
      </c>
    </row>
    <row r="381" spans="1:43" ht="12.6" customHeight="1" x14ac:dyDescent="0.25">
      <c r="A381" s="8" t="s">
        <v>3958</v>
      </c>
      <c r="B381" s="9">
        <v>20151231</v>
      </c>
      <c r="C381" s="12">
        <f>_xll.FDS("SPX","FG_PRICE(12/30/2015)")</f>
        <v>2063.36</v>
      </c>
      <c r="D381" s="12">
        <f>_xll.FDS("SPX","FG_PRICE(12/30/2017)")</f>
        <v>2673.61</v>
      </c>
      <c r="E381" s="15">
        <f>D381/C381-1</f>
        <v>0.2957554668114144</v>
      </c>
      <c r="F381" s="8" t="s">
        <v>3959</v>
      </c>
      <c r="G381" s="8" t="s">
        <v>3960</v>
      </c>
      <c r="H381" s="13">
        <f>_xll.FDS(G381,"FG_PRICE(12/30/2015)")</f>
        <v>133.15</v>
      </c>
      <c r="I381" s="13">
        <f>_xll.FDS(G381,"FG_PRICE(12/31/2017)")</f>
        <v>248.82</v>
      </c>
      <c r="J381" s="13">
        <f>I381/H381-1</f>
        <v>0.86871948929778431</v>
      </c>
      <c r="K381" s="13">
        <f>J381-E381</f>
        <v>0.57296402248636991</v>
      </c>
      <c r="L381" s="13">
        <f>_xll.FDS(G381,"FF_ROE(ANN_R,12/30/2015)")</f>
        <v>9.9553549485520421</v>
      </c>
      <c r="M381" s="8" t="s">
        <v>3961</v>
      </c>
      <c r="N381" s="4" t="s">
        <v>3961</v>
      </c>
      <c r="O381" s="4" t="s">
        <v>3962</v>
      </c>
      <c r="P381" s="4" t="s">
        <v>96</v>
      </c>
      <c r="Q381" s="4" t="s">
        <v>58</v>
      </c>
      <c r="R381" s="4" t="s">
        <v>61</v>
      </c>
      <c r="S381" s="4" t="s">
        <v>62</v>
      </c>
      <c r="T381" s="6" t="e">
        <v>#N/A</v>
      </c>
      <c r="U381" s="5">
        <v>51</v>
      </c>
      <c r="V381" s="5">
        <v>46</v>
      </c>
      <c r="W381" s="5">
        <v>44</v>
      </c>
      <c r="X381" s="5">
        <v>65</v>
      </c>
      <c r="Y381" s="5">
        <v>21.54</v>
      </c>
      <c r="Z381" s="5">
        <v>11.54</v>
      </c>
      <c r="AA381" s="5">
        <v>14.62</v>
      </c>
      <c r="AB381" s="5">
        <v>58.46</v>
      </c>
      <c r="AC381" s="6">
        <v>0.25</v>
      </c>
      <c r="AD381" s="6">
        <v>0.45</v>
      </c>
      <c r="AE381" s="6">
        <v>0.3</v>
      </c>
      <c r="AF381" s="4" t="s">
        <v>6296</v>
      </c>
      <c r="AG381" s="4" t="s">
        <v>6296</v>
      </c>
      <c r="AH381" s="4" t="s">
        <v>6296</v>
      </c>
      <c r="AI381" s="4" t="s">
        <v>6296</v>
      </c>
      <c r="AJ381" s="4" t="s">
        <v>6296</v>
      </c>
      <c r="AK381" s="4" t="s">
        <v>37</v>
      </c>
      <c r="AL381" s="4" t="s">
        <v>6296</v>
      </c>
      <c r="AM381" s="4" t="s">
        <v>6296</v>
      </c>
      <c r="AN381" s="4" t="s">
        <v>6296</v>
      </c>
      <c r="AO381" s="4" t="s">
        <v>6296</v>
      </c>
      <c r="AP381" s="4" t="s">
        <v>3963</v>
      </c>
      <c r="AQ381" s="4" t="s">
        <v>47</v>
      </c>
    </row>
    <row r="382" spans="1:43" ht="12.6" customHeight="1" x14ac:dyDescent="0.25">
      <c r="A382" s="8" t="s">
        <v>5606</v>
      </c>
      <c r="B382" s="9">
        <v>20151231</v>
      </c>
      <c r="C382" s="12">
        <f>_xll.FDS("SPX","FG_PRICE(12/30/2015)")</f>
        <v>2063.36</v>
      </c>
      <c r="D382" s="12">
        <f>_xll.FDS("SPX","FG_PRICE(12/30/2017)")</f>
        <v>2673.61</v>
      </c>
      <c r="E382" s="15">
        <f>D382/C382-1</f>
        <v>0.2957554668114144</v>
      </c>
      <c r="F382" s="8" t="s">
        <v>5607</v>
      </c>
      <c r="G382" s="8" t="s">
        <v>5608</v>
      </c>
      <c r="H382" s="13">
        <f>_xll.FDS(G382,"FG_PRICE(12/30/2015)")</f>
        <v>30.28</v>
      </c>
      <c r="I382" s="13">
        <f>_xll.FDS(G382,"FG_PRICE(12/31/2017)")</f>
        <v>15.16</v>
      </c>
      <c r="J382" s="13">
        <f>I382/H382-1</f>
        <v>-0.49933949801849409</v>
      </c>
      <c r="K382" s="13">
        <f>J382-E382</f>
        <v>-0.79509496482990849</v>
      </c>
      <c r="L382" s="13">
        <f>_xll.FDS(G382,"FF_ROE(ANN_R,12/30/2015)")</f>
        <v>4.8364153627311524</v>
      </c>
      <c r="M382" s="8" t="s">
        <v>5609</v>
      </c>
      <c r="N382" s="4" t="s">
        <v>5610</v>
      </c>
      <c r="O382" s="4" t="s">
        <v>5611</v>
      </c>
      <c r="P382" s="4" t="s">
        <v>96</v>
      </c>
      <c r="Q382" s="4" t="s">
        <v>58</v>
      </c>
      <c r="R382" s="4" t="s">
        <v>61</v>
      </c>
      <c r="S382" s="4" t="s">
        <v>62</v>
      </c>
      <c r="T382" s="6" t="e">
        <v>#N/A</v>
      </c>
      <c r="U382" s="5">
        <v>59</v>
      </c>
      <c r="V382" s="5">
        <v>59</v>
      </c>
      <c r="W382" s="5">
        <v>51</v>
      </c>
      <c r="X382" s="5">
        <v>70</v>
      </c>
      <c r="Y382" s="5">
        <v>63.08</v>
      </c>
      <c r="Z382" s="5">
        <v>56.92</v>
      </c>
      <c r="AA382" s="5">
        <v>48.46</v>
      </c>
      <c r="AB382" s="5">
        <v>76.150000000000006</v>
      </c>
      <c r="AC382" s="6">
        <v>0.25</v>
      </c>
      <c r="AD382" s="6">
        <v>0.45</v>
      </c>
      <c r="AE382" s="6">
        <v>0.3</v>
      </c>
      <c r="AF382" s="4" t="s">
        <v>6296</v>
      </c>
      <c r="AG382" s="4" t="s">
        <v>6296</v>
      </c>
      <c r="AH382" s="4" t="s">
        <v>6296</v>
      </c>
      <c r="AI382" s="4" t="s">
        <v>6296</v>
      </c>
      <c r="AJ382" s="4" t="s">
        <v>6296</v>
      </c>
      <c r="AK382" s="4" t="s">
        <v>42</v>
      </c>
      <c r="AL382" s="4" t="s">
        <v>6296</v>
      </c>
      <c r="AM382" s="4" t="s">
        <v>37</v>
      </c>
      <c r="AN382" s="4" t="s">
        <v>6296</v>
      </c>
      <c r="AO382" s="4" t="s">
        <v>6296</v>
      </c>
      <c r="AP382" s="4" t="s">
        <v>5612</v>
      </c>
      <c r="AQ382" s="4" t="s">
        <v>47</v>
      </c>
    </row>
    <row r="383" spans="1:43" ht="12.6" customHeight="1" x14ac:dyDescent="0.25">
      <c r="A383" s="8" t="s">
        <v>4164</v>
      </c>
      <c r="B383" s="9">
        <v>20151231</v>
      </c>
      <c r="C383" s="12">
        <f>_xll.FDS("SPX","FG_PRICE(12/30/2015)")</f>
        <v>2063.36</v>
      </c>
      <c r="D383" s="12">
        <f>_xll.FDS("SPX","FG_PRICE(12/30/2017)")</f>
        <v>2673.61</v>
      </c>
      <c r="E383" s="15">
        <f>D383/C383-1</f>
        <v>0.2957554668114144</v>
      </c>
      <c r="F383" s="8" t="s">
        <v>4165</v>
      </c>
      <c r="G383" s="8" t="s">
        <v>4166</v>
      </c>
      <c r="H383" s="13">
        <f>_xll.FDS(G383,"FG_PRICE(12/30/2015)")</f>
        <v>120.02</v>
      </c>
      <c r="I383" s="13">
        <f>_xll.FDS(G383,"FG_PRICE(12/31/2017)")</f>
        <v>113.35</v>
      </c>
      <c r="J383" s="13">
        <f>I383/H383-1</f>
        <v>-5.5574070988168689E-2</v>
      </c>
      <c r="K383" s="13">
        <f>J383-E383</f>
        <v>-0.35132953779958309</v>
      </c>
      <c r="L383" s="13">
        <f>_xll.FDS(G383,"FF_ROE(ANN_R,12/30/2015)")</f>
        <v>15.60586464927694</v>
      </c>
      <c r="M383" s="8" t="s">
        <v>4167</v>
      </c>
      <c r="N383" s="4" t="s">
        <v>4168</v>
      </c>
      <c r="O383" s="4" t="s">
        <v>4169</v>
      </c>
      <c r="P383" s="4" t="s">
        <v>96</v>
      </c>
      <c r="Q383" s="4" t="s">
        <v>58</v>
      </c>
      <c r="R383" s="4" t="s">
        <v>61</v>
      </c>
      <c r="S383" s="4" t="s">
        <v>62</v>
      </c>
      <c r="T383" s="6" t="e">
        <v>#N/A</v>
      </c>
      <c r="U383" s="5">
        <v>46</v>
      </c>
      <c r="V383" s="5">
        <v>48</v>
      </c>
      <c r="W383" s="5">
        <v>38</v>
      </c>
      <c r="X383" s="5">
        <v>58</v>
      </c>
      <c r="Y383" s="6">
        <v>1.54</v>
      </c>
      <c r="Z383" s="5">
        <v>18.46</v>
      </c>
      <c r="AA383" s="6">
        <v>0</v>
      </c>
      <c r="AB383" s="5">
        <v>32.31</v>
      </c>
      <c r="AC383" s="6">
        <v>0.25</v>
      </c>
      <c r="AD383" s="6">
        <v>0.45</v>
      </c>
      <c r="AE383" s="6">
        <v>0.3</v>
      </c>
      <c r="AF383" s="4" t="s">
        <v>6296</v>
      </c>
      <c r="AG383" s="4" t="s">
        <v>6296</v>
      </c>
      <c r="AH383" s="4" t="s">
        <v>6296</v>
      </c>
      <c r="AI383" s="4" t="s">
        <v>37</v>
      </c>
      <c r="AJ383" s="4" t="s">
        <v>6296</v>
      </c>
      <c r="AK383" s="4" t="s">
        <v>46</v>
      </c>
      <c r="AL383" s="4" t="s">
        <v>6296</v>
      </c>
      <c r="AM383" s="4" t="s">
        <v>42</v>
      </c>
      <c r="AN383" s="4" t="s">
        <v>6296</v>
      </c>
      <c r="AO383" s="4" t="s">
        <v>6296</v>
      </c>
      <c r="AP383" s="4" t="s">
        <v>4170</v>
      </c>
      <c r="AQ383" s="4" t="s">
        <v>47</v>
      </c>
    </row>
    <row r="384" spans="1:43" ht="12.6" customHeight="1" x14ac:dyDescent="0.25">
      <c r="A384" s="8" t="s">
        <v>4146</v>
      </c>
      <c r="B384" s="9">
        <v>20151231</v>
      </c>
      <c r="C384" s="12">
        <f>_xll.FDS("SPX","FG_PRICE(12/30/2015)")</f>
        <v>2063.36</v>
      </c>
      <c r="D384" s="12">
        <f>_xll.FDS("SPX","FG_PRICE(12/30/2017)")</f>
        <v>2673.61</v>
      </c>
      <c r="E384" s="15">
        <f>D384/C384-1</f>
        <v>0.2957554668114144</v>
      </c>
      <c r="F384" s="8" t="s">
        <v>4147</v>
      </c>
      <c r="G384" s="8" t="s">
        <v>4148</v>
      </c>
      <c r="H384" s="13">
        <f>_xll.FDS(G384,"FG_PRICE(12/30/2015)")</f>
        <v>118.92</v>
      </c>
      <c r="I384" s="13">
        <f>_xll.FDS(G384,"FG_PRICE(12/31/2017)")</f>
        <v>220.46</v>
      </c>
      <c r="J384" s="13">
        <f>I384/H384-1</f>
        <v>0.85385132862428526</v>
      </c>
      <c r="K384" s="13">
        <f>J384-E384</f>
        <v>0.55809586181287085</v>
      </c>
      <c r="L384" s="13">
        <f>_xll.FDS(G384,"FF_ROE(ANN_R,12/30/2015)")</f>
        <v>17.395476990232648</v>
      </c>
      <c r="M384" s="8" t="s">
        <v>4149</v>
      </c>
      <c r="N384" s="4" t="s">
        <v>4149</v>
      </c>
      <c r="O384" s="4" t="s">
        <v>4150</v>
      </c>
      <c r="P384" s="4" t="s">
        <v>96</v>
      </c>
      <c r="Q384" s="4" t="s">
        <v>58</v>
      </c>
      <c r="R384" s="4" t="s">
        <v>61</v>
      </c>
      <c r="S384" s="4" t="s">
        <v>62</v>
      </c>
      <c r="T384" s="6" t="e">
        <v>#N/A</v>
      </c>
      <c r="U384" s="5">
        <v>61</v>
      </c>
      <c r="V384" s="5">
        <v>63</v>
      </c>
      <c r="W384" s="5">
        <v>50</v>
      </c>
      <c r="X384" s="5">
        <v>76</v>
      </c>
      <c r="Y384" s="5">
        <v>72.31</v>
      </c>
      <c r="Z384" s="5">
        <v>66.92</v>
      </c>
      <c r="AA384" s="5">
        <v>43.85</v>
      </c>
      <c r="AB384" s="5">
        <v>92.31</v>
      </c>
      <c r="AC384" s="6">
        <v>0.25</v>
      </c>
      <c r="AD384" s="6">
        <v>0.45</v>
      </c>
      <c r="AE384" s="6">
        <v>0.3</v>
      </c>
      <c r="AF384" s="4" t="s">
        <v>6296</v>
      </c>
      <c r="AG384" s="4" t="s">
        <v>6296</v>
      </c>
      <c r="AH384" s="4" t="s">
        <v>6296</v>
      </c>
      <c r="AI384" s="4" t="s">
        <v>6296</v>
      </c>
      <c r="AJ384" s="4" t="s">
        <v>6296</v>
      </c>
      <c r="AK384" s="4" t="s">
        <v>37</v>
      </c>
      <c r="AL384" s="4" t="s">
        <v>6296</v>
      </c>
      <c r="AM384" s="4" t="s">
        <v>42</v>
      </c>
      <c r="AN384" s="4" t="s">
        <v>6296</v>
      </c>
      <c r="AO384" s="4" t="s">
        <v>6296</v>
      </c>
      <c r="AP384" s="4" t="s">
        <v>4151</v>
      </c>
      <c r="AQ384" s="4" t="s">
        <v>47</v>
      </c>
    </row>
    <row r="385" spans="1:43" ht="12.6" customHeight="1" x14ac:dyDescent="0.25">
      <c r="A385" s="8" t="s">
        <v>4198</v>
      </c>
      <c r="B385" s="9">
        <v>20151231</v>
      </c>
      <c r="C385" s="12">
        <f>_xll.FDS("SPX","FG_PRICE(12/30/2015)")</f>
        <v>2063.36</v>
      </c>
      <c r="D385" s="12">
        <f>_xll.FDS("SPX","FG_PRICE(12/30/2017)")</f>
        <v>2673.61</v>
      </c>
      <c r="E385" s="15">
        <f>D385/C385-1</f>
        <v>0.2957554668114144</v>
      </c>
      <c r="F385" s="8" t="s">
        <v>4199</v>
      </c>
      <c r="G385" s="8" t="s">
        <v>4200</v>
      </c>
      <c r="H385" s="13">
        <f>_xll.FDS(G385,"FG_PRICE(12/30/2015)")</f>
        <v>72.038719999999998</v>
      </c>
      <c r="I385" s="13">
        <f>_xll.FDS(G385,"FG_PRICE(12/31/2017)")</f>
        <v>111.15</v>
      </c>
      <c r="J385" s="13">
        <f>I385/H385-1</f>
        <v>0.5429202517757119</v>
      </c>
      <c r="K385" s="13">
        <f>J385-E385</f>
        <v>0.2471647849642975</v>
      </c>
      <c r="L385" s="13">
        <f>_xll.FDS(G385,"FF_ROE(ANN_R,12/30/2015)")</f>
        <v>24.728517256506869</v>
      </c>
      <c r="M385" s="8" t="s">
        <v>4201</v>
      </c>
      <c r="N385" s="4" t="s">
        <v>4202</v>
      </c>
      <c r="O385" s="4" t="s">
        <v>4203</v>
      </c>
      <c r="P385" s="4" t="s">
        <v>96</v>
      </c>
      <c r="Q385" s="4" t="s">
        <v>58</v>
      </c>
      <c r="R385" s="4" t="s">
        <v>61</v>
      </c>
      <c r="S385" s="4" t="s">
        <v>62</v>
      </c>
      <c r="T385" s="6" t="e">
        <v>#N/A</v>
      </c>
      <c r="U385" s="5">
        <v>70</v>
      </c>
      <c r="V385" s="5">
        <v>77</v>
      </c>
      <c r="W385" s="5">
        <v>70</v>
      </c>
      <c r="X385" s="5">
        <v>64</v>
      </c>
      <c r="Y385" s="5">
        <v>92.31</v>
      </c>
      <c r="Z385" s="5">
        <v>90.77</v>
      </c>
      <c r="AA385" s="5">
        <v>93.85</v>
      </c>
      <c r="AB385" s="5">
        <v>56.15</v>
      </c>
      <c r="AC385" s="6">
        <v>0.25</v>
      </c>
      <c r="AD385" s="6">
        <v>0.45</v>
      </c>
      <c r="AE385" s="6">
        <v>0.3</v>
      </c>
      <c r="AF385" s="4" t="s">
        <v>6296</v>
      </c>
      <c r="AG385" s="4" t="s">
        <v>6296</v>
      </c>
      <c r="AH385" s="4" t="s">
        <v>6296</v>
      </c>
      <c r="AI385" s="4" t="s">
        <v>6296</v>
      </c>
      <c r="AJ385" s="4" t="s">
        <v>6296</v>
      </c>
      <c r="AK385" s="4" t="s">
        <v>6296</v>
      </c>
      <c r="AL385" s="4" t="s">
        <v>6296</v>
      </c>
      <c r="AM385" s="4" t="s">
        <v>42</v>
      </c>
      <c r="AN385" s="4" t="s">
        <v>6296</v>
      </c>
      <c r="AO385" s="4" t="s">
        <v>6296</v>
      </c>
      <c r="AP385" s="4" t="s">
        <v>4204</v>
      </c>
      <c r="AQ385" s="4" t="s">
        <v>47</v>
      </c>
    </row>
    <row r="386" spans="1:43" ht="12.6" customHeight="1" x14ac:dyDescent="0.25">
      <c r="A386" s="8" t="s">
        <v>3674</v>
      </c>
      <c r="B386" s="9">
        <v>20151231</v>
      </c>
      <c r="C386" s="12">
        <f>_xll.FDS("SPX","FG_PRICE(12/30/2015)")</f>
        <v>2063.36</v>
      </c>
      <c r="D386" s="12">
        <f>_xll.FDS("SPX","FG_PRICE(12/30/2017)")</f>
        <v>2673.61</v>
      </c>
      <c r="E386" s="15">
        <f>D386/C386-1</f>
        <v>0.2957554668114144</v>
      </c>
      <c r="F386" s="8" t="s">
        <v>3675</v>
      </c>
      <c r="G386" s="8" t="s">
        <v>3676</v>
      </c>
      <c r="H386" s="13">
        <f>_xll.FDS(G386,"FG_PRICE(12/30/2015)")</f>
        <v>55.13</v>
      </c>
      <c r="I386" s="13" t="e">
        <f>_xll.FDS(G386,"FG_PRICE(12/31/2017)")</f>
        <v>#N/A</v>
      </c>
      <c r="J386" s="13" t="e">
        <f>I386/H386-1</f>
        <v>#N/A</v>
      </c>
      <c r="K386" s="13" t="e">
        <f>J386-E386</f>
        <v>#N/A</v>
      </c>
      <c r="L386" s="13">
        <f>_xll.FDS(G386,"FF_ROE(ANN_R,12/30/2015)")</f>
        <v>10.80053875898829</v>
      </c>
      <c r="M386" s="8" t="s">
        <v>3677</v>
      </c>
      <c r="N386" s="4" t="s">
        <v>3677</v>
      </c>
      <c r="O386" s="4" t="s">
        <v>3678</v>
      </c>
      <c r="P386" s="4" t="s">
        <v>106</v>
      </c>
      <c r="Q386" s="4" t="s">
        <v>58</v>
      </c>
      <c r="R386" s="4" t="s">
        <v>61</v>
      </c>
      <c r="S386" s="4" t="s">
        <v>62</v>
      </c>
      <c r="T386" s="6" t="e">
        <v>#N/A</v>
      </c>
      <c r="U386" s="5">
        <v>50</v>
      </c>
      <c r="V386" s="5">
        <v>44</v>
      </c>
      <c r="W386" s="5">
        <v>46</v>
      </c>
      <c r="X386" s="5">
        <v>62</v>
      </c>
      <c r="Y386" s="5">
        <v>14.62</v>
      </c>
      <c r="Z386" s="6">
        <v>0</v>
      </c>
      <c r="AA386" s="5">
        <v>23.85</v>
      </c>
      <c r="AB386" s="5">
        <v>46.92</v>
      </c>
      <c r="AC386" s="6">
        <v>0.25</v>
      </c>
      <c r="AD386" s="6">
        <v>0.45</v>
      </c>
      <c r="AE386" s="6">
        <v>0.3</v>
      </c>
      <c r="AF386" s="4" t="s">
        <v>6296</v>
      </c>
      <c r="AG386" s="4" t="s">
        <v>6296</v>
      </c>
      <c r="AH386" s="4" t="s">
        <v>6296</v>
      </c>
      <c r="AI386" s="4" t="s">
        <v>6296</v>
      </c>
      <c r="AJ386" s="4" t="s">
        <v>6296</v>
      </c>
      <c r="AK386" s="4" t="s">
        <v>6296</v>
      </c>
      <c r="AL386" s="4" t="s">
        <v>6296</v>
      </c>
      <c r="AM386" s="4" t="s">
        <v>6296</v>
      </c>
      <c r="AN386" s="4" t="s">
        <v>6296</v>
      </c>
      <c r="AO386" s="4" t="s">
        <v>6296</v>
      </c>
      <c r="AP386" s="4" t="s">
        <v>3679</v>
      </c>
      <c r="AQ386" s="4" t="s">
        <v>47</v>
      </c>
    </row>
    <row r="387" spans="1:43" ht="12.6" customHeight="1" x14ac:dyDescent="0.25">
      <c r="A387" s="8" t="s">
        <v>6130</v>
      </c>
      <c r="B387" s="9">
        <v>20151231</v>
      </c>
      <c r="C387" s="12">
        <f>_xll.FDS("SPX","FG_PRICE(12/30/2015)")</f>
        <v>2063.36</v>
      </c>
      <c r="D387" s="12">
        <f>_xll.FDS("SPX","FG_PRICE(12/30/2017)")</f>
        <v>2673.61</v>
      </c>
      <c r="E387" s="15">
        <f>D387/C387-1</f>
        <v>0.2957554668114144</v>
      </c>
      <c r="F387" s="8" t="s">
        <v>6131</v>
      </c>
      <c r="G387" s="8" t="s">
        <v>6132</v>
      </c>
      <c r="H387" s="13">
        <f>_xll.FDS(G387,"FG_PRICE(12/30/2015)")</f>
        <v>61.41</v>
      </c>
      <c r="I387" s="13">
        <f>_xll.FDS(G387,"FG_PRICE(12/31/2017)")</f>
        <v>65.83</v>
      </c>
      <c r="J387" s="13">
        <f>I387/H387-1</f>
        <v>7.1975248330890862E-2</v>
      </c>
      <c r="K387" s="13">
        <f>J387-E387</f>
        <v>-0.22378021848052354</v>
      </c>
      <c r="L387" s="13">
        <f>_xll.FDS(G387,"FF_ROE(ANN_R,12/30/2015)")</f>
        <v>13.296207919886861</v>
      </c>
      <c r="M387" s="8" t="s">
        <v>6133</v>
      </c>
      <c r="N387" s="4" t="s">
        <v>6134</v>
      </c>
      <c r="O387" s="4" t="s">
        <v>6135</v>
      </c>
      <c r="P387" s="4" t="s">
        <v>106</v>
      </c>
      <c r="Q387" s="4" t="s">
        <v>58</v>
      </c>
      <c r="R387" s="4" t="s">
        <v>61</v>
      </c>
      <c r="S387" s="4" t="s">
        <v>62</v>
      </c>
      <c r="T387" s="6" t="e">
        <v>#N/A</v>
      </c>
      <c r="U387" s="5">
        <v>60</v>
      </c>
      <c r="V387" s="5">
        <v>60</v>
      </c>
      <c r="W387" s="5">
        <v>58</v>
      </c>
      <c r="X387" s="5">
        <v>63</v>
      </c>
      <c r="Y387" s="5">
        <v>66.92</v>
      </c>
      <c r="Z387" s="5">
        <v>60</v>
      </c>
      <c r="AA387" s="5">
        <v>70.77</v>
      </c>
      <c r="AB387" s="5">
        <v>51.54</v>
      </c>
      <c r="AC387" s="6">
        <v>0.25</v>
      </c>
      <c r="AD387" s="6">
        <v>0.45</v>
      </c>
      <c r="AE387" s="6">
        <v>0.3</v>
      </c>
      <c r="AF387" s="4" t="s">
        <v>6296</v>
      </c>
      <c r="AG387" s="4" t="s">
        <v>6296</v>
      </c>
      <c r="AH387" s="4" t="s">
        <v>6296</v>
      </c>
      <c r="AI387" s="4" t="s">
        <v>6296</v>
      </c>
      <c r="AJ387" s="4" t="s">
        <v>6296</v>
      </c>
      <c r="AK387" s="4" t="s">
        <v>6296</v>
      </c>
      <c r="AL387" s="4" t="s">
        <v>6296</v>
      </c>
      <c r="AM387" s="4" t="s">
        <v>6296</v>
      </c>
      <c r="AN387" s="4" t="s">
        <v>6296</v>
      </c>
      <c r="AO387" s="4" t="s">
        <v>6296</v>
      </c>
      <c r="AP387" s="4" t="s">
        <v>6136</v>
      </c>
      <c r="AQ387" s="4" t="s">
        <v>47</v>
      </c>
    </row>
    <row r="388" spans="1:43" ht="12.6" customHeight="1" x14ac:dyDescent="0.25">
      <c r="A388" s="8" t="s">
        <v>3575</v>
      </c>
      <c r="B388" s="9">
        <v>20151231</v>
      </c>
      <c r="C388" s="12">
        <f>_xll.FDS("SPX","FG_PRICE(12/30/2015)")</f>
        <v>2063.36</v>
      </c>
      <c r="D388" s="12">
        <f>_xll.FDS("SPX","FG_PRICE(12/30/2017)")</f>
        <v>2673.61</v>
      </c>
      <c r="E388" s="15">
        <f>D388/C388-1</f>
        <v>0.2957554668114144</v>
      </c>
      <c r="F388" s="8" t="s">
        <v>3576</v>
      </c>
      <c r="G388" s="8" t="s">
        <v>3577</v>
      </c>
      <c r="H388" s="13">
        <f>_xll.FDS(G388,"FG_PRICE(12/30/2015)")</f>
        <v>102.47</v>
      </c>
      <c r="I388" s="13">
        <f>_xll.FDS(G388,"FG_PRICE(12/31/2017)")</f>
        <v>120.67</v>
      </c>
      <c r="J388" s="13">
        <f>I388/H388-1</f>
        <v>0.1776129598906997</v>
      </c>
      <c r="K388" s="13">
        <f>J388-E388</f>
        <v>-0.11814250692071471</v>
      </c>
      <c r="L388" s="13">
        <f>_xll.FDS(G388,"FF_ROE(ANN_R,12/30/2015)")</f>
        <v>11.23567455395105</v>
      </c>
      <c r="M388" s="8" t="s">
        <v>3578</v>
      </c>
      <c r="N388" s="4" t="s">
        <v>3579</v>
      </c>
      <c r="O388" s="4" t="s">
        <v>3580</v>
      </c>
      <c r="P388" s="4" t="s">
        <v>96</v>
      </c>
      <c r="Q388" s="4" t="s">
        <v>58</v>
      </c>
      <c r="R388" s="4" t="s">
        <v>61</v>
      </c>
      <c r="S388" s="4" t="s">
        <v>62</v>
      </c>
      <c r="T388" s="6" t="e">
        <v>#N/A</v>
      </c>
      <c r="U388" s="5">
        <v>60</v>
      </c>
      <c r="V388" s="5">
        <v>63</v>
      </c>
      <c r="W388" s="5">
        <v>56</v>
      </c>
      <c r="X388" s="5">
        <v>63</v>
      </c>
      <c r="Y388" s="5">
        <v>66.92</v>
      </c>
      <c r="Z388" s="5">
        <v>66.92</v>
      </c>
      <c r="AA388" s="5">
        <v>63.08</v>
      </c>
      <c r="AB388" s="5">
        <v>51.54</v>
      </c>
      <c r="AC388" s="6">
        <v>0.25</v>
      </c>
      <c r="AD388" s="6">
        <v>0.45</v>
      </c>
      <c r="AE388" s="6">
        <v>0.3</v>
      </c>
      <c r="AF388" s="4" t="s">
        <v>6296</v>
      </c>
      <c r="AG388" s="4" t="s">
        <v>6296</v>
      </c>
      <c r="AH388" s="4" t="s">
        <v>6296</v>
      </c>
      <c r="AI388" s="4" t="s">
        <v>42</v>
      </c>
      <c r="AJ388" s="4" t="s">
        <v>6296</v>
      </c>
      <c r="AK388" s="4" t="s">
        <v>37</v>
      </c>
      <c r="AL388" s="4" t="s">
        <v>6296</v>
      </c>
      <c r="AM388" s="4" t="s">
        <v>42</v>
      </c>
      <c r="AN388" s="4" t="s">
        <v>6296</v>
      </c>
      <c r="AO388" s="4" t="s">
        <v>6296</v>
      </c>
      <c r="AP388" s="4" t="s">
        <v>3581</v>
      </c>
      <c r="AQ388" s="4" t="s">
        <v>47</v>
      </c>
    </row>
    <row r="389" spans="1:43" ht="12.6" customHeight="1" x14ac:dyDescent="0.25">
      <c r="A389" s="8" t="s">
        <v>1252</v>
      </c>
      <c r="B389" s="9">
        <v>20151231</v>
      </c>
      <c r="C389" s="12">
        <f>_xll.FDS("SPX","FG_PRICE(12/30/2015)")</f>
        <v>2063.36</v>
      </c>
      <c r="D389" s="12">
        <f>_xll.FDS("SPX","FG_PRICE(12/30/2017)")</f>
        <v>2673.61</v>
      </c>
      <c r="E389" s="15">
        <f>D389/C389-1</f>
        <v>0.2957554668114144</v>
      </c>
      <c r="F389" s="8" t="s">
        <v>1253</v>
      </c>
      <c r="G389" s="8" t="s">
        <v>1254</v>
      </c>
      <c r="H389" s="13">
        <f>_xll.FDS(G389,"FG_PRICE(12/30/2015)")</f>
        <v>32.44</v>
      </c>
      <c r="I389" s="13">
        <f>_xll.FDS(G389,"FG_PRICE(12/31/2017)")</f>
        <v>51.07</v>
      </c>
      <c r="J389" s="13">
        <f>I389/H389-1</f>
        <v>0.57429099876695444</v>
      </c>
      <c r="K389" s="13">
        <f>J389-E389</f>
        <v>0.27853553195554004</v>
      </c>
      <c r="L389" s="13">
        <f>_xll.FDS(G389,"FF_ROE(ANN_R,12/30/2015)")</f>
        <v>13.63657005840092</v>
      </c>
      <c r="M389" s="8" t="s">
        <v>1255</v>
      </c>
      <c r="N389" s="4" t="s">
        <v>1256</v>
      </c>
      <c r="O389" s="4" t="s">
        <v>1257</v>
      </c>
      <c r="P389" s="4" t="s">
        <v>96</v>
      </c>
      <c r="Q389" s="4" t="s">
        <v>52</v>
      </c>
      <c r="R389" s="4" t="s">
        <v>61</v>
      </c>
      <c r="S389" s="4" t="s">
        <v>62</v>
      </c>
      <c r="T389" s="6" t="e">
        <v>#N/A</v>
      </c>
      <c r="U389" s="5">
        <v>47</v>
      </c>
      <c r="V389" s="5">
        <v>38</v>
      </c>
      <c r="W389" s="5">
        <v>46</v>
      </c>
      <c r="X389" s="5">
        <v>63</v>
      </c>
      <c r="Y389" s="5">
        <v>11.11</v>
      </c>
      <c r="Z389" s="5">
        <v>22.22</v>
      </c>
      <c r="AA389" s="6">
        <v>7.41</v>
      </c>
      <c r="AB389" s="5">
        <v>62.96</v>
      </c>
      <c r="AC389" s="6">
        <v>0.35</v>
      </c>
      <c r="AD389" s="6">
        <v>0.4</v>
      </c>
      <c r="AE389" s="6">
        <v>0.25</v>
      </c>
      <c r="AF389" s="4" t="s">
        <v>6296</v>
      </c>
      <c r="AG389" s="4" t="s">
        <v>6296</v>
      </c>
      <c r="AH389" s="4" t="s">
        <v>6296</v>
      </c>
      <c r="AI389" s="4" t="s">
        <v>6296</v>
      </c>
      <c r="AJ389" s="4" t="s">
        <v>6296</v>
      </c>
      <c r="AK389" s="4" t="s">
        <v>6296</v>
      </c>
      <c r="AL389" s="4" t="s">
        <v>6296</v>
      </c>
      <c r="AM389" s="4" t="s">
        <v>6296</v>
      </c>
      <c r="AN389" s="4" t="s">
        <v>6296</v>
      </c>
      <c r="AO389" s="4" t="s">
        <v>6296</v>
      </c>
      <c r="AP389" s="4" t="s">
        <v>1258</v>
      </c>
      <c r="AQ389" s="4" t="s">
        <v>47</v>
      </c>
    </row>
    <row r="390" spans="1:43" ht="12.6" customHeight="1" x14ac:dyDescent="0.25">
      <c r="A390" s="8" t="s">
        <v>2264</v>
      </c>
      <c r="B390" s="9">
        <v>20151231</v>
      </c>
      <c r="C390" s="12">
        <f>_xll.FDS("SPX","FG_PRICE(12/30/2015)")</f>
        <v>2063.36</v>
      </c>
      <c r="D390" s="12">
        <f>_xll.FDS("SPX","FG_PRICE(12/30/2017)")</f>
        <v>2673.61</v>
      </c>
      <c r="E390" s="15">
        <f>D390/C390-1</f>
        <v>0.2957554668114144</v>
      </c>
      <c r="F390" s="8" t="s">
        <v>2265</v>
      </c>
      <c r="G390" s="8" t="s">
        <v>2266</v>
      </c>
      <c r="H390" s="13">
        <f>_xll.FDS(G390,"FG_PRICE(12/30/2015)")</f>
        <v>12.49</v>
      </c>
      <c r="I390" s="13">
        <f>_xll.FDS(G390,"FG_PRICE(12/31/2017)")</f>
        <v>31.95</v>
      </c>
      <c r="J390" s="13">
        <f>I390/H390-1</f>
        <v>1.5580464371497196</v>
      </c>
      <c r="K390" s="13">
        <f>J390-E390</f>
        <v>1.2622909703383052</v>
      </c>
      <c r="L390" s="13">
        <f>_xll.FDS(G390,"FF_ROE(ANN_R,12/30/2015)")</f>
        <v>5.1319482137945638</v>
      </c>
      <c r="M390" s="8" t="s">
        <v>2267</v>
      </c>
      <c r="N390" s="4" t="s">
        <v>2267</v>
      </c>
      <c r="O390" s="4" t="s">
        <v>2268</v>
      </c>
      <c r="P390" s="4" t="s">
        <v>96</v>
      </c>
      <c r="Q390" s="4" t="s">
        <v>52</v>
      </c>
      <c r="R390" s="4" t="s">
        <v>61</v>
      </c>
      <c r="S390" s="4" t="s">
        <v>62</v>
      </c>
      <c r="T390" s="6" t="e">
        <v>#N/A</v>
      </c>
      <c r="U390" s="5">
        <v>59</v>
      </c>
      <c r="V390" s="5">
        <v>61</v>
      </c>
      <c r="W390" s="5">
        <v>49</v>
      </c>
      <c r="X390" s="5">
        <v>71</v>
      </c>
      <c r="Y390" s="5">
        <v>55.56</v>
      </c>
      <c r="Z390" s="5">
        <v>55.56</v>
      </c>
      <c r="AA390" s="5">
        <v>33.33</v>
      </c>
      <c r="AB390" s="5">
        <v>81.48</v>
      </c>
      <c r="AC390" s="6">
        <v>0.35</v>
      </c>
      <c r="AD390" s="6">
        <v>0.4</v>
      </c>
      <c r="AE390" s="6">
        <v>0.25</v>
      </c>
      <c r="AF390" s="4" t="s">
        <v>6296</v>
      </c>
      <c r="AG390" s="4" t="s">
        <v>6296</v>
      </c>
      <c r="AH390" s="4" t="s">
        <v>6296</v>
      </c>
      <c r="AI390" s="4" t="s">
        <v>37</v>
      </c>
      <c r="AJ390" s="4" t="s">
        <v>6296</v>
      </c>
      <c r="AK390" s="4" t="s">
        <v>6296</v>
      </c>
      <c r="AL390" s="4" t="s">
        <v>6296</v>
      </c>
      <c r="AM390" s="4" t="s">
        <v>6296</v>
      </c>
      <c r="AN390" s="4" t="s">
        <v>6296</v>
      </c>
      <c r="AO390" s="4" t="s">
        <v>6296</v>
      </c>
      <c r="AP390" s="4" t="s">
        <v>2269</v>
      </c>
      <c r="AQ390" s="4" t="s">
        <v>47</v>
      </c>
    </row>
    <row r="391" spans="1:43" ht="12.6" customHeight="1" x14ac:dyDescent="0.25">
      <c r="A391" s="8" t="s">
        <v>2391</v>
      </c>
      <c r="B391" s="9">
        <v>20151231</v>
      </c>
      <c r="C391" s="12">
        <f>_xll.FDS("SPX","FG_PRICE(12/30/2015)")</f>
        <v>2063.36</v>
      </c>
      <c r="D391" s="12">
        <f>_xll.FDS("SPX","FG_PRICE(12/30/2017)")</f>
        <v>2673.61</v>
      </c>
      <c r="E391" s="15">
        <f>D391/C391-1</f>
        <v>0.2957554668114144</v>
      </c>
      <c r="F391" s="8" t="s">
        <v>2392</v>
      </c>
      <c r="G391" s="8" t="s">
        <v>2393</v>
      </c>
      <c r="H391" s="13">
        <f>_xll.FDS(G391,"FG_PRICE(12/30/2015)")</f>
        <v>48.518622999999998</v>
      </c>
      <c r="I391" s="13">
        <f>_xll.FDS(G391,"FG_PRICE(12/31/2017)")</f>
        <v>63.24</v>
      </c>
      <c r="J391" s="13">
        <f>I391/H391-1</f>
        <v>0.30341704050422047</v>
      </c>
      <c r="K391" s="13">
        <f>J391-E391</f>
        <v>7.6615736928060674E-3</v>
      </c>
      <c r="L391" s="13">
        <f>_xll.FDS(G391,"FF_ROE(ANN_R,12/30/2015)")</f>
        <v>15.161602311729981</v>
      </c>
      <c r="M391" s="8" t="s">
        <v>2394</v>
      </c>
      <c r="N391" s="4" t="s">
        <v>2395</v>
      </c>
      <c r="O391" s="4" t="s">
        <v>2396</v>
      </c>
      <c r="P391" s="4" t="s">
        <v>96</v>
      </c>
      <c r="Q391" s="4" t="s">
        <v>52</v>
      </c>
      <c r="R391" s="4" t="s">
        <v>61</v>
      </c>
      <c r="S391" s="4" t="s">
        <v>62</v>
      </c>
      <c r="T391" s="6" t="e">
        <v>#N/A</v>
      </c>
      <c r="U391" s="5">
        <v>48</v>
      </c>
      <c r="V391" s="5">
        <v>36</v>
      </c>
      <c r="W391" s="5">
        <v>48</v>
      </c>
      <c r="X391" s="5">
        <v>64</v>
      </c>
      <c r="Y391" s="5">
        <v>22.22</v>
      </c>
      <c r="Z391" s="5">
        <v>11.11</v>
      </c>
      <c r="AA391" s="5">
        <v>22.22</v>
      </c>
      <c r="AB391" s="5">
        <v>70.37</v>
      </c>
      <c r="AC391" s="6">
        <v>0.35</v>
      </c>
      <c r="AD391" s="6">
        <v>0.4</v>
      </c>
      <c r="AE391" s="6">
        <v>0.25</v>
      </c>
      <c r="AF391" s="4" t="s">
        <v>6296</v>
      </c>
      <c r="AG391" s="4" t="s">
        <v>6296</v>
      </c>
      <c r="AH391" s="4" t="s">
        <v>6296</v>
      </c>
      <c r="AI391" s="4" t="s">
        <v>6296</v>
      </c>
      <c r="AJ391" s="4" t="s">
        <v>6296</v>
      </c>
      <c r="AK391" s="4" t="s">
        <v>6296</v>
      </c>
      <c r="AL391" s="4" t="s">
        <v>6296</v>
      </c>
      <c r="AM391" s="4" t="s">
        <v>6296</v>
      </c>
      <c r="AN391" s="4" t="s">
        <v>6296</v>
      </c>
      <c r="AO391" s="4" t="s">
        <v>6296</v>
      </c>
      <c r="AP391" s="4" t="s">
        <v>2397</v>
      </c>
      <c r="AQ391" s="4" t="s">
        <v>47</v>
      </c>
    </row>
    <row r="392" spans="1:43" ht="12.6" customHeight="1" x14ac:dyDescent="0.25">
      <c r="A392" s="8" t="s">
        <v>2564</v>
      </c>
      <c r="B392" s="9">
        <v>20151231</v>
      </c>
      <c r="C392" s="12">
        <f>_xll.FDS("SPX","FG_PRICE(12/30/2015)")</f>
        <v>2063.36</v>
      </c>
      <c r="D392" s="12">
        <f>_xll.FDS("SPX","FG_PRICE(12/30/2017)")</f>
        <v>2673.61</v>
      </c>
      <c r="E392" s="15">
        <f>D392/C392-1</f>
        <v>0.2957554668114144</v>
      </c>
      <c r="F392" s="8" t="s">
        <v>2565</v>
      </c>
      <c r="G392" s="8" t="s">
        <v>2566</v>
      </c>
      <c r="H392" s="13">
        <f>_xll.FDS(G392,"FG_PRICE(12/30/2015)")</f>
        <v>22.680775000000001</v>
      </c>
      <c r="I392" s="13">
        <f>_xll.FDS(G392,"FG_PRICE(12/31/2017)")</f>
        <v>31.88</v>
      </c>
      <c r="J392" s="13">
        <f>I392/H392-1</f>
        <v>0.40559570825952806</v>
      </c>
      <c r="K392" s="13">
        <f>J392-E392</f>
        <v>0.10984024144811366</v>
      </c>
      <c r="L392" s="13">
        <f>_xll.FDS(G392,"FF_ROE(ANN_R,12/30/2015)")</f>
        <v>5.1513258805243316</v>
      </c>
      <c r="M392" s="8" t="s">
        <v>2567</v>
      </c>
      <c r="N392" s="4" t="s">
        <v>2568</v>
      </c>
      <c r="O392" s="4" t="s">
        <v>2569</v>
      </c>
      <c r="P392" s="4" t="s">
        <v>96</v>
      </c>
      <c r="Q392" s="4" t="s">
        <v>52</v>
      </c>
      <c r="R392" s="4" t="s">
        <v>61</v>
      </c>
      <c r="S392" s="4" t="s">
        <v>62</v>
      </c>
      <c r="T392" s="6" t="e">
        <v>#N/A</v>
      </c>
      <c r="U392" s="5">
        <v>48</v>
      </c>
      <c r="V392" s="5">
        <v>34</v>
      </c>
      <c r="W392" s="5">
        <v>51</v>
      </c>
      <c r="X392" s="5">
        <v>62</v>
      </c>
      <c r="Y392" s="5">
        <v>22.22</v>
      </c>
      <c r="Z392" s="6">
        <v>0</v>
      </c>
      <c r="AA392" s="5">
        <v>44.44</v>
      </c>
      <c r="AB392" s="5">
        <v>59.26</v>
      </c>
      <c r="AC392" s="6">
        <v>0.35</v>
      </c>
      <c r="AD392" s="6">
        <v>0.4</v>
      </c>
      <c r="AE392" s="6">
        <v>0.25</v>
      </c>
      <c r="AF392" s="4" t="s">
        <v>6296</v>
      </c>
      <c r="AG392" s="4" t="s">
        <v>6296</v>
      </c>
      <c r="AH392" s="4" t="s">
        <v>6296</v>
      </c>
      <c r="AI392" s="4" t="s">
        <v>6296</v>
      </c>
      <c r="AJ392" s="4" t="s">
        <v>6296</v>
      </c>
      <c r="AK392" s="4" t="s">
        <v>6296</v>
      </c>
      <c r="AL392" s="4" t="s">
        <v>6296</v>
      </c>
      <c r="AM392" s="4" t="s">
        <v>6296</v>
      </c>
      <c r="AN392" s="4" t="s">
        <v>6296</v>
      </c>
      <c r="AO392" s="4" t="s">
        <v>6296</v>
      </c>
      <c r="AP392" s="4" t="s">
        <v>2570</v>
      </c>
      <c r="AQ392" s="4" t="s">
        <v>47</v>
      </c>
    </row>
    <row r="393" spans="1:43" ht="12.6" customHeight="1" x14ac:dyDescent="0.25">
      <c r="A393" s="8" t="s">
        <v>2886</v>
      </c>
      <c r="B393" s="9">
        <v>20151231</v>
      </c>
      <c r="C393" s="12">
        <f>_xll.FDS("SPX","FG_PRICE(12/30/2015)")</f>
        <v>2063.36</v>
      </c>
      <c r="D393" s="12">
        <f>_xll.FDS("SPX","FG_PRICE(12/30/2017)")</f>
        <v>2673.61</v>
      </c>
      <c r="E393" s="15">
        <f>D393/C393-1</f>
        <v>0.2957554668114144</v>
      </c>
      <c r="F393" s="8" t="s">
        <v>2887</v>
      </c>
      <c r="G393" s="8" t="s">
        <v>2888</v>
      </c>
      <c r="H393" s="13">
        <f>_xll.FDS(G393,"FG_PRICE(12/30/2015)")</f>
        <v>1649.54</v>
      </c>
      <c r="I393" s="13">
        <f>_xll.FDS(G393,"FG_PRICE(12/31/2017)")</f>
        <v>3508.22</v>
      </c>
      <c r="J393" s="13">
        <f>I393/H393-1</f>
        <v>1.1267868617917722</v>
      </c>
      <c r="K393" s="13">
        <f>J393-E393</f>
        <v>0.83103139498035783</v>
      </c>
      <c r="L393" s="13">
        <f>_xll.FDS(G393,"FF_ROE(ANN_R,12/30/2015)")</f>
        <v>23.61076237620027</v>
      </c>
      <c r="M393" s="8" t="s">
        <v>2889</v>
      </c>
      <c r="N393" s="4" t="s">
        <v>2890</v>
      </c>
      <c r="O393" s="4" t="s">
        <v>2891</v>
      </c>
      <c r="P393" s="4" t="s">
        <v>96</v>
      </c>
      <c r="Q393" s="4" t="s">
        <v>52</v>
      </c>
      <c r="R393" s="4" t="s">
        <v>61</v>
      </c>
      <c r="S393" s="4" t="s">
        <v>62</v>
      </c>
      <c r="T393" s="6" t="e">
        <v>#N/A</v>
      </c>
      <c r="U393" s="5">
        <v>45</v>
      </c>
      <c r="V393" s="5">
        <v>34</v>
      </c>
      <c r="W393" s="5">
        <v>46</v>
      </c>
      <c r="X393" s="5">
        <v>58</v>
      </c>
      <c r="Y393" s="6">
        <v>3.7</v>
      </c>
      <c r="Z393" s="6">
        <v>0</v>
      </c>
      <c r="AA393" s="6">
        <v>7.41</v>
      </c>
      <c r="AB393" s="5">
        <v>44.44</v>
      </c>
      <c r="AC393" s="6">
        <v>0.35</v>
      </c>
      <c r="AD393" s="6">
        <v>0.4</v>
      </c>
      <c r="AE393" s="6">
        <v>0.25</v>
      </c>
      <c r="AF393" s="4" t="s">
        <v>6296</v>
      </c>
      <c r="AG393" s="4" t="s">
        <v>6296</v>
      </c>
      <c r="AH393" s="4" t="s">
        <v>6296</v>
      </c>
      <c r="AI393" s="4" t="s">
        <v>6296</v>
      </c>
      <c r="AJ393" s="4" t="s">
        <v>6296</v>
      </c>
      <c r="AK393" s="4" t="s">
        <v>6296</v>
      </c>
      <c r="AL393" s="4" t="s">
        <v>6296</v>
      </c>
      <c r="AM393" s="4" t="s">
        <v>6296</v>
      </c>
      <c r="AN393" s="4" t="s">
        <v>6296</v>
      </c>
      <c r="AO393" s="4" t="s">
        <v>6296</v>
      </c>
      <c r="AP393" s="4" t="s">
        <v>2892</v>
      </c>
      <c r="AQ393" s="4" t="s">
        <v>47</v>
      </c>
    </row>
    <row r="394" spans="1:43" ht="12.6" customHeight="1" x14ac:dyDescent="0.25">
      <c r="A394" s="8" t="s">
        <v>3264</v>
      </c>
      <c r="B394" s="9">
        <v>20151231</v>
      </c>
      <c r="C394" s="12">
        <f>_xll.FDS("SPX","FG_PRICE(12/30/2015)")</f>
        <v>2063.36</v>
      </c>
      <c r="D394" s="12">
        <f>_xll.FDS("SPX","FG_PRICE(12/30/2017)")</f>
        <v>2673.61</v>
      </c>
      <c r="E394" s="15">
        <f>D394/C394-1</f>
        <v>0.2957554668114144</v>
      </c>
      <c r="F394" s="8" t="s">
        <v>3265</v>
      </c>
      <c r="G394" s="8" t="s">
        <v>3266</v>
      </c>
      <c r="H394" s="13">
        <f>_xll.FDS(G394,"FG_PRICE(12/30/2015)")</f>
        <v>17.98</v>
      </c>
      <c r="I394" s="13">
        <f>_xll.FDS(G394,"FG_PRICE(12/31/2017)")</f>
        <v>33.25</v>
      </c>
      <c r="J394" s="13">
        <f>I394/H394-1</f>
        <v>0.84927697441601779</v>
      </c>
      <c r="K394" s="13">
        <f>J394-E394</f>
        <v>0.55352150760460339</v>
      </c>
      <c r="L394" s="13">
        <f>_xll.FDS(G394,"FF_ROE(ANN_R,12/30/2015)")</f>
        <v>9.9659759680284541</v>
      </c>
      <c r="M394" s="8" t="s">
        <v>3267</v>
      </c>
      <c r="N394" s="4" t="s">
        <v>3268</v>
      </c>
      <c r="O394" s="4" t="s">
        <v>3269</v>
      </c>
      <c r="P394" s="4" t="s">
        <v>96</v>
      </c>
      <c r="Q394" s="4" t="s">
        <v>52</v>
      </c>
      <c r="R394" s="4" t="s">
        <v>61</v>
      </c>
      <c r="S394" s="4" t="s">
        <v>62</v>
      </c>
      <c r="T394" s="6" t="e">
        <v>#N/A</v>
      </c>
      <c r="U394" s="5">
        <v>49</v>
      </c>
      <c r="V394" s="5">
        <v>46</v>
      </c>
      <c r="W394" s="5">
        <v>46</v>
      </c>
      <c r="X394" s="5">
        <v>59</v>
      </c>
      <c r="Y394" s="5">
        <v>29.63</v>
      </c>
      <c r="Z394" s="5">
        <v>37.04</v>
      </c>
      <c r="AA394" s="6">
        <v>7.41</v>
      </c>
      <c r="AB394" s="5">
        <v>55.56</v>
      </c>
      <c r="AC394" s="6">
        <v>0.35</v>
      </c>
      <c r="AD394" s="6">
        <v>0.4</v>
      </c>
      <c r="AE394" s="6">
        <v>0.25</v>
      </c>
      <c r="AF394" s="4" t="s">
        <v>6296</v>
      </c>
      <c r="AG394" s="4" t="s">
        <v>6296</v>
      </c>
      <c r="AH394" s="4" t="s">
        <v>6296</v>
      </c>
      <c r="AI394" s="4" t="s">
        <v>6296</v>
      </c>
      <c r="AJ394" s="4" t="s">
        <v>6296</v>
      </c>
      <c r="AK394" s="4" t="s">
        <v>42</v>
      </c>
      <c r="AL394" s="4" t="s">
        <v>6296</v>
      </c>
      <c r="AM394" s="4" t="s">
        <v>6296</v>
      </c>
      <c r="AN394" s="4" t="s">
        <v>6296</v>
      </c>
      <c r="AO394" s="4" t="s">
        <v>6296</v>
      </c>
      <c r="AP394" s="4" t="s">
        <v>3270</v>
      </c>
      <c r="AQ394" s="4" t="s">
        <v>47</v>
      </c>
    </row>
    <row r="395" spans="1:43" ht="12.6" customHeight="1" x14ac:dyDescent="0.25">
      <c r="A395" s="8" t="s">
        <v>4057</v>
      </c>
      <c r="B395" s="9">
        <v>20151231</v>
      </c>
      <c r="C395" s="12">
        <f>_xll.FDS("SPX","FG_PRICE(12/30/2015)")</f>
        <v>2063.36</v>
      </c>
      <c r="D395" s="12">
        <f>_xll.FDS("SPX","FG_PRICE(12/30/2017)")</f>
        <v>2673.61</v>
      </c>
      <c r="E395" s="15">
        <f>D395/C395-1</f>
        <v>0.2957554668114144</v>
      </c>
      <c r="F395" s="8" t="s">
        <v>4058</v>
      </c>
      <c r="G395" s="8" t="s">
        <v>4059</v>
      </c>
      <c r="H395" s="13">
        <f>_xll.FDS(G395,"FG_PRICE(12/30/2015)")</f>
        <v>33.520000000000003</v>
      </c>
      <c r="I395" s="13">
        <f>_xll.FDS(G395,"FG_PRICE(12/31/2017)")</f>
        <v>48.02</v>
      </c>
      <c r="J395" s="13">
        <f>I395/H395-1</f>
        <v>0.43257756563245819</v>
      </c>
      <c r="K395" s="13">
        <f>J395-E395</f>
        <v>0.13682209882104379</v>
      </c>
      <c r="L395" s="13">
        <f>_xll.FDS(G395,"FF_ROE(ANN_R,12/30/2015)")</f>
        <v>8.9926956184977627</v>
      </c>
      <c r="M395" s="8" t="s">
        <v>4060</v>
      </c>
      <c r="N395" s="4" t="s">
        <v>4061</v>
      </c>
      <c r="O395" s="4" t="s">
        <v>4062</v>
      </c>
      <c r="P395" s="4" t="s">
        <v>96</v>
      </c>
      <c r="Q395" s="4" t="s">
        <v>52</v>
      </c>
      <c r="R395" s="4" t="s">
        <v>61</v>
      </c>
      <c r="S395" s="4" t="s">
        <v>62</v>
      </c>
      <c r="T395" s="6" t="e">
        <v>#N/A</v>
      </c>
      <c r="U395" s="5">
        <v>52</v>
      </c>
      <c r="V395" s="5">
        <v>39</v>
      </c>
      <c r="W395" s="5">
        <v>48</v>
      </c>
      <c r="X395" s="5">
        <v>76</v>
      </c>
      <c r="Y395" s="5">
        <v>44.44</v>
      </c>
      <c r="Z395" s="5">
        <v>25.93</v>
      </c>
      <c r="AA395" s="5">
        <v>22.22</v>
      </c>
      <c r="AB395" s="5">
        <v>88.89</v>
      </c>
      <c r="AC395" s="6">
        <v>0.35</v>
      </c>
      <c r="AD395" s="6">
        <v>0.4</v>
      </c>
      <c r="AE395" s="6">
        <v>0.25</v>
      </c>
      <c r="AF395" s="4" t="s">
        <v>37</v>
      </c>
      <c r="AG395" s="4" t="s">
        <v>6296</v>
      </c>
      <c r="AH395" s="4" t="s">
        <v>6296</v>
      </c>
      <c r="AI395" s="4" t="s">
        <v>6296</v>
      </c>
      <c r="AJ395" s="4" t="s">
        <v>6296</v>
      </c>
      <c r="AK395" s="4" t="s">
        <v>6296</v>
      </c>
      <c r="AL395" s="4" t="s">
        <v>6296</v>
      </c>
      <c r="AM395" s="4" t="s">
        <v>6296</v>
      </c>
      <c r="AN395" s="4" t="s">
        <v>6296</v>
      </c>
      <c r="AO395" s="4" t="s">
        <v>6296</v>
      </c>
      <c r="AP395" s="4" t="s">
        <v>4063</v>
      </c>
      <c r="AQ395" s="4" t="s">
        <v>47</v>
      </c>
    </row>
    <row r="396" spans="1:43" ht="12.6" customHeight="1" x14ac:dyDescent="0.25">
      <c r="A396" s="8" t="s">
        <v>505</v>
      </c>
      <c r="B396" s="9">
        <v>20151231</v>
      </c>
      <c r="C396" s="12">
        <f>_xll.FDS("SPX","FG_PRICE(12/30/2015)")</f>
        <v>2063.36</v>
      </c>
      <c r="D396" s="12">
        <f>_xll.FDS("SPX","FG_PRICE(12/30/2017)")</f>
        <v>2673.61</v>
      </c>
      <c r="E396" s="15">
        <f>D396/C396-1</f>
        <v>0.2957554668114144</v>
      </c>
      <c r="F396" s="8" t="s">
        <v>506</v>
      </c>
      <c r="G396" s="8" t="s">
        <v>507</v>
      </c>
      <c r="H396" s="13">
        <f>_xll.FDS(G396,"FG_PRICE(12/30/2015)")</f>
        <v>4.08</v>
      </c>
      <c r="I396" s="13">
        <f>_xll.FDS(G396,"FG_PRICE(12/31/2017)")</f>
        <v>2.15</v>
      </c>
      <c r="J396" s="13">
        <f>I396/H396-1</f>
        <v>-0.47303921568627449</v>
      </c>
      <c r="K396" s="13">
        <f>J396-E396</f>
        <v>-0.7687946824976889</v>
      </c>
      <c r="L396" s="13">
        <f>_xll.FDS(G396,"FF_ROE(ANN_R,12/30/2015)")</f>
        <v>-237.40510697032431</v>
      </c>
      <c r="M396" s="8" t="s">
        <v>508</v>
      </c>
      <c r="N396" s="4" t="s">
        <v>509</v>
      </c>
      <c r="O396" s="4" t="s">
        <v>510</v>
      </c>
      <c r="P396" s="4" t="s">
        <v>96</v>
      </c>
      <c r="Q396" s="4" t="s">
        <v>511</v>
      </c>
      <c r="R396" s="4" t="s">
        <v>61</v>
      </c>
      <c r="S396" s="4" t="s">
        <v>62</v>
      </c>
      <c r="T396" s="6" t="e">
        <v>#N/A</v>
      </c>
      <c r="U396" s="5">
        <v>67</v>
      </c>
      <c r="V396" s="5">
        <v>67</v>
      </c>
      <c r="W396" s="5">
        <v>68</v>
      </c>
      <c r="X396" s="5">
        <v>64</v>
      </c>
      <c r="Y396" s="5">
        <v>50</v>
      </c>
      <c r="Z396" s="5">
        <v>42.86</v>
      </c>
      <c r="AA396" s="5">
        <v>61.9</v>
      </c>
      <c r="AB396" s="5">
        <v>38.1</v>
      </c>
      <c r="AC396" s="6">
        <v>0.35</v>
      </c>
      <c r="AD396" s="6">
        <v>0.4</v>
      </c>
      <c r="AE396" s="6">
        <v>0.25</v>
      </c>
      <c r="AF396" s="4" t="s">
        <v>6296</v>
      </c>
      <c r="AG396" s="4" t="s">
        <v>6296</v>
      </c>
      <c r="AH396" s="4" t="s">
        <v>6296</v>
      </c>
      <c r="AI396" s="4" t="s">
        <v>37</v>
      </c>
      <c r="AJ396" s="4" t="s">
        <v>6296</v>
      </c>
      <c r="AK396" s="4" t="s">
        <v>37</v>
      </c>
      <c r="AL396" s="4" t="s">
        <v>6296</v>
      </c>
      <c r="AM396" s="4" t="s">
        <v>37</v>
      </c>
      <c r="AN396" s="4" t="s">
        <v>6296</v>
      </c>
      <c r="AO396" s="4" t="s">
        <v>6296</v>
      </c>
      <c r="AP396" s="4" t="s">
        <v>512</v>
      </c>
      <c r="AQ396" s="4" t="s">
        <v>47</v>
      </c>
    </row>
    <row r="397" spans="1:43" ht="12.6" customHeight="1" x14ac:dyDescent="0.25">
      <c r="A397" s="8" t="s">
        <v>991</v>
      </c>
      <c r="B397" s="9">
        <v>20151231</v>
      </c>
      <c r="C397" s="12">
        <f>_xll.FDS("SPX","FG_PRICE(12/30/2015)")</f>
        <v>2063.36</v>
      </c>
      <c r="D397" s="12">
        <f>_xll.FDS("SPX","FG_PRICE(12/30/2017)")</f>
        <v>2673.61</v>
      </c>
      <c r="E397" s="15">
        <f>D397/C397-1</f>
        <v>0.2957554668114144</v>
      </c>
      <c r="F397" s="8" t="s">
        <v>992</v>
      </c>
      <c r="G397" s="8" t="s">
        <v>993</v>
      </c>
      <c r="H397" s="13">
        <f>_xll.FDS(G397,"FG_PRICE(12/30/2015)")</f>
        <v>43.064999999999998</v>
      </c>
      <c r="I397" s="13">
        <f>_xll.FDS(G397,"FG_PRICE(12/31/2017)")</f>
        <v>50.17</v>
      </c>
      <c r="J397" s="13">
        <f>I397/H397-1</f>
        <v>0.16498316498316501</v>
      </c>
      <c r="K397" s="13">
        <f>J397-E397</f>
        <v>-0.13077230182824939</v>
      </c>
      <c r="L397" s="13">
        <f>_xll.FDS(G397,"FF_ROE(ANN_R,12/30/2015)")</f>
        <v>18.80594302330864</v>
      </c>
      <c r="M397" s="8" t="s">
        <v>994</v>
      </c>
      <c r="N397" s="4" t="s">
        <v>995</v>
      </c>
      <c r="O397" s="4" t="s">
        <v>996</v>
      </c>
      <c r="P397" s="4" t="s">
        <v>96</v>
      </c>
      <c r="Q397" s="4" t="s">
        <v>511</v>
      </c>
      <c r="R397" s="4" t="s">
        <v>61</v>
      </c>
      <c r="S397" s="4" t="s">
        <v>62</v>
      </c>
      <c r="T397" s="6" t="e">
        <v>#N/A</v>
      </c>
      <c r="U397" s="5">
        <v>61</v>
      </c>
      <c r="V397" s="5">
        <v>58</v>
      </c>
      <c r="W397" s="5">
        <v>59</v>
      </c>
      <c r="X397" s="5">
        <v>66</v>
      </c>
      <c r="Y397" s="5">
        <v>40.479999999999997</v>
      </c>
      <c r="Z397" s="5">
        <v>30.95</v>
      </c>
      <c r="AA397" s="5">
        <v>40.479999999999997</v>
      </c>
      <c r="AB397" s="5">
        <v>54.76</v>
      </c>
      <c r="AC397" s="6">
        <v>0.35</v>
      </c>
      <c r="AD397" s="6">
        <v>0.4</v>
      </c>
      <c r="AE397" s="6">
        <v>0.25</v>
      </c>
      <c r="AF397" s="4" t="s">
        <v>6296</v>
      </c>
      <c r="AG397" s="4" t="s">
        <v>6296</v>
      </c>
      <c r="AH397" s="4" t="s">
        <v>6296</v>
      </c>
      <c r="AI397" s="4" t="s">
        <v>6296</v>
      </c>
      <c r="AJ397" s="4" t="s">
        <v>6296</v>
      </c>
      <c r="AK397" s="4" t="s">
        <v>42</v>
      </c>
      <c r="AL397" s="4" t="s">
        <v>6296</v>
      </c>
      <c r="AM397" s="4" t="s">
        <v>6296</v>
      </c>
      <c r="AN397" s="4" t="s">
        <v>6296</v>
      </c>
      <c r="AO397" s="4" t="s">
        <v>6296</v>
      </c>
      <c r="AP397" s="4" t="s">
        <v>997</v>
      </c>
      <c r="AQ397" s="4" t="s">
        <v>47</v>
      </c>
    </row>
    <row r="398" spans="1:43" ht="12.6" customHeight="1" x14ac:dyDescent="0.25">
      <c r="A398" s="8" t="s">
        <v>1086</v>
      </c>
      <c r="B398" s="9">
        <v>20151231</v>
      </c>
      <c r="C398" s="12">
        <f>_xll.FDS("SPX","FG_PRICE(12/30/2015)")</f>
        <v>2063.36</v>
      </c>
      <c r="D398" s="12">
        <f>_xll.FDS("SPX","FG_PRICE(12/30/2017)")</f>
        <v>2673.61</v>
      </c>
      <c r="E398" s="15">
        <f>D398/C398-1</f>
        <v>0.2957554668114144</v>
      </c>
      <c r="F398" s="8" t="s">
        <v>1087</v>
      </c>
      <c r="G398" s="8" t="s">
        <v>1088</v>
      </c>
      <c r="H398" s="13">
        <f>_xll.FDS(G398,"FG_PRICE(12/30/2015)")</f>
        <v>67.53</v>
      </c>
      <c r="I398" s="13">
        <f>_xll.FDS(G398,"FG_PRICE(12/31/2017)")</f>
        <v>75.45</v>
      </c>
      <c r="J398" s="13">
        <f>I398/H398-1</f>
        <v>0.11728120835184375</v>
      </c>
      <c r="K398" s="13">
        <f>J398-E398</f>
        <v>-0.17847425845957066</v>
      </c>
      <c r="L398" s="13">
        <f>_xll.FDS(G398,"FF_ROE(ANN_R,12/30/2015)")</f>
        <v>126.37681159420291</v>
      </c>
      <c r="M398" s="8" t="s">
        <v>1089</v>
      </c>
      <c r="N398" s="4" t="s">
        <v>1090</v>
      </c>
      <c r="O398" s="4" t="s">
        <v>1091</v>
      </c>
      <c r="P398" s="4" t="s">
        <v>96</v>
      </c>
      <c r="Q398" s="4" t="s">
        <v>511</v>
      </c>
      <c r="R398" s="4" t="s">
        <v>61</v>
      </c>
      <c r="S398" s="4" t="s">
        <v>62</v>
      </c>
      <c r="T398" s="6" t="e">
        <v>#N/A</v>
      </c>
      <c r="U398" s="5">
        <v>67</v>
      </c>
      <c r="V398" s="5">
        <v>73</v>
      </c>
      <c r="W398" s="5">
        <v>62</v>
      </c>
      <c r="X398" s="5">
        <v>65</v>
      </c>
      <c r="Y398" s="5">
        <v>50</v>
      </c>
      <c r="Z398" s="5">
        <v>59.52</v>
      </c>
      <c r="AA398" s="5">
        <v>54.76</v>
      </c>
      <c r="AB398" s="5">
        <v>42.86</v>
      </c>
      <c r="AC398" s="6">
        <v>0.35</v>
      </c>
      <c r="AD398" s="6">
        <v>0.4</v>
      </c>
      <c r="AE398" s="6">
        <v>0.25</v>
      </c>
      <c r="AF398" s="4" t="s">
        <v>6296</v>
      </c>
      <c r="AG398" s="4" t="s">
        <v>6296</v>
      </c>
      <c r="AH398" s="4" t="s">
        <v>6296</v>
      </c>
      <c r="AI398" s="4" t="s">
        <v>37</v>
      </c>
      <c r="AJ398" s="4" t="s">
        <v>6296</v>
      </c>
      <c r="AK398" s="4" t="s">
        <v>46</v>
      </c>
      <c r="AL398" s="4" t="s">
        <v>6296</v>
      </c>
      <c r="AM398" s="4" t="s">
        <v>42</v>
      </c>
      <c r="AN398" s="4" t="s">
        <v>6296</v>
      </c>
      <c r="AO398" s="4" t="s">
        <v>6296</v>
      </c>
      <c r="AP398" s="4" t="s">
        <v>1092</v>
      </c>
      <c r="AQ398" s="4" t="s">
        <v>47</v>
      </c>
    </row>
    <row r="399" spans="1:43" ht="12.6" customHeight="1" x14ac:dyDescent="0.25">
      <c r="A399" s="8" t="s">
        <v>1059</v>
      </c>
      <c r="B399" s="9">
        <v>20151231</v>
      </c>
      <c r="C399" s="12">
        <f>_xll.FDS("SPX","FG_PRICE(12/30/2015)")</f>
        <v>2063.36</v>
      </c>
      <c r="D399" s="12">
        <f>_xll.FDS("SPX","FG_PRICE(12/30/2017)")</f>
        <v>2673.61</v>
      </c>
      <c r="E399" s="15">
        <f>D399/C399-1</f>
        <v>0.2957554668114144</v>
      </c>
      <c r="F399" s="8" t="s">
        <v>1060</v>
      </c>
      <c r="G399" s="8" t="s">
        <v>1061</v>
      </c>
      <c r="H399" s="13">
        <f>_xll.FDS(G399,"FG_PRICE(12/30/2015)")</f>
        <v>128.19999999999999</v>
      </c>
      <c r="I399" s="13">
        <f>_xll.FDS(G399,"FG_PRICE(12/31/2017)")</f>
        <v>148.74</v>
      </c>
      <c r="J399" s="13">
        <f>I399/H399-1</f>
        <v>0.16021840873634963</v>
      </c>
      <c r="K399" s="13">
        <f>J399-E399</f>
        <v>-0.13553705807506478</v>
      </c>
      <c r="L399" s="13">
        <f>_xll.FDS(G399,"FF_ROE(ANN_R,12/30/2015)")</f>
        <v>445.58823529411768</v>
      </c>
      <c r="M399" s="8" t="s">
        <v>1062</v>
      </c>
      <c r="N399" s="4" t="s">
        <v>1063</v>
      </c>
      <c r="O399" s="4" t="s">
        <v>1064</v>
      </c>
      <c r="P399" s="4" t="s">
        <v>96</v>
      </c>
      <c r="Q399" s="4" t="s">
        <v>511</v>
      </c>
      <c r="R399" s="4" t="s">
        <v>61</v>
      </c>
      <c r="S399" s="4" t="s">
        <v>62</v>
      </c>
      <c r="T399" s="6" t="e">
        <v>#N/A</v>
      </c>
      <c r="U399" s="5">
        <v>76</v>
      </c>
      <c r="V399" s="5">
        <v>74</v>
      </c>
      <c r="W399" s="5">
        <v>74</v>
      </c>
      <c r="X399" s="5">
        <v>80</v>
      </c>
      <c r="Y399" s="5">
        <v>80.95</v>
      </c>
      <c r="Z399" s="5">
        <v>69.05</v>
      </c>
      <c r="AA399" s="5">
        <v>83.33</v>
      </c>
      <c r="AB399" s="5">
        <v>92.86</v>
      </c>
      <c r="AC399" s="6">
        <v>0.35</v>
      </c>
      <c r="AD399" s="6">
        <v>0.4</v>
      </c>
      <c r="AE399" s="6">
        <v>0.25</v>
      </c>
      <c r="AF399" s="4" t="s">
        <v>6296</v>
      </c>
      <c r="AG399" s="4" t="s">
        <v>6296</v>
      </c>
      <c r="AH399" s="4" t="s">
        <v>6296</v>
      </c>
      <c r="AI399" s="4" t="s">
        <v>37</v>
      </c>
      <c r="AJ399" s="4" t="s">
        <v>6296</v>
      </c>
      <c r="AK399" s="4" t="s">
        <v>42</v>
      </c>
      <c r="AL399" s="4" t="s">
        <v>6296</v>
      </c>
      <c r="AM399" s="4" t="s">
        <v>6296</v>
      </c>
      <c r="AN399" s="4" t="s">
        <v>6296</v>
      </c>
      <c r="AO399" s="4" t="s">
        <v>6296</v>
      </c>
      <c r="AP399" s="4" t="s">
        <v>1065</v>
      </c>
      <c r="AQ399" s="4" t="s">
        <v>47</v>
      </c>
    </row>
    <row r="400" spans="1:43" ht="12.6" customHeight="1" x14ac:dyDescent="0.25">
      <c r="A400" s="8" t="s">
        <v>1554</v>
      </c>
      <c r="B400" s="9">
        <v>20151231</v>
      </c>
      <c r="C400" s="12">
        <f>_xll.FDS("SPX","FG_PRICE(12/30/2015)")</f>
        <v>2063.36</v>
      </c>
      <c r="D400" s="12">
        <f>_xll.FDS("SPX","FG_PRICE(12/30/2017)")</f>
        <v>2673.61</v>
      </c>
      <c r="E400" s="15">
        <f>D400/C400-1</f>
        <v>0.2957554668114144</v>
      </c>
      <c r="F400" s="8" t="s">
        <v>1555</v>
      </c>
      <c r="G400" s="8" t="s">
        <v>1556</v>
      </c>
      <c r="H400" s="13">
        <f>_xll.FDS(G400,"FG_PRICE(12/30/2015)")</f>
        <v>89.03</v>
      </c>
      <c r="I400" s="13">
        <f>_xll.FDS(G400,"FG_PRICE(12/31/2017)")</f>
        <v>127.24</v>
      </c>
      <c r="J400" s="13">
        <f>I400/H400-1</f>
        <v>0.42918117488487018</v>
      </c>
      <c r="K400" s="13">
        <f>J400-E400</f>
        <v>0.13342570807345577</v>
      </c>
      <c r="L400" s="13">
        <f>_xll.FDS(G400,"FF_ROE(ANN_R,12/30/2015)")</f>
        <v>29.04469132180153</v>
      </c>
      <c r="M400" s="8" t="s">
        <v>1557</v>
      </c>
      <c r="N400" s="4" t="s">
        <v>1558</v>
      </c>
      <c r="O400" s="4" t="s">
        <v>1559</v>
      </c>
      <c r="P400" s="4" t="s">
        <v>96</v>
      </c>
      <c r="Q400" s="4" t="s">
        <v>511</v>
      </c>
      <c r="R400" s="4" t="s">
        <v>61</v>
      </c>
      <c r="S400" s="4" t="s">
        <v>62</v>
      </c>
      <c r="T400" s="6" t="e">
        <v>#N/A</v>
      </c>
      <c r="U400" s="5">
        <v>67</v>
      </c>
      <c r="V400" s="5">
        <v>70</v>
      </c>
      <c r="W400" s="5">
        <v>70</v>
      </c>
      <c r="X400" s="5">
        <v>57</v>
      </c>
      <c r="Y400" s="5">
        <v>50</v>
      </c>
      <c r="Z400" s="5">
        <v>50</v>
      </c>
      <c r="AA400" s="5">
        <v>66.67</v>
      </c>
      <c r="AB400" s="5">
        <v>16.670000000000002</v>
      </c>
      <c r="AC400" s="6">
        <v>0.35</v>
      </c>
      <c r="AD400" s="6">
        <v>0.4</v>
      </c>
      <c r="AE400" s="6">
        <v>0.25</v>
      </c>
      <c r="AF400" s="4" t="s">
        <v>6296</v>
      </c>
      <c r="AG400" s="4" t="s">
        <v>6296</v>
      </c>
      <c r="AH400" s="4" t="s">
        <v>6296</v>
      </c>
      <c r="AI400" s="4" t="s">
        <v>6296</v>
      </c>
      <c r="AJ400" s="4" t="s">
        <v>37</v>
      </c>
      <c r="AK400" s="4" t="s">
        <v>42</v>
      </c>
      <c r="AL400" s="4" t="s">
        <v>6296</v>
      </c>
      <c r="AM400" s="4" t="s">
        <v>37</v>
      </c>
      <c r="AN400" s="4" t="s">
        <v>6296</v>
      </c>
      <c r="AO400" s="4" t="s">
        <v>6296</v>
      </c>
      <c r="AP400" s="4" t="s">
        <v>1560</v>
      </c>
      <c r="AQ400" s="4" t="s">
        <v>47</v>
      </c>
    </row>
    <row r="401" spans="1:43" ht="12.6" customHeight="1" x14ac:dyDescent="0.25">
      <c r="A401" s="8" t="s">
        <v>6104</v>
      </c>
      <c r="B401" s="9">
        <v>20151231</v>
      </c>
      <c r="C401" s="12">
        <f>_xll.FDS("SPX","FG_PRICE(12/30/2015)")</f>
        <v>2063.36</v>
      </c>
      <c r="D401" s="12">
        <f>_xll.FDS("SPX","FG_PRICE(12/30/2017)")</f>
        <v>2673.61</v>
      </c>
      <c r="E401" s="15">
        <f>D401/C401-1</f>
        <v>0.2957554668114144</v>
      </c>
      <c r="F401" s="8" t="s">
        <v>6105</v>
      </c>
      <c r="G401" s="8" t="s">
        <v>6106</v>
      </c>
      <c r="H401" s="13">
        <f>_xll.FDS(G401,"FG_PRICE(12/30/2015)")</f>
        <v>79.03</v>
      </c>
      <c r="I401" s="13">
        <f>_xll.FDS(G401,"FG_PRICE(12/31/2017)")</f>
        <v>59.39</v>
      </c>
      <c r="J401" s="13">
        <f>I401/H401-1</f>
        <v>-0.24851322282677468</v>
      </c>
      <c r="K401" s="13">
        <f>J401-E401</f>
        <v>-0.54426868963818908</v>
      </c>
      <c r="L401" s="13">
        <f>_xll.FDS(G401,"FF_ROE(ANN_R,12/30/2015)")</f>
        <v>-13.50082071858472</v>
      </c>
      <c r="M401" s="8" t="s">
        <v>6107</v>
      </c>
      <c r="N401" s="4" t="s">
        <v>6108</v>
      </c>
      <c r="O401" s="4" t="s">
        <v>6109</v>
      </c>
      <c r="P401" s="4" t="s">
        <v>96</v>
      </c>
      <c r="Q401" s="4" t="s">
        <v>511</v>
      </c>
      <c r="R401" s="4" t="s">
        <v>61</v>
      </c>
      <c r="S401" s="4" t="s">
        <v>62</v>
      </c>
      <c r="T401" s="6" t="e">
        <v>#N/A</v>
      </c>
      <c r="U401" s="5">
        <v>52</v>
      </c>
      <c r="V401" s="5">
        <v>41</v>
      </c>
      <c r="W401" s="5">
        <v>55</v>
      </c>
      <c r="X401" s="5">
        <v>62</v>
      </c>
      <c r="Y401" s="5">
        <v>19.05</v>
      </c>
      <c r="Z401" s="5">
        <v>16.670000000000002</v>
      </c>
      <c r="AA401" s="5">
        <v>30.95</v>
      </c>
      <c r="AB401" s="5">
        <v>35.71</v>
      </c>
      <c r="AC401" s="6">
        <v>0.35</v>
      </c>
      <c r="AD401" s="6">
        <v>0.4</v>
      </c>
      <c r="AE401" s="6">
        <v>0.25</v>
      </c>
      <c r="AF401" s="4" t="s">
        <v>37</v>
      </c>
      <c r="AG401" s="4" t="s">
        <v>6296</v>
      </c>
      <c r="AH401" s="4" t="s">
        <v>6296</v>
      </c>
      <c r="AI401" s="4" t="s">
        <v>37</v>
      </c>
      <c r="AJ401" s="4" t="s">
        <v>6296</v>
      </c>
      <c r="AK401" s="4" t="s">
        <v>42</v>
      </c>
      <c r="AL401" s="4" t="s">
        <v>6296</v>
      </c>
      <c r="AM401" s="4" t="s">
        <v>6296</v>
      </c>
      <c r="AN401" s="4" t="s">
        <v>6296</v>
      </c>
      <c r="AO401" s="4" t="s">
        <v>6296</v>
      </c>
      <c r="AP401" s="4" t="s">
        <v>6110</v>
      </c>
      <c r="AQ401" s="4" t="s">
        <v>47</v>
      </c>
    </row>
    <row r="402" spans="1:43" ht="12.6" customHeight="1" x14ac:dyDescent="0.25">
      <c r="A402" s="8" t="s">
        <v>2308</v>
      </c>
      <c r="B402" s="9">
        <v>20151231</v>
      </c>
      <c r="C402" s="12">
        <f>_xll.FDS("SPX","FG_PRICE(12/30/2015)")</f>
        <v>2063.36</v>
      </c>
      <c r="D402" s="12">
        <f>_xll.FDS("SPX","FG_PRICE(12/30/2017)")</f>
        <v>2673.61</v>
      </c>
      <c r="E402" s="15">
        <f>D402/C402-1</f>
        <v>0.2957554668114144</v>
      </c>
      <c r="F402" s="8" t="s">
        <v>2309</v>
      </c>
      <c r="G402" s="8" t="s">
        <v>2310</v>
      </c>
      <c r="H402" s="13">
        <f>_xll.FDS(G402,"FG_PRICE(12/30/2015)")</f>
        <v>129.43</v>
      </c>
      <c r="I402" s="13">
        <f>_xll.FDS(G402,"FG_PRICE(12/31/2017)")</f>
        <v>120.66</v>
      </c>
      <c r="J402" s="13">
        <f>I402/H402-1</f>
        <v>-6.7758634010662178E-2</v>
      </c>
      <c r="K402" s="13">
        <f>J402-E402</f>
        <v>-0.36351410082207658</v>
      </c>
      <c r="L402" s="13">
        <f>_xll.FDS(G402,"FF_ROE(ANN_R,12/30/2015)")</f>
        <v>52.855863921217548</v>
      </c>
      <c r="M402" s="8" t="s">
        <v>2311</v>
      </c>
      <c r="N402" s="4" t="s">
        <v>2311</v>
      </c>
      <c r="O402" s="4" t="s">
        <v>2312</v>
      </c>
      <c r="P402" s="4" t="s">
        <v>96</v>
      </c>
      <c r="Q402" s="4" t="s">
        <v>511</v>
      </c>
      <c r="R402" s="4" t="s">
        <v>61</v>
      </c>
      <c r="S402" s="4" t="s">
        <v>62</v>
      </c>
      <c r="T402" s="6" t="e">
        <v>#N/A</v>
      </c>
      <c r="U402" s="5">
        <v>79</v>
      </c>
      <c r="V402" s="5">
        <v>76</v>
      </c>
      <c r="W402" s="5">
        <v>81</v>
      </c>
      <c r="X402" s="5">
        <v>79</v>
      </c>
      <c r="Y402" s="5">
        <v>85.71</v>
      </c>
      <c r="Z402" s="5">
        <v>76.19</v>
      </c>
      <c r="AA402" s="5">
        <v>90.48</v>
      </c>
      <c r="AB402" s="5">
        <v>90.48</v>
      </c>
      <c r="AC402" s="6">
        <v>0.35</v>
      </c>
      <c r="AD402" s="6">
        <v>0.4</v>
      </c>
      <c r="AE402" s="6">
        <v>0.25</v>
      </c>
      <c r="AF402" s="4" t="s">
        <v>37</v>
      </c>
      <c r="AG402" s="4" t="s">
        <v>6296</v>
      </c>
      <c r="AH402" s="4" t="s">
        <v>6296</v>
      </c>
      <c r="AI402" s="4" t="s">
        <v>42</v>
      </c>
      <c r="AJ402" s="4" t="s">
        <v>6296</v>
      </c>
      <c r="AK402" s="4" t="s">
        <v>46</v>
      </c>
      <c r="AL402" s="4" t="s">
        <v>6296</v>
      </c>
      <c r="AM402" s="4" t="s">
        <v>6296</v>
      </c>
      <c r="AN402" s="4" t="s">
        <v>6296</v>
      </c>
      <c r="AO402" s="4" t="s">
        <v>6296</v>
      </c>
      <c r="AP402" s="4" t="s">
        <v>2313</v>
      </c>
      <c r="AQ402" s="4" t="s">
        <v>47</v>
      </c>
    </row>
    <row r="403" spans="1:43" ht="12.6" customHeight="1" x14ac:dyDescent="0.25">
      <c r="A403" s="8" t="s">
        <v>2805</v>
      </c>
      <c r="B403" s="9">
        <v>20151231</v>
      </c>
      <c r="C403" s="12">
        <f>_xll.FDS("SPX","FG_PRICE(12/30/2015)")</f>
        <v>2063.36</v>
      </c>
      <c r="D403" s="12">
        <f>_xll.FDS("SPX","FG_PRICE(12/30/2017)")</f>
        <v>2673.61</v>
      </c>
      <c r="E403" s="15">
        <f>D403/C403-1</f>
        <v>0.2957554668114144</v>
      </c>
      <c r="F403" s="8" t="s">
        <v>2806</v>
      </c>
      <c r="G403" s="8" t="s">
        <v>2807</v>
      </c>
      <c r="H403" s="13">
        <f>_xll.FDS(G403,"FG_PRICE(12/30/2015)")</f>
        <v>38.5</v>
      </c>
      <c r="I403" s="13">
        <f>_xll.FDS(G403,"FG_PRICE(12/31/2017)")</f>
        <v>68.23</v>
      </c>
      <c r="J403" s="13">
        <f>I403/H403-1</f>
        <v>0.77220779220779234</v>
      </c>
      <c r="K403" s="13">
        <f>J403-E403</f>
        <v>0.47645232539637794</v>
      </c>
      <c r="L403" s="13">
        <f>_xll.FDS(G403,"FF_ROE(ANN_R,12/30/2015)")</f>
        <v>21.00721964935035</v>
      </c>
      <c r="M403" s="8" t="s">
        <v>2808</v>
      </c>
      <c r="N403" s="4" t="s">
        <v>2809</v>
      </c>
      <c r="O403" s="4" t="s">
        <v>2810</v>
      </c>
      <c r="P403" s="4" t="s">
        <v>96</v>
      </c>
      <c r="Q403" s="4" t="s">
        <v>511</v>
      </c>
      <c r="R403" s="4" t="s">
        <v>61</v>
      </c>
      <c r="S403" s="4" t="s">
        <v>62</v>
      </c>
      <c r="T403" s="6" t="e">
        <v>#N/A</v>
      </c>
      <c r="U403" s="5">
        <v>46</v>
      </c>
      <c r="V403" s="5">
        <v>34</v>
      </c>
      <c r="W403" s="5">
        <v>48</v>
      </c>
      <c r="X403" s="5">
        <v>61</v>
      </c>
      <c r="Y403" s="6">
        <v>9.52</v>
      </c>
      <c r="Z403" s="6">
        <v>7.14</v>
      </c>
      <c r="AA403" s="6">
        <v>9.52</v>
      </c>
      <c r="AB403" s="5">
        <v>30.95</v>
      </c>
      <c r="AC403" s="6">
        <v>0.35</v>
      </c>
      <c r="AD403" s="6">
        <v>0.4</v>
      </c>
      <c r="AE403" s="6">
        <v>0.25</v>
      </c>
      <c r="AF403" s="4" t="s">
        <v>6296</v>
      </c>
      <c r="AG403" s="4" t="s">
        <v>6296</v>
      </c>
      <c r="AH403" s="4" t="s">
        <v>6296</v>
      </c>
      <c r="AI403" s="4" t="s">
        <v>6296</v>
      </c>
      <c r="AJ403" s="4" t="s">
        <v>6296</v>
      </c>
      <c r="AK403" s="4" t="s">
        <v>6296</v>
      </c>
      <c r="AL403" s="4" t="s">
        <v>6296</v>
      </c>
      <c r="AM403" s="4" t="s">
        <v>37</v>
      </c>
      <c r="AN403" s="4" t="s">
        <v>6296</v>
      </c>
      <c r="AO403" s="4" t="s">
        <v>6296</v>
      </c>
      <c r="AP403" s="4" t="s">
        <v>2811</v>
      </c>
      <c r="AQ403" s="4" t="s">
        <v>47</v>
      </c>
    </row>
    <row r="404" spans="1:43" ht="12.6" customHeight="1" x14ac:dyDescent="0.25">
      <c r="A404" s="8" t="s">
        <v>3243</v>
      </c>
      <c r="B404" s="9">
        <v>20151231</v>
      </c>
      <c r="C404" s="12">
        <f>_xll.FDS("SPX","FG_PRICE(12/30/2015)")</f>
        <v>2063.36</v>
      </c>
      <c r="D404" s="12">
        <f>_xll.FDS("SPX","FG_PRICE(12/30/2017)")</f>
        <v>2673.61</v>
      </c>
      <c r="E404" s="15">
        <f>D404/C404-1</f>
        <v>0.2957554668114144</v>
      </c>
      <c r="F404" s="8" t="s">
        <v>3244</v>
      </c>
      <c r="G404" s="8" t="s">
        <v>3245</v>
      </c>
      <c r="H404" s="13">
        <f>_xll.FDS(G404,"FG_PRICE(12/30/2015)")</f>
        <v>80.069999999999993</v>
      </c>
      <c r="I404" s="13">
        <f>_xll.FDS(G404,"FG_PRICE(12/31/2017)")</f>
        <v>91.88</v>
      </c>
      <c r="J404" s="13">
        <f>I404/H404-1</f>
        <v>0.14749594105157993</v>
      </c>
      <c r="K404" s="13">
        <f>J404-E404</f>
        <v>-0.14825952575983448</v>
      </c>
      <c r="L404" s="13">
        <f>_xll.FDS(G404,"FF_ROE(ANN_R,12/30/2015)")</f>
        <v>12.44216875707459</v>
      </c>
      <c r="M404" s="8" t="s">
        <v>3246</v>
      </c>
      <c r="N404" s="4" t="s">
        <v>3247</v>
      </c>
      <c r="O404" s="4" t="s">
        <v>3248</v>
      </c>
      <c r="P404" s="4" t="s">
        <v>96</v>
      </c>
      <c r="Q404" s="4" t="s">
        <v>511</v>
      </c>
      <c r="R404" s="4" t="s">
        <v>61</v>
      </c>
      <c r="S404" s="4" t="s">
        <v>62</v>
      </c>
      <c r="T404" s="6" t="e">
        <v>#N/A</v>
      </c>
      <c r="U404" s="5">
        <v>71</v>
      </c>
      <c r="V404" s="5">
        <v>73</v>
      </c>
      <c r="W404" s="5">
        <v>71</v>
      </c>
      <c r="X404" s="5">
        <v>67</v>
      </c>
      <c r="Y404" s="5">
        <v>64.290000000000006</v>
      </c>
      <c r="Z404" s="5">
        <v>59.52</v>
      </c>
      <c r="AA404" s="5">
        <v>73.81</v>
      </c>
      <c r="AB404" s="5">
        <v>59.52</v>
      </c>
      <c r="AC404" s="6">
        <v>0.35</v>
      </c>
      <c r="AD404" s="6">
        <v>0.4</v>
      </c>
      <c r="AE404" s="6">
        <v>0.25</v>
      </c>
      <c r="AF404" s="4" t="s">
        <v>37</v>
      </c>
      <c r="AG404" s="4" t="s">
        <v>37</v>
      </c>
      <c r="AH404" s="4" t="s">
        <v>6296</v>
      </c>
      <c r="AI404" s="4" t="s">
        <v>37</v>
      </c>
      <c r="AJ404" s="4" t="s">
        <v>37</v>
      </c>
      <c r="AK404" s="4" t="s">
        <v>46</v>
      </c>
      <c r="AL404" s="4" t="s">
        <v>42</v>
      </c>
      <c r="AM404" s="4" t="s">
        <v>37</v>
      </c>
      <c r="AN404" s="4" t="s">
        <v>6296</v>
      </c>
      <c r="AO404" s="4" t="s">
        <v>6296</v>
      </c>
      <c r="AP404" s="4" t="s">
        <v>3249</v>
      </c>
      <c r="AQ404" s="4" t="s">
        <v>47</v>
      </c>
    </row>
    <row r="405" spans="1:43" ht="12.6" customHeight="1" x14ac:dyDescent="0.25">
      <c r="A405" s="8" t="s">
        <v>911</v>
      </c>
      <c r="B405" s="9">
        <v>20151231</v>
      </c>
      <c r="C405" s="12">
        <f>_xll.FDS("SPX","FG_PRICE(12/30/2015)")</f>
        <v>2063.36</v>
      </c>
      <c r="D405" s="12">
        <f>_xll.FDS("SPX","FG_PRICE(12/30/2017)")</f>
        <v>2673.61</v>
      </c>
      <c r="E405" s="15">
        <f>D405/C405-1</f>
        <v>0.2957554668114144</v>
      </c>
      <c r="F405" s="8" t="s">
        <v>912</v>
      </c>
      <c r="G405" s="8" t="s">
        <v>913</v>
      </c>
      <c r="H405" s="13">
        <f>_xll.FDS(G405,"FG_PRICE(12/30/2015)")</f>
        <v>88.89</v>
      </c>
      <c r="I405" s="13">
        <f>_xll.FDS(G405,"FG_PRICE(12/31/2017)")</f>
        <v>113.65</v>
      </c>
      <c r="J405" s="13">
        <f>I405/H405-1</f>
        <v>0.27854651816852294</v>
      </c>
      <c r="K405" s="13">
        <f>J405-E405</f>
        <v>-1.7208948642891464E-2</v>
      </c>
      <c r="L405" s="13">
        <f>_xll.FDS(G405,"FF_ROE(ANN_R,12/30/2015)")</f>
        <v>11.92527021545656</v>
      </c>
      <c r="M405" s="8" t="s">
        <v>914</v>
      </c>
      <c r="N405" s="4" t="s">
        <v>914</v>
      </c>
      <c r="O405" s="4" t="s">
        <v>915</v>
      </c>
      <c r="P405" s="4" t="s">
        <v>96</v>
      </c>
      <c r="Q405" s="4" t="s">
        <v>76</v>
      </c>
      <c r="R405" s="4" t="s">
        <v>61</v>
      </c>
      <c r="S405" s="4" t="s">
        <v>62</v>
      </c>
      <c r="T405" s="6" t="e">
        <v>#N/A</v>
      </c>
      <c r="U405" s="5">
        <v>44</v>
      </c>
      <c r="V405" s="5">
        <v>33</v>
      </c>
      <c r="W405" s="5">
        <v>44</v>
      </c>
      <c r="X405" s="5">
        <v>62</v>
      </c>
      <c r="Y405" s="5">
        <v>30</v>
      </c>
      <c r="Z405" s="5">
        <v>18.329999999999998</v>
      </c>
      <c r="AA405" s="5">
        <v>20</v>
      </c>
      <c r="AB405" s="5">
        <v>56.67</v>
      </c>
      <c r="AC405" s="6">
        <v>0.4</v>
      </c>
      <c r="AD405" s="6">
        <v>0.35</v>
      </c>
      <c r="AE405" s="6">
        <v>0.25</v>
      </c>
      <c r="AF405" s="4" t="s">
        <v>6296</v>
      </c>
      <c r="AG405" s="4" t="s">
        <v>6296</v>
      </c>
      <c r="AH405" s="4" t="s">
        <v>6296</v>
      </c>
      <c r="AI405" s="4" t="s">
        <v>6296</v>
      </c>
      <c r="AJ405" s="4" t="s">
        <v>6296</v>
      </c>
      <c r="AK405" s="4" t="s">
        <v>42</v>
      </c>
      <c r="AL405" s="4" t="s">
        <v>6296</v>
      </c>
      <c r="AM405" s="4" t="s">
        <v>6296</v>
      </c>
      <c r="AN405" s="4" t="s">
        <v>6296</v>
      </c>
      <c r="AO405" s="4" t="s">
        <v>6296</v>
      </c>
      <c r="AP405" s="4" t="s">
        <v>916</v>
      </c>
      <c r="AQ405" s="4" t="s">
        <v>47</v>
      </c>
    </row>
    <row r="406" spans="1:43" ht="12.6" customHeight="1" x14ac:dyDescent="0.25">
      <c r="A406" s="8" t="s">
        <v>1259</v>
      </c>
      <c r="B406" s="9">
        <v>20151231</v>
      </c>
      <c r="C406" s="12">
        <f>_xll.FDS("SPX","FG_PRICE(12/30/2015)")</f>
        <v>2063.36</v>
      </c>
      <c r="D406" s="12">
        <f>_xll.FDS("SPX","FG_PRICE(12/30/2017)")</f>
        <v>2673.61</v>
      </c>
      <c r="E406" s="15">
        <f>D406/C406-1</f>
        <v>0.2957554668114144</v>
      </c>
      <c r="F406" s="8" t="s">
        <v>1260</v>
      </c>
      <c r="G406" s="8" t="s">
        <v>1261</v>
      </c>
      <c r="H406" s="13">
        <f>_xll.FDS(G406,"FG_PRICE(12/30/2015)")</f>
        <v>70.751490000000004</v>
      </c>
      <c r="I406" s="13">
        <f>_xll.FDS(G406,"FG_PRICE(12/31/2017)")</f>
        <v>92.82</v>
      </c>
      <c r="J406" s="13">
        <f>I406/H406-1</f>
        <v>0.31191583385735044</v>
      </c>
      <c r="K406" s="13">
        <f>J406-E406</f>
        <v>1.6160367045936042E-2</v>
      </c>
      <c r="L406" s="13">
        <f>_xll.FDS(G406,"FF_ROE(ANN_R,12/30/2015)")</f>
        <v>11.35579961279101</v>
      </c>
      <c r="M406" s="8" t="s">
        <v>1262</v>
      </c>
      <c r="N406" s="4" t="s">
        <v>1262</v>
      </c>
      <c r="O406" s="4" t="s">
        <v>1263</v>
      </c>
      <c r="P406" s="4" t="s">
        <v>96</v>
      </c>
      <c r="Q406" s="4" t="s">
        <v>76</v>
      </c>
      <c r="R406" s="4" t="s">
        <v>61</v>
      </c>
      <c r="S406" s="4" t="s">
        <v>62</v>
      </c>
      <c r="T406" s="6" t="e">
        <v>#N/A</v>
      </c>
      <c r="U406" s="5">
        <v>51</v>
      </c>
      <c r="V406" s="5">
        <v>48</v>
      </c>
      <c r="W406" s="5">
        <v>51</v>
      </c>
      <c r="X406" s="5">
        <v>57</v>
      </c>
      <c r="Y406" s="5">
        <v>45</v>
      </c>
      <c r="Z406" s="5">
        <v>63.33</v>
      </c>
      <c r="AA406" s="5">
        <v>55</v>
      </c>
      <c r="AB406" s="5">
        <v>40</v>
      </c>
      <c r="AC406" s="6">
        <v>0.4</v>
      </c>
      <c r="AD406" s="6">
        <v>0.35</v>
      </c>
      <c r="AE406" s="6">
        <v>0.25</v>
      </c>
      <c r="AF406" s="4" t="s">
        <v>6296</v>
      </c>
      <c r="AG406" s="4" t="s">
        <v>6296</v>
      </c>
      <c r="AH406" s="4" t="s">
        <v>6296</v>
      </c>
      <c r="AI406" s="4" t="s">
        <v>6296</v>
      </c>
      <c r="AJ406" s="4" t="s">
        <v>6296</v>
      </c>
      <c r="AK406" s="4" t="s">
        <v>6296</v>
      </c>
      <c r="AL406" s="4" t="s">
        <v>6296</v>
      </c>
      <c r="AM406" s="4" t="s">
        <v>6296</v>
      </c>
      <c r="AN406" s="4" t="s">
        <v>6296</v>
      </c>
      <c r="AO406" s="4" t="s">
        <v>6296</v>
      </c>
      <c r="AP406" s="4" t="s">
        <v>1264</v>
      </c>
      <c r="AQ406" s="4" t="s">
        <v>47</v>
      </c>
    </row>
    <row r="407" spans="1:43" ht="12.6" customHeight="1" x14ac:dyDescent="0.25">
      <c r="A407" s="8" t="s">
        <v>1794</v>
      </c>
      <c r="B407" s="9">
        <v>20151231</v>
      </c>
      <c r="C407" s="12">
        <f>_xll.FDS("SPX","FG_PRICE(12/30/2015)")</f>
        <v>2063.36</v>
      </c>
      <c r="D407" s="12">
        <f>_xll.FDS("SPX","FG_PRICE(12/30/2017)")</f>
        <v>2673.61</v>
      </c>
      <c r="E407" s="15">
        <f>D407/C407-1</f>
        <v>0.2957554668114144</v>
      </c>
      <c r="F407" s="8" t="s">
        <v>1795</v>
      </c>
      <c r="G407" s="8" t="s">
        <v>1796</v>
      </c>
      <c r="H407" s="13">
        <f>_xll.FDS(G407,"FG_PRICE(12/30/2015)")</f>
        <v>31.05</v>
      </c>
      <c r="I407" s="13">
        <f>_xll.FDS(G407,"FG_PRICE(12/31/2017)")</f>
        <v>17.45</v>
      </c>
      <c r="J407" s="13">
        <f>I407/H407-1</f>
        <v>-0.43800322061191632</v>
      </c>
      <c r="K407" s="13">
        <f>J407-E407</f>
        <v>-0.73375868742333072</v>
      </c>
      <c r="L407" s="13">
        <f>_xll.FDS(G407,"FF_ROE(ANN_R,12/30/2015)")</f>
        <v>7.3599381582761616</v>
      </c>
      <c r="M407" s="8" t="s">
        <v>1797</v>
      </c>
      <c r="N407" s="4" t="s">
        <v>1797</v>
      </c>
      <c r="O407" s="4" t="s">
        <v>1798</v>
      </c>
      <c r="P407" s="4" t="s">
        <v>96</v>
      </c>
      <c r="Q407" s="4" t="s">
        <v>76</v>
      </c>
      <c r="R407" s="4" t="s">
        <v>61</v>
      </c>
      <c r="S407" s="4" t="s">
        <v>62</v>
      </c>
      <c r="T407" s="6" t="e">
        <v>#N/A</v>
      </c>
      <c r="U407" s="5">
        <v>67</v>
      </c>
      <c r="V407" s="5">
        <v>60</v>
      </c>
      <c r="W407" s="5">
        <v>69</v>
      </c>
      <c r="X407" s="5">
        <v>77</v>
      </c>
      <c r="Y407" s="5">
        <v>93.33</v>
      </c>
      <c r="Z407" s="5">
        <v>85</v>
      </c>
      <c r="AA407" s="5">
        <v>96.67</v>
      </c>
      <c r="AB407" s="5">
        <v>88.33</v>
      </c>
      <c r="AC407" s="6">
        <v>0.4</v>
      </c>
      <c r="AD407" s="6">
        <v>0.35</v>
      </c>
      <c r="AE407" s="6">
        <v>0.25</v>
      </c>
      <c r="AF407" s="4" t="s">
        <v>37</v>
      </c>
      <c r="AG407" s="4" t="s">
        <v>6296</v>
      </c>
      <c r="AH407" s="4" t="s">
        <v>6296</v>
      </c>
      <c r="AI407" s="4" t="s">
        <v>37</v>
      </c>
      <c r="AJ407" s="4" t="s">
        <v>42</v>
      </c>
      <c r="AK407" s="4" t="s">
        <v>46</v>
      </c>
      <c r="AL407" s="4" t="s">
        <v>42</v>
      </c>
      <c r="AM407" s="4" t="s">
        <v>37</v>
      </c>
      <c r="AN407" s="4" t="s">
        <v>6296</v>
      </c>
      <c r="AO407" s="4" t="s">
        <v>6296</v>
      </c>
      <c r="AP407" s="4" t="s">
        <v>1799</v>
      </c>
      <c r="AQ407" s="4" t="s">
        <v>47</v>
      </c>
    </row>
    <row r="408" spans="1:43" ht="12.6" customHeight="1" x14ac:dyDescent="0.25">
      <c r="A408" s="8" t="s">
        <v>242</v>
      </c>
      <c r="B408" s="9">
        <v>20151231</v>
      </c>
      <c r="C408" s="12">
        <f>_xll.FDS("SPX","FG_PRICE(12/30/2015)")</f>
        <v>2063.36</v>
      </c>
      <c r="D408" s="12">
        <f>_xll.FDS("SPX","FG_PRICE(12/30/2017)")</f>
        <v>2673.61</v>
      </c>
      <c r="E408" s="15">
        <f>D408/C408-1</f>
        <v>0.2957554668114144</v>
      </c>
      <c r="F408" s="8" t="s">
        <v>243</v>
      </c>
      <c r="G408" s="8" t="s">
        <v>244</v>
      </c>
      <c r="H408" s="13">
        <f>_xll.FDS(G408,"FG_PRICE(12/30/2015)")</f>
        <v>61.790849999999999</v>
      </c>
      <c r="I408" s="13">
        <f>_xll.FDS(G408,"FG_PRICE(12/31/2017)")</f>
        <v>53</v>
      </c>
      <c r="J408" s="13">
        <f>I408/H408-1</f>
        <v>-0.14226782767998825</v>
      </c>
      <c r="K408" s="13">
        <f>J408-E408</f>
        <v>-0.43802329449140265</v>
      </c>
      <c r="L408" s="13">
        <f>_xll.FDS(G408,"FF_ROE(ANN_R,12/30/2015)")</f>
        <v>-6.2223733424005436</v>
      </c>
      <c r="M408" s="8" t="s">
        <v>245</v>
      </c>
      <c r="N408" s="4" t="s">
        <v>245</v>
      </c>
      <c r="O408" s="4" t="s">
        <v>246</v>
      </c>
      <c r="P408" s="4" t="s">
        <v>106</v>
      </c>
      <c r="Q408" s="4" t="s">
        <v>76</v>
      </c>
      <c r="R408" s="4" t="s">
        <v>61</v>
      </c>
      <c r="S408" s="4" t="s">
        <v>62</v>
      </c>
      <c r="T408" s="6" t="e">
        <v>#N/A</v>
      </c>
      <c r="U408" s="5">
        <v>43</v>
      </c>
      <c r="V408" s="5">
        <v>37</v>
      </c>
      <c r="W408" s="5">
        <v>47</v>
      </c>
      <c r="X408" s="5">
        <v>48</v>
      </c>
      <c r="Y408" s="5">
        <v>21.67</v>
      </c>
      <c r="Z408" s="5">
        <v>33.33</v>
      </c>
      <c r="AA408" s="5">
        <v>36.67</v>
      </c>
      <c r="AB408" s="6">
        <v>5</v>
      </c>
      <c r="AC408" s="6">
        <v>0.4</v>
      </c>
      <c r="AD408" s="6">
        <v>0.35</v>
      </c>
      <c r="AE408" s="6">
        <v>0.25</v>
      </c>
      <c r="AF408" s="4" t="s">
        <v>6296</v>
      </c>
      <c r="AG408" s="4" t="s">
        <v>6296</v>
      </c>
      <c r="AH408" s="4" t="s">
        <v>6296</v>
      </c>
      <c r="AI408" s="4" t="s">
        <v>6296</v>
      </c>
      <c r="AJ408" s="4" t="s">
        <v>6296</v>
      </c>
      <c r="AK408" s="4" t="s">
        <v>6296</v>
      </c>
      <c r="AL408" s="4" t="s">
        <v>6296</v>
      </c>
      <c r="AM408" s="4" t="s">
        <v>6296</v>
      </c>
      <c r="AN408" s="4" t="s">
        <v>6296</v>
      </c>
      <c r="AO408" s="4" t="s">
        <v>6296</v>
      </c>
      <c r="AP408" s="4" t="s">
        <v>247</v>
      </c>
      <c r="AQ408" s="4" t="s">
        <v>47</v>
      </c>
    </row>
    <row r="409" spans="1:43" ht="12.6" customHeight="1" x14ac:dyDescent="0.25">
      <c r="A409" s="8" t="s">
        <v>2727</v>
      </c>
      <c r="B409" s="9">
        <v>20151231</v>
      </c>
      <c r="C409" s="12">
        <f>_xll.FDS("SPX","FG_PRICE(12/30/2015)")</f>
        <v>2063.36</v>
      </c>
      <c r="D409" s="12">
        <f>_xll.FDS("SPX","FG_PRICE(12/30/2017)")</f>
        <v>2673.61</v>
      </c>
      <c r="E409" s="15">
        <f>D409/C409-1</f>
        <v>0.2957554668114144</v>
      </c>
      <c r="F409" s="8" t="s">
        <v>2728</v>
      </c>
      <c r="G409" s="8" t="s">
        <v>2729</v>
      </c>
      <c r="H409" s="13">
        <f>_xll.FDS(G409,"FG_PRICE(12/30/2015)")</f>
        <v>151.91</v>
      </c>
      <c r="I409" s="13">
        <f>_xll.FDS(G409,"FG_PRICE(12/31/2017)")</f>
        <v>235.37</v>
      </c>
      <c r="J409" s="13">
        <f>I409/H409-1</f>
        <v>0.54940425251793834</v>
      </c>
      <c r="K409" s="13">
        <f>J409-E409</f>
        <v>0.25364878570652394</v>
      </c>
      <c r="L409" s="13">
        <f>_xll.FDS(G409,"FF_ROE(ANN_R,12/30/2015)")</f>
        <v>32.380516807683513</v>
      </c>
      <c r="M409" s="8" t="s">
        <v>2730</v>
      </c>
      <c r="N409" s="4" t="s">
        <v>2730</v>
      </c>
      <c r="O409" s="4" t="s">
        <v>2731</v>
      </c>
      <c r="P409" s="4" t="s">
        <v>96</v>
      </c>
      <c r="Q409" s="4" t="s">
        <v>76</v>
      </c>
      <c r="R409" s="4" t="s">
        <v>61</v>
      </c>
      <c r="S409" s="4" t="s">
        <v>62</v>
      </c>
      <c r="T409" s="6" t="e">
        <v>#N/A</v>
      </c>
      <c r="U409" s="5">
        <v>75</v>
      </c>
      <c r="V409" s="5">
        <v>75</v>
      </c>
      <c r="W409" s="5">
        <v>71</v>
      </c>
      <c r="X409" s="5">
        <v>79</v>
      </c>
      <c r="Y409" s="5">
        <v>96.67</v>
      </c>
      <c r="Z409" s="5">
        <v>96.67</v>
      </c>
      <c r="AA409" s="5">
        <v>98.33</v>
      </c>
      <c r="AB409" s="5">
        <v>90</v>
      </c>
      <c r="AC409" s="6">
        <v>0.4</v>
      </c>
      <c r="AD409" s="6">
        <v>0.35</v>
      </c>
      <c r="AE409" s="6">
        <v>0.25</v>
      </c>
      <c r="AF409" s="4" t="s">
        <v>42</v>
      </c>
      <c r="AG409" s="4" t="s">
        <v>6296</v>
      </c>
      <c r="AH409" s="4" t="s">
        <v>6296</v>
      </c>
      <c r="AI409" s="4" t="s">
        <v>42</v>
      </c>
      <c r="AJ409" s="4" t="s">
        <v>6296</v>
      </c>
      <c r="AK409" s="4" t="s">
        <v>42</v>
      </c>
      <c r="AL409" s="4" t="s">
        <v>6296</v>
      </c>
      <c r="AM409" s="4" t="s">
        <v>6296</v>
      </c>
      <c r="AN409" s="4" t="s">
        <v>6296</v>
      </c>
      <c r="AO409" s="4" t="s">
        <v>6296</v>
      </c>
      <c r="AP409" s="4" t="s">
        <v>2732</v>
      </c>
      <c r="AQ409" s="4" t="s">
        <v>47</v>
      </c>
    </row>
    <row r="410" spans="1:43" ht="12.6" customHeight="1" x14ac:dyDescent="0.25">
      <c r="A410" s="8" t="s">
        <v>767</v>
      </c>
      <c r="B410" s="9">
        <v>20151231</v>
      </c>
      <c r="C410" s="12">
        <f>_xll.FDS("SPX","FG_PRICE(12/30/2015)")</f>
        <v>2063.36</v>
      </c>
      <c r="D410" s="12">
        <f>_xll.FDS("SPX","FG_PRICE(12/30/2017)")</f>
        <v>2673.61</v>
      </c>
      <c r="E410" s="15">
        <f>D410/C410-1</f>
        <v>0.2957554668114144</v>
      </c>
      <c r="F410" s="8" t="s">
        <v>768</v>
      </c>
      <c r="G410" s="8" t="s">
        <v>769</v>
      </c>
      <c r="H410" s="13">
        <f>_xll.FDS(G410,"FG_PRICE(12/30/2015)")</f>
        <v>73.09</v>
      </c>
      <c r="I410" s="13">
        <f>_xll.FDS(G410,"FG_PRICE(12/31/2017)")</f>
        <v>108.54</v>
      </c>
      <c r="J410" s="13">
        <f>I410/H410-1</f>
        <v>0.48501847037898482</v>
      </c>
      <c r="K410" s="13">
        <f>J410-E410</f>
        <v>0.18926300356757042</v>
      </c>
      <c r="L410" s="13">
        <f>_xll.FDS(G410,"FF_ROE(ANN_R,12/30/2015)")</f>
        <v>9.5378771892804384</v>
      </c>
      <c r="M410" s="8" t="s">
        <v>770</v>
      </c>
      <c r="N410" s="4" t="s">
        <v>771</v>
      </c>
      <c r="O410" s="4" t="s">
        <v>772</v>
      </c>
      <c r="P410" s="4" t="s">
        <v>96</v>
      </c>
      <c r="Q410" s="4" t="s">
        <v>75</v>
      </c>
      <c r="R410" s="4" t="s">
        <v>61</v>
      </c>
      <c r="S410" s="4" t="s">
        <v>62</v>
      </c>
      <c r="T410" s="6" t="e">
        <v>#N/A</v>
      </c>
      <c r="U410" s="5">
        <v>49</v>
      </c>
      <c r="V410" s="5">
        <v>38</v>
      </c>
      <c r="W410" s="5">
        <v>61</v>
      </c>
      <c r="X410" s="5">
        <v>46</v>
      </c>
      <c r="Y410" s="5">
        <v>20.39</v>
      </c>
      <c r="Z410" s="5">
        <v>13.16</v>
      </c>
      <c r="AA410" s="5">
        <v>42.76</v>
      </c>
      <c r="AB410" s="5">
        <v>13.16</v>
      </c>
      <c r="AC410" s="6">
        <v>0.3</v>
      </c>
      <c r="AD410" s="6">
        <v>0.35</v>
      </c>
      <c r="AE410" s="6">
        <v>0.35</v>
      </c>
      <c r="AF410" s="4" t="s">
        <v>6296</v>
      </c>
      <c r="AG410" s="4" t="s">
        <v>6296</v>
      </c>
      <c r="AH410" s="4" t="s">
        <v>6296</v>
      </c>
      <c r="AI410" s="4" t="s">
        <v>6296</v>
      </c>
      <c r="AJ410" s="4" t="s">
        <v>6296</v>
      </c>
      <c r="AK410" s="4" t="s">
        <v>42</v>
      </c>
      <c r="AL410" s="4" t="s">
        <v>42</v>
      </c>
      <c r="AM410" s="4" t="s">
        <v>6296</v>
      </c>
      <c r="AN410" s="4" t="s">
        <v>6296</v>
      </c>
      <c r="AO410" s="4" t="s">
        <v>6296</v>
      </c>
      <c r="AP410" s="4" t="s">
        <v>773</v>
      </c>
      <c r="AQ410" s="4" t="s">
        <v>47</v>
      </c>
    </row>
    <row r="411" spans="1:43" ht="12.6" customHeight="1" x14ac:dyDescent="0.25">
      <c r="A411" s="8" t="s">
        <v>261</v>
      </c>
      <c r="B411" s="9">
        <v>20151231</v>
      </c>
      <c r="C411" s="12">
        <f>_xll.FDS("SPX","FG_PRICE(12/30/2015)")</f>
        <v>2063.36</v>
      </c>
      <c r="D411" s="12">
        <f>_xll.FDS("SPX","FG_PRICE(12/30/2017)")</f>
        <v>2673.61</v>
      </c>
      <c r="E411" s="15">
        <f>D411/C411-1</f>
        <v>0.2957554668114144</v>
      </c>
      <c r="F411" s="8" t="s">
        <v>262</v>
      </c>
      <c r="G411" s="8" t="s">
        <v>263</v>
      </c>
      <c r="H411" s="13">
        <f>_xll.FDS(G411,"FG_PRICE(12/30/2015)")</f>
        <v>30.26</v>
      </c>
      <c r="I411" s="13">
        <f>_xll.FDS(G411,"FG_PRICE(12/31/2017)")</f>
        <v>43.89</v>
      </c>
      <c r="J411" s="13">
        <f>I411/H411-1</f>
        <v>0.45042961004626569</v>
      </c>
      <c r="K411" s="13">
        <f>J411-E411</f>
        <v>0.15467414323485129</v>
      </c>
      <c r="L411" s="13">
        <f>_xll.FDS(G411,"FF_ROE(ANN_R,12/30/2015)")</f>
        <v>17.902751236084569</v>
      </c>
      <c r="M411" s="8" t="s">
        <v>264</v>
      </c>
      <c r="N411" s="4" t="s">
        <v>264</v>
      </c>
      <c r="O411" s="4" t="s">
        <v>265</v>
      </c>
      <c r="P411" s="4" t="s">
        <v>96</v>
      </c>
      <c r="Q411" s="4" t="s">
        <v>75</v>
      </c>
      <c r="R411" s="4" t="s">
        <v>61</v>
      </c>
      <c r="S411" s="4" t="s">
        <v>62</v>
      </c>
      <c r="T411" s="6" t="e">
        <v>#N/A</v>
      </c>
      <c r="U411" s="5">
        <v>56</v>
      </c>
      <c r="V411" s="5">
        <v>50</v>
      </c>
      <c r="W411" s="5">
        <v>63</v>
      </c>
      <c r="X411" s="5">
        <v>53</v>
      </c>
      <c r="Y411" s="5">
        <v>64.47</v>
      </c>
      <c r="Z411" s="5">
        <v>60.53</v>
      </c>
      <c r="AA411" s="5">
        <v>57.24</v>
      </c>
      <c r="AB411" s="5">
        <v>52.63</v>
      </c>
      <c r="AC411" s="6">
        <v>0.3</v>
      </c>
      <c r="AD411" s="6">
        <v>0.35</v>
      </c>
      <c r="AE411" s="6">
        <v>0.35</v>
      </c>
      <c r="AF411" s="4" t="s">
        <v>6296</v>
      </c>
      <c r="AG411" s="4" t="s">
        <v>6296</v>
      </c>
      <c r="AH411" s="4" t="s">
        <v>6296</v>
      </c>
      <c r="AI411" s="4" t="s">
        <v>6296</v>
      </c>
      <c r="AJ411" s="4" t="s">
        <v>6296</v>
      </c>
      <c r="AK411" s="4" t="s">
        <v>6296</v>
      </c>
      <c r="AL411" s="4" t="s">
        <v>42</v>
      </c>
      <c r="AM411" s="4" t="s">
        <v>6296</v>
      </c>
      <c r="AN411" s="4" t="s">
        <v>6296</v>
      </c>
      <c r="AO411" s="4" t="s">
        <v>6296</v>
      </c>
      <c r="AP411" s="4" t="s">
        <v>266</v>
      </c>
      <c r="AQ411" s="4" t="s">
        <v>47</v>
      </c>
    </row>
    <row r="412" spans="1:43" ht="12.6" customHeight="1" x14ac:dyDescent="0.25">
      <c r="A412" s="8" t="s">
        <v>267</v>
      </c>
      <c r="B412" s="9">
        <v>20151231</v>
      </c>
      <c r="C412" s="12">
        <f>_xll.FDS("SPX","FG_PRICE(12/30/2015)")</f>
        <v>2063.36</v>
      </c>
      <c r="D412" s="12">
        <f>_xll.FDS("SPX","FG_PRICE(12/30/2017)")</f>
        <v>2673.61</v>
      </c>
      <c r="E412" s="15">
        <f>D412/C412-1</f>
        <v>0.2957554668114144</v>
      </c>
      <c r="F412" s="8" t="s">
        <v>268</v>
      </c>
      <c r="G412" s="8" t="s">
        <v>269</v>
      </c>
      <c r="H412" s="13">
        <f>_xll.FDS(G412,"FG_PRICE(12/30/2015)")</f>
        <v>62.51</v>
      </c>
      <c r="I412" s="13">
        <f>_xll.FDS(G412,"FG_PRICE(12/31/2017)")</f>
        <v>59.58</v>
      </c>
      <c r="J412" s="13">
        <f>I412/H412-1</f>
        <v>-4.6872500399935957E-2</v>
      </c>
      <c r="K412" s="13">
        <f>J412-E412</f>
        <v>-0.34262796721135036</v>
      </c>
      <c r="L412" s="13">
        <f>_xll.FDS(G412,"FF_ROE(ANN_R,12/30/2015)")</f>
        <v>7.3097102735233994</v>
      </c>
      <c r="M412" s="8" t="s">
        <v>270</v>
      </c>
      <c r="N412" s="4" t="s">
        <v>271</v>
      </c>
      <c r="O412" s="4" t="s">
        <v>272</v>
      </c>
      <c r="P412" s="4" t="s">
        <v>96</v>
      </c>
      <c r="Q412" s="4" t="s">
        <v>75</v>
      </c>
      <c r="R412" s="4" t="s">
        <v>61</v>
      </c>
      <c r="S412" s="4" t="s">
        <v>62</v>
      </c>
      <c r="T412" s="6" t="e">
        <v>#N/A</v>
      </c>
      <c r="U412" s="5">
        <v>52</v>
      </c>
      <c r="V412" s="5">
        <v>48</v>
      </c>
      <c r="W412" s="5">
        <v>63</v>
      </c>
      <c r="X412" s="5">
        <v>46</v>
      </c>
      <c r="Y412" s="5">
        <v>38.159999999999997</v>
      </c>
      <c r="Z412" s="5">
        <v>54.61</v>
      </c>
      <c r="AA412" s="5">
        <v>57.24</v>
      </c>
      <c r="AB412" s="5">
        <v>13.16</v>
      </c>
      <c r="AC412" s="6">
        <v>0.3</v>
      </c>
      <c r="AD412" s="6">
        <v>0.35</v>
      </c>
      <c r="AE412" s="6">
        <v>0.35</v>
      </c>
      <c r="AF412" s="4" t="s">
        <v>6296</v>
      </c>
      <c r="AG412" s="4" t="s">
        <v>6296</v>
      </c>
      <c r="AH412" s="4" t="s">
        <v>6296</v>
      </c>
      <c r="AI412" s="4" t="s">
        <v>42</v>
      </c>
      <c r="AJ412" s="4" t="s">
        <v>6296</v>
      </c>
      <c r="AK412" s="4" t="s">
        <v>42</v>
      </c>
      <c r="AL412" s="4" t="s">
        <v>37</v>
      </c>
      <c r="AM412" s="4" t="s">
        <v>37</v>
      </c>
      <c r="AN412" s="4" t="s">
        <v>37</v>
      </c>
      <c r="AO412" s="4" t="s">
        <v>6296</v>
      </c>
      <c r="AP412" s="4" t="s">
        <v>273</v>
      </c>
      <c r="AQ412" s="4" t="s">
        <v>47</v>
      </c>
    </row>
    <row r="413" spans="1:43" ht="12.6" customHeight="1" x14ac:dyDescent="0.25">
      <c r="A413" s="8" t="s">
        <v>1593</v>
      </c>
      <c r="B413" s="9">
        <v>20151231</v>
      </c>
      <c r="C413" s="12">
        <f>_xll.FDS("SPX","FG_PRICE(12/30/2015)")</f>
        <v>2063.36</v>
      </c>
      <c r="D413" s="12">
        <f>_xll.FDS("SPX","FG_PRICE(12/30/2017)")</f>
        <v>2673.61</v>
      </c>
      <c r="E413" s="15">
        <f>D413/C413-1</f>
        <v>0.2957554668114144</v>
      </c>
      <c r="F413" s="8" t="s">
        <v>1594</v>
      </c>
      <c r="G413" s="8" t="s">
        <v>1595</v>
      </c>
      <c r="H413" s="13">
        <f>_xll.FDS(G413,"FG_PRICE(12/30/2015)")</f>
        <v>81.37</v>
      </c>
      <c r="I413" s="13">
        <f>_xll.FDS(G413,"FG_PRICE(12/31/2017)")</f>
        <v>100.84</v>
      </c>
      <c r="J413" s="13">
        <f>I413/H413-1</f>
        <v>0.2392773749539141</v>
      </c>
      <c r="K413" s="13">
        <f>J413-E413</f>
        <v>-5.6478091857500301E-2</v>
      </c>
      <c r="L413" s="13">
        <f>_xll.FDS(G413,"FF_ROE(ANN_R,12/30/2015)")</f>
        <v>9.4042348982794035</v>
      </c>
      <c r="M413" s="8" t="s">
        <v>1596</v>
      </c>
      <c r="N413" s="4" t="s">
        <v>1597</v>
      </c>
      <c r="O413" s="4" t="s">
        <v>1598</v>
      </c>
      <c r="P413" s="4" t="s">
        <v>96</v>
      </c>
      <c r="Q413" s="4" t="s">
        <v>75</v>
      </c>
      <c r="R413" s="4" t="s">
        <v>61</v>
      </c>
      <c r="S413" s="4" t="s">
        <v>62</v>
      </c>
      <c r="T413" s="6" t="e">
        <v>#N/A</v>
      </c>
      <c r="U413" s="5">
        <v>55</v>
      </c>
      <c r="V413" s="5">
        <v>51</v>
      </c>
      <c r="W413" s="5">
        <v>63</v>
      </c>
      <c r="X413" s="5">
        <v>50</v>
      </c>
      <c r="Y413" s="5">
        <v>58.55</v>
      </c>
      <c r="Z413" s="5">
        <v>63.16</v>
      </c>
      <c r="AA413" s="5">
        <v>57.24</v>
      </c>
      <c r="AB413" s="5">
        <v>37.5</v>
      </c>
      <c r="AC413" s="6">
        <v>0.3</v>
      </c>
      <c r="AD413" s="6">
        <v>0.35</v>
      </c>
      <c r="AE413" s="6">
        <v>0.35</v>
      </c>
      <c r="AF413" s="4" t="s">
        <v>6296</v>
      </c>
      <c r="AG413" s="4" t="s">
        <v>6296</v>
      </c>
      <c r="AH413" s="4" t="s">
        <v>6296</v>
      </c>
      <c r="AI413" s="4" t="s">
        <v>6296</v>
      </c>
      <c r="AJ413" s="4" t="s">
        <v>6296</v>
      </c>
      <c r="AK413" s="4" t="s">
        <v>42</v>
      </c>
      <c r="AL413" s="4" t="s">
        <v>6296</v>
      </c>
      <c r="AM413" s="4" t="s">
        <v>6296</v>
      </c>
      <c r="AN413" s="4" t="s">
        <v>42</v>
      </c>
      <c r="AO413" s="4" t="s">
        <v>6296</v>
      </c>
      <c r="AP413" s="4" t="s">
        <v>1599</v>
      </c>
      <c r="AQ413" s="4" t="s">
        <v>47</v>
      </c>
    </row>
    <row r="414" spans="1:43" ht="12.6" customHeight="1" x14ac:dyDescent="0.25">
      <c r="A414" s="8" t="s">
        <v>1705</v>
      </c>
      <c r="B414" s="9">
        <v>20151231</v>
      </c>
      <c r="C414" s="12">
        <f>_xll.FDS("SPX","FG_PRICE(12/30/2015)")</f>
        <v>2063.36</v>
      </c>
      <c r="D414" s="12">
        <f>_xll.FDS("SPX","FG_PRICE(12/30/2017)")</f>
        <v>2673.61</v>
      </c>
      <c r="E414" s="15">
        <f>D414/C414-1</f>
        <v>0.2957554668114144</v>
      </c>
      <c r="F414" s="8" t="s">
        <v>1706</v>
      </c>
      <c r="G414" s="8" t="s">
        <v>1707</v>
      </c>
      <c r="H414" s="13">
        <f>_xll.FDS(G414,"FG_PRICE(12/30/2015)")</f>
        <v>41.38</v>
      </c>
      <c r="I414" s="13">
        <f>_xll.FDS(G414,"FG_PRICE(12/31/2017)")</f>
        <v>63.28</v>
      </c>
      <c r="J414" s="13">
        <f>I414/H414-1</f>
        <v>0.52924117931367798</v>
      </c>
      <c r="K414" s="13">
        <f>J414-E414</f>
        <v>0.23348571250226358</v>
      </c>
      <c r="L414" s="13">
        <f>_xll.FDS(G414,"FF_ROE(ANN_R,12/30/2015)")</f>
        <v>11.416959867542189</v>
      </c>
      <c r="M414" s="8" t="s">
        <v>1708</v>
      </c>
      <c r="N414" s="4" t="s">
        <v>1708</v>
      </c>
      <c r="O414" s="4" t="s">
        <v>1709</v>
      </c>
      <c r="P414" s="4" t="s">
        <v>96</v>
      </c>
      <c r="Q414" s="4" t="s">
        <v>75</v>
      </c>
      <c r="R414" s="4" t="s">
        <v>61</v>
      </c>
      <c r="S414" s="4" t="s">
        <v>62</v>
      </c>
      <c r="T414" s="6" t="e">
        <v>#N/A</v>
      </c>
      <c r="U414" s="5">
        <v>52</v>
      </c>
      <c r="V414" s="5">
        <v>47</v>
      </c>
      <c r="W414" s="5">
        <v>58</v>
      </c>
      <c r="X414" s="5">
        <v>50</v>
      </c>
      <c r="Y414" s="5">
        <v>38.159999999999997</v>
      </c>
      <c r="Z414" s="5">
        <v>50.66</v>
      </c>
      <c r="AA414" s="5">
        <v>23.68</v>
      </c>
      <c r="AB414" s="5">
        <v>37.5</v>
      </c>
      <c r="AC414" s="6">
        <v>0.3</v>
      </c>
      <c r="AD414" s="6">
        <v>0.35</v>
      </c>
      <c r="AE414" s="6">
        <v>0.35</v>
      </c>
      <c r="AF414" s="4" t="s">
        <v>6296</v>
      </c>
      <c r="AG414" s="4" t="s">
        <v>6296</v>
      </c>
      <c r="AH414" s="4" t="s">
        <v>6296</v>
      </c>
      <c r="AI414" s="4" t="s">
        <v>42</v>
      </c>
      <c r="AJ414" s="4" t="s">
        <v>6296</v>
      </c>
      <c r="AK414" s="4" t="s">
        <v>6296</v>
      </c>
      <c r="AL414" s="4" t="s">
        <v>6296</v>
      </c>
      <c r="AM414" s="4" t="s">
        <v>6296</v>
      </c>
      <c r="AN414" s="4" t="s">
        <v>6296</v>
      </c>
      <c r="AO414" s="4" t="s">
        <v>6296</v>
      </c>
      <c r="AP414" s="4" t="s">
        <v>1710</v>
      </c>
      <c r="AQ414" s="4" t="s">
        <v>47</v>
      </c>
    </row>
    <row r="415" spans="1:43" ht="12.6" customHeight="1" x14ac:dyDescent="0.25">
      <c r="A415" s="8" t="s">
        <v>210</v>
      </c>
      <c r="B415" s="9">
        <v>20151231</v>
      </c>
      <c r="C415" s="12">
        <f>_xll.FDS("SPX","FG_PRICE(12/30/2015)")</f>
        <v>2063.36</v>
      </c>
      <c r="D415" s="12">
        <f>_xll.FDS("SPX","FG_PRICE(12/30/2017)")</f>
        <v>2673.61</v>
      </c>
      <c r="E415" s="15">
        <f>D415/C415-1</f>
        <v>0.2957554668114144</v>
      </c>
      <c r="F415" s="8" t="s">
        <v>211</v>
      </c>
      <c r="G415" s="8" t="s">
        <v>212</v>
      </c>
      <c r="H415" s="13">
        <f>_xll.FDS(G415,"FG_PRICE(12/30/2015)")</f>
        <v>62.81</v>
      </c>
      <c r="I415" s="13">
        <f>_xll.FDS(G415,"FG_PRICE(12/31/2017)")</f>
        <v>104.71</v>
      </c>
      <c r="J415" s="13">
        <f>I415/H415-1</f>
        <v>0.66709122751154259</v>
      </c>
      <c r="K415" s="13">
        <f>J415-E415</f>
        <v>0.37133576070012819</v>
      </c>
      <c r="L415" s="13">
        <f>_xll.FDS(G415,"FF_ROE(ANN_R,12/30/2015)")</f>
        <v>13.018454229855649</v>
      </c>
      <c r="M415" s="8" t="s">
        <v>213</v>
      </c>
      <c r="N415" s="4" t="s">
        <v>214</v>
      </c>
      <c r="O415" s="4" t="s">
        <v>215</v>
      </c>
      <c r="P415" s="4" t="s">
        <v>96</v>
      </c>
      <c r="Q415" s="4" t="s">
        <v>75</v>
      </c>
      <c r="R415" s="4" t="s">
        <v>61</v>
      </c>
      <c r="S415" s="4" t="s">
        <v>62</v>
      </c>
      <c r="T415" s="6" t="e">
        <v>#N/A</v>
      </c>
      <c r="U415" s="5">
        <v>62</v>
      </c>
      <c r="V415" s="5">
        <v>65</v>
      </c>
      <c r="W415" s="5">
        <v>66</v>
      </c>
      <c r="X415" s="5">
        <v>54</v>
      </c>
      <c r="Y415" s="5">
        <v>71.709999999999994</v>
      </c>
      <c r="Z415" s="5">
        <v>83.55</v>
      </c>
      <c r="AA415" s="5">
        <v>73.03</v>
      </c>
      <c r="AB415" s="5">
        <v>56.58</v>
      </c>
      <c r="AC415" s="6">
        <v>0.3</v>
      </c>
      <c r="AD415" s="6">
        <v>0.35</v>
      </c>
      <c r="AE415" s="6">
        <v>0.35</v>
      </c>
      <c r="AF415" s="4" t="s">
        <v>6296</v>
      </c>
      <c r="AG415" s="4" t="s">
        <v>6296</v>
      </c>
      <c r="AH415" s="4" t="s">
        <v>6296</v>
      </c>
      <c r="AI415" s="4" t="s">
        <v>37</v>
      </c>
      <c r="AJ415" s="4" t="s">
        <v>6296</v>
      </c>
      <c r="AK415" s="4" t="s">
        <v>37</v>
      </c>
      <c r="AL415" s="4" t="s">
        <v>37</v>
      </c>
      <c r="AM415" s="4" t="s">
        <v>42</v>
      </c>
      <c r="AN415" s="4" t="s">
        <v>6296</v>
      </c>
      <c r="AO415" s="4" t="s">
        <v>42</v>
      </c>
      <c r="AP415" s="4" t="s">
        <v>216</v>
      </c>
      <c r="AQ415" s="4" t="s">
        <v>47</v>
      </c>
    </row>
    <row r="416" spans="1:43" ht="12.6" customHeight="1" x14ac:dyDescent="0.25">
      <c r="A416" s="8" t="s">
        <v>274</v>
      </c>
      <c r="B416" s="9">
        <v>20151231</v>
      </c>
      <c r="C416" s="12">
        <f>_xll.FDS("SPX","FG_PRICE(12/30/2015)")</f>
        <v>2063.36</v>
      </c>
      <c r="D416" s="12">
        <f>_xll.FDS("SPX","FG_PRICE(12/30/2017)")</f>
        <v>2673.61</v>
      </c>
      <c r="E416" s="15">
        <f>D416/C416-1</f>
        <v>0.2957554668114144</v>
      </c>
      <c r="F416" s="8" t="s">
        <v>275</v>
      </c>
      <c r="G416" s="8" t="s">
        <v>276</v>
      </c>
      <c r="H416" s="13">
        <f>_xll.FDS(G416,"FG_PRICE(12/30/2015)")</f>
        <v>102.59</v>
      </c>
      <c r="I416" s="13">
        <f>_xll.FDS(G416,"FG_PRICE(12/31/2017)")</f>
        <v>128.25</v>
      </c>
      <c r="J416" s="13">
        <f>I416/H416-1</f>
        <v>0.2501218442343307</v>
      </c>
      <c r="K416" s="13">
        <f>J416-E416</f>
        <v>-4.5633622577083699E-2</v>
      </c>
      <c r="L416" s="13">
        <f>_xll.FDS(G416,"FF_ROE(ANN_R,12/30/2015)")</f>
        <v>5.7335378786051354</v>
      </c>
      <c r="M416" s="8" t="s">
        <v>277</v>
      </c>
      <c r="N416" s="4" t="s">
        <v>277</v>
      </c>
      <c r="O416" s="4" t="s">
        <v>278</v>
      </c>
      <c r="P416" s="4" t="s">
        <v>106</v>
      </c>
      <c r="Q416" s="4" t="s">
        <v>75</v>
      </c>
      <c r="R416" s="4" t="s">
        <v>61</v>
      </c>
      <c r="S416" s="4" t="s">
        <v>62</v>
      </c>
      <c r="T416" s="6" t="e">
        <v>#N/A</v>
      </c>
      <c r="U416" s="5">
        <v>46</v>
      </c>
      <c r="V416" s="5">
        <v>38</v>
      </c>
      <c r="W416" s="5">
        <v>53</v>
      </c>
      <c r="X416" s="5">
        <v>45</v>
      </c>
      <c r="Y416" s="6">
        <v>9.2100000000000009</v>
      </c>
      <c r="Z416" s="5">
        <v>13.16</v>
      </c>
      <c r="AA416" s="6">
        <v>4.6100000000000003</v>
      </c>
      <c r="AB416" s="5">
        <v>11.84</v>
      </c>
      <c r="AC416" s="6">
        <v>0.3</v>
      </c>
      <c r="AD416" s="6">
        <v>0.35</v>
      </c>
      <c r="AE416" s="6">
        <v>0.35</v>
      </c>
      <c r="AF416" s="4" t="s">
        <v>6296</v>
      </c>
      <c r="AG416" s="4" t="s">
        <v>6296</v>
      </c>
      <c r="AH416" s="4" t="s">
        <v>6296</v>
      </c>
      <c r="AI416" s="4" t="s">
        <v>6296</v>
      </c>
      <c r="AJ416" s="4" t="s">
        <v>6296</v>
      </c>
      <c r="AK416" s="4" t="s">
        <v>42</v>
      </c>
      <c r="AL416" s="4" t="s">
        <v>37</v>
      </c>
      <c r="AM416" s="4" t="s">
        <v>6296</v>
      </c>
      <c r="AN416" s="4" t="s">
        <v>6296</v>
      </c>
      <c r="AO416" s="4" t="s">
        <v>6296</v>
      </c>
      <c r="AP416" s="4" t="s">
        <v>279</v>
      </c>
      <c r="AQ416" s="4" t="s">
        <v>47</v>
      </c>
    </row>
    <row r="417" spans="1:43" ht="12.6" customHeight="1" x14ac:dyDescent="0.25">
      <c r="A417" s="8" t="s">
        <v>3174</v>
      </c>
      <c r="B417" s="9">
        <v>20151231</v>
      </c>
      <c r="C417" s="12">
        <f>_xll.FDS("SPX","FG_PRICE(12/30/2015)")</f>
        <v>2063.36</v>
      </c>
      <c r="D417" s="12">
        <f>_xll.FDS("SPX","FG_PRICE(12/30/2017)")</f>
        <v>2673.61</v>
      </c>
      <c r="E417" s="15">
        <f>D417/C417-1</f>
        <v>0.2957554668114144</v>
      </c>
      <c r="F417" s="8" t="s">
        <v>3175</v>
      </c>
      <c r="G417" s="8" t="s">
        <v>3176</v>
      </c>
      <c r="H417" s="13">
        <f>_xll.FDS(G417,"FG_PRICE(12/30/2015)")</f>
        <v>16.170000000000002</v>
      </c>
      <c r="I417" s="13">
        <f>_xll.FDS(G417,"FG_PRICE(12/31/2017)")</f>
        <v>25.73</v>
      </c>
      <c r="J417" s="13">
        <f>I417/H417-1</f>
        <v>0.59121830550401966</v>
      </c>
      <c r="K417" s="13">
        <f>J417-E417</f>
        <v>0.29546283869260526</v>
      </c>
      <c r="L417" s="13">
        <f>_xll.FDS(G417,"FF_ROE(ANN_R,12/30/2015)")</f>
        <v>9.7896423244904121</v>
      </c>
      <c r="M417" s="8" t="s">
        <v>3177</v>
      </c>
      <c r="N417" s="4" t="s">
        <v>3178</v>
      </c>
      <c r="O417" s="4" t="s">
        <v>3179</v>
      </c>
      <c r="P417" s="4" t="s">
        <v>96</v>
      </c>
      <c r="Q417" s="4" t="s">
        <v>75</v>
      </c>
      <c r="R417" s="4" t="s">
        <v>61</v>
      </c>
      <c r="S417" s="4" t="s">
        <v>62</v>
      </c>
      <c r="T417" s="6" t="e">
        <v>#N/A</v>
      </c>
      <c r="U417" s="5">
        <v>49</v>
      </c>
      <c r="V417" s="5">
        <v>38</v>
      </c>
      <c r="W417" s="5">
        <v>58</v>
      </c>
      <c r="X417" s="5">
        <v>50</v>
      </c>
      <c r="Y417" s="5">
        <v>20.39</v>
      </c>
      <c r="Z417" s="5">
        <v>13.16</v>
      </c>
      <c r="AA417" s="5">
        <v>23.68</v>
      </c>
      <c r="AB417" s="5">
        <v>37.5</v>
      </c>
      <c r="AC417" s="6">
        <v>0.3</v>
      </c>
      <c r="AD417" s="6">
        <v>0.35</v>
      </c>
      <c r="AE417" s="6">
        <v>0.35</v>
      </c>
      <c r="AF417" s="4" t="s">
        <v>6296</v>
      </c>
      <c r="AG417" s="4" t="s">
        <v>6296</v>
      </c>
      <c r="AH417" s="4" t="s">
        <v>6296</v>
      </c>
      <c r="AI417" s="4" t="s">
        <v>6296</v>
      </c>
      <c r="AJ417" s="4" t="s">
        <v>6296</v>
      </c>
      <c r="AK417" s="4" t="s">
        <v>6296</v>
      </c>
      <c r="AL417" s="4" t="s">
        <v>6296</v>
      </c>
      <c r="AM417" s="4" t="s">
        <v>6296</v>
      </c>
      <c r="AN417" s="4" t="s">
        <v>6296</v>
      </c>
      <c r="AO417" s="4" t="s">
        <v>6296</v>
      </c>
      <c r="AP417" s="4" t="s">
        <v>3180</v>
      </c>
      <c r="AQ417" s="4" t="s">
        <v>47</v>
      </c>
    </row>
    <row r="418" spans="1:43" ht="12.6" customHeight="1" x14ac:dyDescent="0.25">
      <c r="A418" s="8" t="s">
        <v>6310</v>
      </c>
      <c r="B418" s="9">
        <v>20151231</v>
      </c>
      <c r="C418" s="12">
        <f>_xll.FDS("SPX","FG_PRICE(12/30/2015)")</f>
        <v>2063.36</v>
      </c>
      <c r="D418" s="12">
        <f>_xll.FDS("SPX","FG_PRICE(12/30/2017)")</f>
        <v>2673.61</v>
      </c>
      <c r="E418" s="15">
        <f>D418/C418-1</f>
        <v>0.2957554668114144</v>
      </c>
      <c r="F418" s="8" t="s">
        <v>6311</v>
      </c>
      <c r="G418" s="8" t="s">
        <v>6312</v>
      </c>
      <c r="H418" s="13">
        <f>_xll.FDS(G418,"FG_PRICE(12/30/2015)")</f>
        <v>133.66999999999999</v>
      </c>
      <c r="I418" s="13" t="e">
        <f>_xll.FDS(G418,"FG_PRICE(12/31/2017)")</f>
        <v>#N/A</v>
      </c>
      <c r="J418" s="13" t="e">
        <f>I418/H418-1</f>
        <v>#N/A</v>
      </c>
      <c r="K418" s="13" t="e">
        <f>J418-E418</f>
        <v>#N/A</v>
      </c>
      <c r="L418" s="13">
        <f>_xll.FDS(G418,"FF_ROE(ANN_R,12/30/2015)")</f>
        <v>12.96576420831661</v>
      </c>
      <c r="M418" s="8" t="s">
        <v>6313</v>
      </c>
      <c r="N418" s="4" t="s">
        <v>3653</v>
      </c>
      <c r="O418" s="4" t="s">
        <v>5050</v>
      </c>
      <c r="P418" s="4" t="s">
        <v>96</v>
      </c>
      <c r="Q418" s="4" t="s">
        <v>75</v>
      </c>
      <c r="R418" s="4" t="s">
        <v>61</v>
      </c>
      <c r="S418" s="4" t="s">
        <v>62</v>
      </c>
      <c r="T418" s="6" t="e">
        <v>#N/A</v>
      </c>
      <c r="U418" s="5">
        <v>52</v>
      </c>
      <c r="V418" s="5">
        <v>51</v>
      </c>
      <c r="W418" s="5">
        <v>58</v>
      </c>
      <c r="X418" s="5">
        <v>47</v>
      </c>
      <c r="Y418" s="5">
        <v>38.159999999999997</v>
      </c>
      <c r="Z418" s="5">
        <v>63.16</v>
      </c>
      <c r="AA418" s="5">
        <v>23.68</v>
      </c>
      <c r="AB418" s="5">
        <v>17.11</v>
      </c>
      <c r="AC418" s="6">
        <v>0.3</v>
      </c>
      <c r="AD418" s="6">
        <v>0.35</v>
      </c>
      <c r="AE418" s="6">
        <v>0.35</v>
      </c>
      <c r="AF418" s="4" t="s">
        <v>6296</v>
      </c>
      <c r="AG418" s="4" t="s">
        <v>6296</v>
      </c>
      <c r="AH418" s="4" t="s">
        <v>6296</v>
      </c>
      <c r="AI418" s="4" t="s">
        <v>6296</v>
      </c>
      <c r="AJ418" s="4" t="s">
        <v>6296</v>
      </c>
      <c r="AK418" s="4" t="s">
        <v>6296</v>
      </c>
      <c r="AL418" s="4" t="s">
        <v>37</v>
      </c>
      <c r="AM418" s="4" t="s">
        <v>6296</v>
      </c>
      <c r="AN418" s="4" t="s">
        <v>42</v>
      </c>
      <c r="AO418" s="4" t="s">
        <v>6296</v>
      </c>
      <c r="AP418" s="4" t="s">
        <v>6314</v>
      </c>
      <c r="AQ418" s="4" t="s">
        <v>47</v>
      </c>
    </row>
    <row r="419" spans="1:43" ht="12.6" customHeight="1" x14ac:dyDescent="0.25">
      <c r="A419" s="8" t="s">
        <v>1011</v>
      </c>
      <c r="B419" s="9">
        <v>20151231</v>
      </c>
      <c r="C419" s="12">
        <f>_xll.FDS("SPX","FG_PRICE(12/30/2015)")</f>
        <v>2063.36</v>
      </c>
      <c r="D419" s="12">
        <f>_xll.FDS("SPX","FG_PRICE(12/30/2017)")</f>
        <v>2673.61</v>
      </c>
      <c r="E419" s="15">
        <f>D419/C419-1</f>
        <v>0.2957554668114144</v>
      </c>
      <c r="F419" s="8" t="s">
        <v>1012</v>
      </c>
      <c r="G419" s="8" t="s">
        <v>1013</v>
      </c>
      <c r="H419" s="13">
        <f>_xll.FDS(G419,"FG_PRICE(12/30/2015)")</f>
        <v>60.1</v>
      </c>
      <c r="I419" s="13">
        <f>_xll.FDS(G419,"FG_PRICE(12/31/2017)")</f>
        <v>74.97</v>
      </c>
      <c r="J419" s="13">
        <f>I419/H419-1</f>
        <v>0.24742096505823619</v>
      </c>
      <c r="K419" s="13">
        <f>J419-E419</f>
        <v>-4.8334501753178216E-2</v>
      </c>
      <c r="L419" s="13">
        <f>_xll.FDS(G419,"FF_ROE(ANN_R,12/30/2015)")</f>
        <v>8.3049909040575809</v>
      </c>
      <c r="M419" s="8" t="s">
        <v>1014</v>
      </c>
      <c r="N419" s="4" t="s">
        <v>1014</v>
      </c>
      <c r="O419" s="4" t="s">
        <v>1015</v>
      </c>
      <c r="P419" s="4" t="s">
        <v>106</v>
      </c>
      <c r="Q419" s="4" t="s">
        <v>75</v>
      </c>
      <c r="R419" s="4" t="s">
        <v>61</v>
      </c>
      <c r="S419" s="4" t="s">
        <v>62</v>
      </c>
      <c r="T419" s="6" t="e">
        <v>#N/A</v>
      </c>
      <c r="U419" s="5">
        <v>50</v>
      </c>
      <c r="V419" s="5">
        <v>45</v>
      </c>
      <c r="W419" s="5">
        <v>53</v>
      </c>
      <c r="X419" s="5">
        <v>51</v>
      </c>
      <c r="Y419" s="5">
        <v>25</v>
      </c>
      <c r="Z419" s="5">
        <v>46.05</v>
      </c>
      <c r="AA419" s="6">
        <v>4.6100000000000003</v>
      </c>
      <c r="AB419" s="5">
        <v>43.42</v>
      </c>
      <c r="AC419" s="6">
        <v>0.3</v>
      </c>
      <c r="AD419" s="6">
        <v>0.35</v>
      </c>
      <c r="AE419" s="6">
        <v>0.35</v>
      </c>
      <c r="AF419" s="4" t="s">
        <v>6296</v>
      </c>
      <c r="AG419" s="4" t="s">
        <v>6296</v>
      </c>
      <c r="AH419" s="4" t="s">
        <v>6296</v>
      </c>
      <c r="AI419" s="4" t="s">
        <v>6296</v>
      </c>
      <c r="AJ419" s="4" t="s">
        <v>6296</v>
      </c>
      <c r="AK419" s="4" t="s">
        <v>6296</v>
      </c>
      <c r="AL419" s="4" t="s">
        <v>6296</v>
      </c>
      <c r="AM419" s="4" t="s">
        <v>6296</v>
      </c>
      <c r="AN419" s="4" t="s">
        <v>6296</v>
      </c>
      <c r="AO419" s="4" t="s">
        <v>6296</v>
      </c>
      <c r="AP419" s="4" t="s">
        <v>1016</v>
      </c>
      <c r="AQ419" s="4" t="s">
        <v>47</v>
      </c>
    </row>
    <row r="420" spans="1:43" ht="12.6" customHeight="1" x14ac:dyDescent="0.25">
      <c r="A420" s="8" t="s">
        <v>1066</v>
      </c>
      <c r="B420" s="9">
        <v>20151231</v>
      </c>
      <c r="C420" s="12">
        <f>_xll.FDS("SPX","FG_PRICE(12/30/2015)")</f>
        <v>2063.36</v>
      </c>
      <c r="D420" s="12">
        <f>_xll.FDS("SPX","FG_PRICE(12/30/2017)")</f>
        <v>2673.61</v>
      </c>
      <c r="E420" s="15">
        <f>D420/C420-1</f>
        <v>0.2957554668114144</v>
      </c>
      <c r="F420" s="8" t="s">
        <v>1067</v>
      </c>
      <c r="G420" s="8" t="s">
        <v>1068</v>
      </c>
      <c r="H420" s="13">
        <f>_xll.FDS(G420,"FG_PRICE(12/30/2015)")</f>
        <v>35.590000000000003</v>
      </c>
      <c r="I420" s="13">
        <f>_xll.FDS(G420,"FG_PRICE(12/31/2017)")</f>
        <v>53.05</v>
      </c>
      <c r="J420" s="13">
        <f>I420/H420-1</f>
        <v>0.49058724360775474</v>
      </c>
      <c r="K420" s="13">
        <f>J420-E420</f>
        <v>0.19483177679634034</v>
      </c>
      <c r="L420" s="13">
        <f>_xll.FDS(G420,"FF_ROE(ANN_R,12/30/2015)")</f>
        <v>6.9731830853194081</v>
      </c>
      <c r="M420" s="8" t="s">
        <v>1069</v>
      </c>
      <c r="N420" s="4" t="s">
        <v>1069</v>
      </c>
      <c r="O420" s="4" t="s">
        <v>1070</v>
      </c>
      <c r="P420" s="4" t="s">
        <v>96</v>
      </c>
      <c r="Q420" s="4" t="s">
        <v>75</v>
      </c>
      <c r="R420" s="4" t="s">
        <v>61</v>
      </c>
      <c r="S420" s="4" t="s">
        <v>62</v>
      </c>
      <c r="T420" s="6" t="e">
        <v>#N/A</v>
      </c>
      <c r="U420" s="5">
        <v>47</v>
      </c>
      <c r="V420" s="5">
        <v>38</v>
      </c>
      <c r="W420" s="5">
        <v>57</v>
      </c>
      <c r="X420" s="5">
        <v>44</v>
      </c>
      <c r="Y420" s="5">
        <v>12.5</v>
      </c>
      <c r="Z420" s="5">
        <v>13.16</v>
      </c>
      <c r="AA420" s="5">
        <v>21.71</v>
      </c>
      <c r="AB420" s="6">
        <v>8.5500000000000007</v>
      </c>
      <c r="AC420" s="6">
        <v>0.3</v>
      </c>
      <c r="AD420" s="6">
        <v>0.35</v>
      </c>
      <c r="AE420" s="6">
        <v>0.35</v>
      </c>
      <c r="AF420" s="4" t="s">
        <v>6296</v>
      </c>
      <c r="AG420" s="4" t="s">
        <v>6296</v>
      </c>
      <c r="AH420" s="4" t="s">
        <v>6296</v>
      </c>
      <c r="AI420" s="4" t="s">
        <v>6296</v>
      </c>
      <c r="AJ420" s="4" t="s">
        <v>6296</v>
      </c>
      <c r="AK420" s="4" t="s">
        <v>6296</v>
      </c>
      <c r="AL420" s="4" t="s">
        <v>37</v>
      </c>
      <c r="AM420" s="4" t="s">
        <v>6296</v>
      </c>
      <c r="AN420" s="4" t="s">
        <v>6296</v>
      </c>
      <c r="AO420" s="4" t="s">
        <v>6296</v>
      </c>
      <c r="AP420" s="4" t="s">
        <v>1071</v>
      </c>
      <c r="AQ420" s="4" t="s">
        <v>47</v>
      </c>
    </row>
    <row r="421" spans="1:43" ht="12.6" customHeight="1" x14ac:dyDescent="0.25">
      <c r="A421" s="8" t="s">
        <v>1497</v>
      </c>
      <c r="B421" s="9">
        <v>20151231</v>
      </c>
      <c r="C421" s="12">
        <f>_xll.FDS("SPX","FG_PRICE(12/30/2015)")</f>
        <v>2063.36</v>
      </c>
      <c r="D421" s="12">
        <f>_xll.FDS("SPX","FG_PRICE(12/30/2017)")</f>
        <v>2673.61</v>
      </c>
      <c r="E421" s="15">
        <f>D421/C421-1</f>
        <v>0.2957554668114144</v>
      </c>
      <c r="F421" s="8" t="s">
        <v>1498</v>
      </c>
      <c r="G421" s="8" t="s">
        <v>1499</v>
      </c>
      <c r="H421" s="13">
        <f>_xll.FDS(G421,"FG_PRICE(12/30/2015)")</f>
        <v>97.89</v>
      </c>
      <c r="I421" s="13">
        <f>_xll.FDS(G421,"FG_PRICE(12/31/2017)")</f>
        <v>121.84</v>
      </c>
      <c r="J421" s="13">
        <f>I421/H421-1</f>
        <v>0.24466237613647968</v>
      </c>
      <c r="K421" s="13">
        <f>J421-E421</f>
        <v>-5.1093090674934727E-2</v>
      </c>
      <c r="L421" s="13">
        <f>_xll.FDS(G421,"FF_ROE(ANN_R,12/30/2015)")</f>
        <v>23.382045929018791</v>
      </c>
      <c r="M421" s="8" t="s">
        <v>1500</v>
      </c>
      <c r="N421" s="4" t="s">
        <v>1501</v>
      </c>
      <c r="O421" s="4" t="s">
        <v>1502</v>
      </c>
      <c r="P421" s="4" t="s">
        <v>106</v>
      </c>
      <c r="Q421" s="4" t="s">
        <v>75</v>
      </c>
      <c r="R421" s="4" t="s">
        <v>61</v>
      </c>
      <c r="S421" s="4" t="s">
        <v>62</v>
      </c>
      <c r="T421" s="6" t="e">
        <v>#N/A</v>
      </c>
      <c r="U421" s="5">
        <v>51</v>
      </c>
      <c r="V421" s="5">
        <v>41</v>
      </c>
      <c r="W421" s="5">
        <v>62</v>
      </c>
      <c r="X421" s="5">
        <v>50</v>
      </c>
      <c r="Y421" s="5">
        <v>32.24</v>
      </c>
      <c r="Z421" s="5">
        <v>30.26</v>
      </c>
      <c r="AA421" s="5">
        <v>53.29</v>
      </c>
      <c r="AB421" s="5">
        <v>37.5</v>
      </c>
      <c r="AC421" s="6">
        <v>0.3</v>
      </c>
      <c r="AD421" s="6">
        <v>0.35</v>
      </c>
      <c r="AE421" s="6">
        <v>0.35</v>
      </c>
      <c r="AF421" s="4" t="s">
        <v>6296</v>
      </c>
      <c r="AG421" s="4" t="s">
        <v>6296</v>
      </c>
      <c r="AH421" s="4" t="s">
        <v>6296</v>
      </c>
      <c r="AI421" s="4" t="s">
        <v>6296</v>
      </c>
      <c r="AJ421" s="4" t="s">
        <v>6296</v>
      </c>
      <c r="AK421" s="4" t="s">
        <v>37</v>
      </c>
      <c r="AL421" s="4" t="s">
        <v>6296</v>
      </c>
      <c r="AM421" s="4" t="s">
        <v>42</v>
      </c>
      <c r="AN421" s="4" t="s">
        <v>6296</v>
      </c>
      <c r="AO421" s="4" t="s">
        <v>6296</v>
      </c>
      <c r="AP421" s="4" t="s">
        <v>1503</v>
      </c>
      <c r="AQ421" s="4" t="s">
        <v>47</v>
      </c>
    </row>
    <row r="422" spans="1:43" ht="12.6" customHeight="1" x14ac:dyDescent="0.25">
      <c r="A422" s="8" t="s">
        <v>5938</v>
      </c>
      <c r="B422" s="9">
        <v>20151231</v>
      </c>
      <c r="C422" s="12">
        <f>_xll.FDS("SPX","FG_PRICE(12/30/2015)")</f>
        <v>2063.36</v>
      </c>
      <c r="D422" s="12">
        <f>_xll.FDS("SPX","FG_PRICE(12/30/2017)")</f>
        <v>2673.61</v>
      </c>
      <c r="E422" s="15">
        <f>D422/C422-1</f>
        <v>0.2957554668114144</v>
      </c>
      <c r="F422" s="8" t="s">
        <v>4489</v>
      </c>
      <c r="G422" s="8" t="s">
        <v>4490</v>
      </c>
      <c r="H422" s="13">
        <f>_xll.FDS(G422,"FG_PRICE(12/30/2015)")</f>
        <v>25.012459</v>
      </c>
      <c r="I422" s="13">
        <f>_xll.FDS(G422,"FG_PRICE(12/31/2017)")</f>
        <v>39.24</v>
      </c>
      <c r="J422" s="13">
        <f>I422/H422-1</f>
        <v>0.5688181637798988</v>
      </c>
      <c r="K422" s="13">
        <f>J422-E422</f>
        <v>0.2730626969684844</v>
      </c>
      <c r="L422" s="13">
        <f>_xll.FDS(G422,"FF_ROE(ANN_R,12/30/2015)")</f>
        <v>10.414030012655941</v>
      </c>
      <c r="M422" s="8" t="s">
        <v>4491</v>
      </c>
      <c r="N422" s="4" t="s">
        <v>5939</v>
      </c>
      <c r="O422" s="4" t="s">
        <v>5940</v>
      </c>
      <c r="P422" s="4" t="s">
        <v>96</v>
      </c>
      <c r="Q422" s="4" t="s">
        <v>75</v>
      </c>
      <c r="R422" s="4" t="s">
        <v>61</v>
      </c>
      <c r="S422" s="4" t="s">
        <v>62</v>
      </c>
      <c r="T422" s="6" t="e">
        <v>#N/A</v>
      </c>
      <c r="U422" s="5">
        <v>44</v>
      </c>
      <c r="V422" s="5">
        <v>30</v>
      </c>
      <c r="W422" s="5">
        <v>53</v>
      </c>
      <c r="X422" s="5">
        <v>46</v>
      </c>
      <c r="Y422" s="6">
        <v>1.32</v>
      </c>
      <c r="Z422" s="6">
        <v>0</v>
      </c>
      <c r="AA422" s="6">
        <v>4.6100000000000003</v>
      </c>
      <c r="AB422" s="5">
        <v>13.16</v>
      </c>
      <c r="AC422" s="6">
        <v>0.3</v>
      </c>
      <c r="AD422" s="6">
        <v>0.35</v>
      </c>
      <c r="AE422" s="6">
        <v>0.35</v>
      </c>
      <c r="AF422" s="4" t="s">
        <v>6296</v>
      </c>
      <c r="AG422" s="4" t="s">
        <v>6296</v>
      </c>
      <c r="AH422" s="4" t="s">
        <v>37</v>
      </c>
      <c r="AI422" s="4" t="s">
        <v>6296</v>
      </c>
      <c r="AJ422" s="4" t="s">
        <v>6296</v>
      </c>
      <c r="AK422" s="4" t="s">
        <v>42</v>
      </c>
      <c r="AL422" s="4" t="s">
        <v>6296</v>
      </c>
      <c r="AM422" s="4" t="s">
        <v>42</v>
      </c>
      <c r="AN422" s="4" t="s">
        <v>42</v>
      </c>
      <c r="AO422" s="4" t="s">
        <v>6296</v>
      </c>
      <c r="AP422" s="4" t="s">
        <v>5941</v>
      </c>
      <c r="AQ422" s="4" t="s">
        <v>47</v>
      </c>
    </row>
    <row r="423" spans="1:43" ht="12.6" customHeight="1" x14ac:dyDescent="0.25">
      <c r="A423" s="8" t="s">
        <v>4551</v>
      </c>
      <c r="B423" s="9">
        <v>20151231</v>
      </c>
      <c r="C423" s="12">
        <f>_xll.FDS("SPX","FG_PRICE(12/30/2015)")</f>
        <v>2063.36</v>
      </c>
      <c r="D423" s="12">
        <f>_xll.FDS("SPX","FG_PRICE(12/30/2017)")</f>
        <v>2673.61</v>
      </c>
      <c r="E423" s="15">
        <f>D423/C423-1</f>
        <v>0.2957554668114144</v>
      </c>
      <c r="F423" s="8" t="s">
        <v>4552</v>
      </c>
      <c r="G423" s="8" t="s">
        <v>4553</v>
      </c>
      <c r="H423" s="13">
        <f>_xll.FDS(G423,"FG_PRICE(12/30/2015)")</f>
        <v>3.75</v>
      </c>
      <c r="I423" s="13">
        <f>_xll.FDS(G423,"FG_PRICE(12/31/2017)")</f>
        <v>3.11</v>
      </c>
      <c r="J423" s="13">
        <f>I423/H423-1</f>
        <v>-0.17066666666666674</v>
      </c>
      <c r="K423" s="13">
        <f>J423-E423</f>
        <v>-0.46642213347808115</v>
      </c>
      <c r="L423" s="13">
        <f>_xll.FDS(G423,"FF_ROE(ANN_R,12/30/2015)")</f>
        <v>-8.486833128666941</v>
      </c>
      <c r="M423" s="8" t="s">
        <v>4554</v>
      </c>
      <c r="N423" s="4" t="s">
        <v>4555</v>
      </c>
      <c r="O423" s="4" t="s">
        <v>4556</v>
      </c>
      <c r="P423" s="4" t="s">
        <v>96</v>
      </c>
      <c r="Q423" s="4" t="s">
        <v>75</v>
      </c>
      <c r="R423" s="4" t="s">
        <v>61</v>
      </c>
      <c r="S423" s="4" t="s">
        <v>62</v>
      </c>
      <c r="T423" s="6" t="e">
        <v>#N/A</v>
      </c>
      <c r="U423" s="5">
        <v>52</v>
      </c>
      <c r="V423" s="5">
        <v>45</v>
      </c>
      <c r="W423" s="5">
        <v>60</v>
      </c>
      <c r="X423" s="5">
        <v>49</v>
      </c>
      <c r="Y423" s="5">
        <v>38.159999999999997</v>
      </c>
      <c r="Z423" s="5">
        <v>46.05</v>
      </c>
      <c r="AA423" s="5">
        <v>38.82</v>
      </c>
      <c r="AB423" s="5">
        <v>30.92</v>
      </c>
      <c r="AC423" s="6">
        <v>0.3</v>
      </c>
      <c r="AD423" s="6">
        <v>0.35</v>
      </c>
      <c r="AE423" s="6">
        <v>0.35</v>
      </c>
      <c r="AF423" s="4" t="s">
        <v>6296</v>
      </c>
      <c r="AG423" s="4" t="s">
        <v>6296</v>
      </c>
      <c r="AH423" s="4" t="s">
        <v>6296</v>
      </c>
      <c r="AI423" s="4" t="s">
        <v>6296</v>
      </c>
      <c r="AJ423" s="4" t="s">
        <v>6296</v>
      </c>
      <c r="AK423" s="4" t="s">
        <v>42</v>
      </c>
      <c r="AL423" s="4" t="s">
        <v>37</v>
      </c>
      <c r="AM423" s="4" t="s">
        <v>42</v>
      </c>
      <c r="AN423" s="4" t="s">
        <v>37</v>
      </c>
      <c r="AO423" s="4" t="s">
        <v>6296</v>
      </c>
      <c r="AP423" s="4" t="s">
        <v>4557</v>
      </c>
      <c r="AQ423" s="4" t="s">
        <v>47</v>
      </c>
    </row>
    <row r="424" spans="1:43" ht="12.6" customHeight="1" x14ac:dyDescent="0.25">
      <c r="A424" s="8" t="s">
        <v>2225</v>
      </c>
      <c r="B424" s="9">
        <v>20151231</v>
      </c>
      <c r="C424" s="12">
        <f>_xll.FDS("SPX","FG_PRICE(12/30/2015)")</f>
        <v>2063.36</v>
      </c>
      <c r="D424" s="12">
        <f>_xll.FDS("SPX","FG_PRICE(12/30/2017)")</f>
        <v>2673.61</v>
      </c>
      <c r="E424" s="15">
        <f>D424/C424-1</f>
        <v>0.2957554668114144</v>
      </c>
      <c r="F424" s="8" t="s">
        <v>2226</v>
      </c>
      <c r="G424" s="8" t="s">
        <v>2227</v>
      </c>
      <c r="H424" s="13">
        <f>_xll.FDS(G424,"FG_PRICE(12/30/2015)")</f>
        <v>43.84</v>
      </c>
      <c r="I424" s="13">
        <f>_xll.FDS(G424,"FG_PRICE(12/31/2017)")</f>
        <v>56.28</v>
      </c>
      <c r="J424" s="13">
        <f>I424/H424-1</f>
        <v>0.28375912408759119</v>
      </c>
      <c r="K424" s="13">
        <f>J424-E424</f>
        <v>-1.1996342723823217E-2</v>
      </c>
      <c r="L424" s="13">
        <f>_xll.FDS(G424,"FF_ROE(ANN_R,12/30/2015)")</f>
        <v>7.170764119601329</v>
      </c>
      <c r="M424" s="8" t="s">
        <v>2228</v>
      </c>
      <c r="N424" s="4" t="s">
        <v>2229</v>
      </c>
      <c r="O424" s="4" t="s">
        <v>2230</v>
      </c>
      <c r="P424" s="4" t="s">
        <v>96</v>
      </c>
      <c r="Q424" s="4" t="s">
        <v>75</v>
      </c>
      <c r="R424" s="4" t="s">
        <v>61</v>
      </c>
      <c r="S424" s="4" t="s">
        <v>62</v>
      </c>
      <c r="T424" s="6" t="e">
        <v>#N/A</v>
      </c>
      <c r="U424" s="5">
        <v>63</v>
      </c>
      <c r="V424" s="5">
        <v>72</v>
      </c>
      <c r="W424" s="5">
        <v>65</v>
      </c>
      <c r="X424" s="5">
        <v>53</v>
      </c>
      <c r="Y424" s="5">
        <v>73.680000000000007</v>
      </c>
      <c r="Z424" s="5">
        <v>90.79</v>
      </c>
      <c r="AA424" s="5">
        <v>69.08</v>
      </c>
      <c r="AB424" s="5">
        <v>52.63</v>
      </c>
      <c r="AC424" s="6">
        <v>0.3</v>
      </c>
      <c r="AD424" s="6">
        <v>0.35</v>
      </c>
      <c r="AE424" s="6">
        <v>0.35</v>
      </c>
      <c r="AF424" s="4" t="s">
        <v>6296</v>
      </c>
      <c r="AG424" s="4" t="s">
        <v>6296</v>
      </c>
      <c r="AH424" s="4" t="s">
        <v>6296</v>
      </c>
      <c r="AI424" s="4" t="s">
        <v>6296</v>
      </c>
      <c r="AJ424" s="4" t="s">
        <v>6296</v>
      </c>
      <c r="AK424" s="4" t="s">
        <v>42</v>
      </c>
      <c r="AL424" s="4" t="s">
        <v>42</v>
      </c>
      <c r="AM424" s="4" t="s">
        <v>37</v>
      </c>
      <c r="AN424" s="4" t="s">
        <v>6296</v>
      </c>
      <c r="AO424" s="4" t="s">
        <v>6296</v>
      </c>
      <c r="AP424" s="4" t="s">
        <v>2231</v>
      </c>
      <c r="AQ424" s="4" t="s">
        <v>47</v>
      </c>
    </row>
    <row r="425" spans="1:43" ht="12.6" customHeight="1" x14ac:dyDescent="0.25">
      <c r="A425" s="8" t="s">
        <v>5258</v>
      </c>
      <c r="B425" s="9">
        <v>20151231</v>
      </c>
      <c r="C425" s="12">
        <f>_xll.FDS("SPX","FG_PRICE(12/30/2015)")</f>
        <v>2063.36</v>
      </c>
      <c r="D425" s="12">
        <f>_xll.FDS("SPX","FG_PRICE(12/30/2017)")</f>
        <v>2673.61</v>
      </c>
      <c r="E425" s="15">
        <f>D425/C425-1</f>
        <v>0.2957554668114144</v>
      </c>
      <c r="F425" s="8" t="s">
        <v>5259</v>
      </c>
      <c r="G425" s="8" t="s">
        <v>5260</v>
      </c>
      <c r="H425" s="13">
        <f>_xll.FDS(G425,"FG_PRICE(12/30/2015)")</f>
        <v>38.020000000000003</v>
      </c>
      <c r="I425" s="13">
        <f>_xll.FDS(G425,"FG_PRICE(12/31/2017)")</f>
        <v>68.900000000000006</v>
      </c>
      <c r="J425" s="13">
        <f>I425/H425-1</f>
        <v>0.81220410310362956</v>
      </c>
      <c r="K425" s="13">
        <f>J425-E425</f>
        <v>0.51644863629221516</v>
      </c>
      <c r="L425" s="13">
        <f>_xll.FDS(G425,"FF_ROE(ANN_R,12/30/2015)")</f>
        <v>5.4125826855294292</v>
      </c>
      <c r="M425" s="8" t="s">
        <v>5261</v>
      </c>
      <c r="N425" s="4" t="s">
        <v>5261</v>
      </c>
      <c r="O425" s="4" t="s">
        <v>5262</v>
      </c>
      <c r="P425" s="4" t="s">
        <v>96</v>
      </c>
      <c r="Q425" s="4" t="s">
        <v>75</v>
      </c>
      <c r="R425" s="4" t="s">
        <v>61</v>
      </c>
      <c r="S425" s="4" t="s">
        <v>62</v>
      </c>
      <c r="T425" s="6" t="e">
        <v>#N/A</v>
      </c>
      <c r="U425" s="5">
        <v>51</v>
      </c>
      <c r="V425" s="5">
        <v>38</v>
      </c>
      <c r="W425" s="5">
        <v>62</v>
      </c>
      <c r="X425" s="5">
        <v>51</v>
      </c>
      <c r="Y425" s="5">
        <v>32.24</v>
      </c>
      <c r="Z425" s="5">
        <v>13.16</v>
      </c>
      <c r="AA425" s="5">
        <v>53.29</v>
      </c>
      <c r="AB425" s="5">
        <v>43.42</v>
      </c>
      <c r="AC425" s="6">
        <v>0.3</v>
      </c>
      <c r="AD425" s="6">
        <v>0.35</v>
      </c>
      <c r="AE425" s="6">
        <v>0.35</v>
      </c>
      <c r="AF425" s="4" t="s">
        <v>6296</v>
      </c>
      <c r="AG425" s="4" t="s">
        <v>6296</v>
      </c>
      <c r="AH425" s="4" t="s">
        <v>6296</v>
      </c>
      <c r="AI425" s="4" t="s">
        <v>6296</v>
      </c>
      <c r="AJ425" s="4" t="s">
        <v>6296</v>
      </c>
      <c r="AK425" s="4" t="s">
        <v>6296</v>
      </c>
      <c r="AL425" s="4" t="s">
        <v>6296</v>
      </c>
      <c r="AM425" s="4" t="s">
        <v>6296</v>
      </c>
      <c r="AN425" s="4" t="s">
        <v>6296</v>
      </c>
      <c r="AO425" s="4" t="s">
        <v>6296</v>
      </c>
      <c r="AP425" s="4" t="s">
        <v>5263</v>
      </c>
      <c r="AQ425" s="4" t="s">
        <v>47</v>
      </c>
    </row>
    <row r="426" spans="1:43" ht="12.6" customHeight="1" x14ac:dyDescent="0.25">
      <c r="A426" s="8" t="s">
        <v>2423</v>
      </c>
      <c r="B426" s="9">
        <v>20151231</v>
      </c>
      <c r="C426" s="12">
        <f>_xll.FDS("SPX","FG_PRICE(12/30/2015)")</f>
        <v>2063.36</v>
      </c>
      <c r="D426" s="12">
        <f>_xll.FDS("SPX","FG_PRICE(12/30/2017)")</f>
        <v>2673.61</v>
      </c>
      <c r="E426" s="15">
        <f>D426/C426-1</f>
        <v>0.2957554668114144</v>
      </c>
      <c r="F426" s="8" t="s">
        <v>2424</v>
      </c>
      <c r="G426" s="8" t="s">
        <v>2425</v>
      </c>
      <c r="H426" s="13">
        <f>_xll.FDS(G426,"FG_PRICE(12/30/2015)")</f>
        <v>50.83</v>
      </c>
      <c r="I426" s="13">
        <f>_xll.FDS(G426,"FG_PRICE(12/31/2017)")</f>
        <v>76.87</v>
      </c>
      <c r="J426" s="13">
        <f>I426/H426-1</f>
        <v>0.51229588825496775</v>
      </c>
      <c r="K426" s="13">
        <f>J426-E426</f>
        <v>0.21654042144355334</v>
      </c>
      <c r="L426" s="13">
        <f>_xll.FDS(G426,"FF_ROE(ANN_R,12/30/2015)")</f>
        <v>10.372704850644009</v>
      </c>
      <c r="M426" s="8" t="s">
        <v>2426</v>
      </c>
      <c r="N426" s="4" t="s">
        <v>2426</v>
      </c>
      <c r="O426" s="4" t="s">
        <v>2427</v>
      </c>
      <c r="P426" s="4" t="s">
        <v>96</v>
      </c>
      <c r="Q426" s="4" t="s">
        <v>75</v>
      </c>
      <c r="R426" s="4" t="s">
        <v>61</v>
      </c>
      <c r="S426" s="4" t="s">
        <v>62</v>
      </c>
      <c r="T426" s="6" t="e">
        <v>#N/A</v>
      </c>
      <c r="U426" s="5">
        <v>56</v>
      </c>
      <c r="V426" s="5">
        <v>54</v>
      </c>
      <c r="W426" s="5">
        <v>59</v>
      </c>
      <c r="X426" s="5">
        <v>56</v>
      </c>
      <c r="Y426" s="5">
        <v>64.47</v>
      </c>
      <c r="Z426" s="5">
        <v>67.11</v>
      </c>
      <c r="AA426" s="5">
        <v>34.869999999999997</v>
      </c>
      <c r="AB426" s="5">
        <v>63.82</v>
      </c>
      <c r="AC426" s="6">
        <v>0.3</v>
      </c>
      <c r="AD426" s="6">
        <v>0.35</v>
      </c>
      <c r="AE426" s="6">
        <v>0.35</v>
      </c>
      <c r="AF426" s="4" t="s">
        <v>6296</v>
      </c>
      <c r="AG426" s="4" t="s">
        <v>6296</v>
      </c>
      <c r="AH426" s="4" t="s">
        <v>6296</v>
      </c>
      <c r="AI426" s="4" t="s">
        <v>6296</v>
      </c>
      <c r="AJ426" s="4" t="s">
        <v>6296</v>
      </c>
      <c r="AK426" s="4" t="s">
        <v>42</v>
      </c>
      <c r="AL426" s="4" t="s">
        <v>37</v>
      </c>
      <c r="AM426" s="4" t="s">
        <v>42</v>
      </c>
      <c r="AN426" s="4" t="s">
        <v>6296</v>
      </c>
      <c r="AO426" s="4" t="s">
        <v>6296</v>
      </c>
      <c r="AP426" s="4" t="s">
        <v>2428</v>
      </c>
      <c r="AQ426" s="4" t="s">
        <v>47</v>
      </c>
    </row>
    <row r="427" spans="1:43" ht="12.6" customHeight="1" x14ac:dyDescent="0.25">
      <c r="A427" s="8" t="s">
        <v>2469</v>
      </c>
      <c r="B427" s="9">
        <v>20151231</v>
      </c>
      <c r="C427" s="12">
        <f>_xll.FDS("SPX","FG_PRICE(12/30/2015)")</f>
        <v>2063.36</v>
      </c>
      <c r="D427" s="12">
        <f>_xll.FDS("SPX","FG_PRICE(12/30/2017)")</f>
        <v>2673.61</v>
      </c>
      <c r="E427" s="15">
        <f>D427/C427-1</f>
        <v>0.2957554668114144</v>
      </c>
      <c r="F427" s="8" t="s">
        <v>2470</v>
      </c>
      <c r="G427" s="8" t="s">
        <v>2471</v>
      </c>
      <c r="H427" s="13">
        <f>_xll.FDS(G427,"FG_PRICE(12/30/2015)")</f>
        <v>38.51</v>
      </c>
      <c r="I427" s="13">
        <f>_xll.FDS(G427,"FG_PRICE(12/31/2017)")</f>
        <v>50.03</v>
      </c>
      <c r="J427" s="13">
        <f>I427/H427-1</f>
        <v>0.29914307971955356</v>
      </c>
      <c r="K427" s="13">
        <f>J427-E427</f>
        <v>3.3876129081391593E-3</v>
      </c>
      <c r="L427" s="13">
        <f>_xll.FDS(G427,"FF_ROE(ANN_R,12/30/2015)")</f>
        <v>5.0699571480200323</v>
      </c>
      <c r="M427" s="8" t="s">
        <v>2472</v>
      </c>
      <c r="N427" s="4" t="s">
        <v>2472</v>
      </c>
      <c r="O427" s="4" t="s">
        <v>2462</v>
      </c>
      <c r="P427" s="4" t="s">
        <v>96</v>
      </c>
      <c r="Q427" s="4" t="s">
        <v>75</v>
      </c>
      <c r="R427" s="4" t="s">
        <v>61</v>
      </c>
      <c r="S427" s="4" t="s">
        <v>62</v>
      </c>
      <c r="T427" s="6" t="e">
        <v>#N/A</v>
      </c>
      <c r="U427" s="5">
        <v>46</v>
      </c>
      <c r="V427" s="5">
        <v>33</v>
      </c>
      <c r="W427" s="5">
        <v>56</v>
      </c>
      <c r="X427" s="5">
        <v>47</v>
      </c>
      <c r="Y427" s="6">
        <v>9.2100000000000009</v>
      </c>
      <c r="Z427" s="6">
        <v>0.66</v>
      </c>
      <c r="AA427" s="5">
        <v>14.47</v>
      </c>
      <c r="AB427" s="5">
        <v>17.11</v>
      </c>
      <c r="AC427" s="6">
        <v>0.3</v>
      </c>
      <c r="AD427" s="6">
        <v>0.35</v>
      </c>
      <c r="AE427" s="6">
        <v>0.35</v>
      </c>
      <c r="AF427" s="4" t="s">
        <v>6296</v>
      </c>
      <c r="AG427" s="4" t="s">
        <v>6296</v>
      </c>
      <c r="AH427" s="4" t="s">
        <v>6296</v>
      </c>
      <c r="AI427" s="4" t="s">
        <v>6296</v>
      </c>
      <c r="AJ427" s="4" t="s">
        <v>6296</v>
      </c>
      <c r="AK427" s="4" t="s">
        <v>6296</v>
      </c>
      <c r="AL427" s="4" t="s">
        <v>37</v>
      </c>
      <c r="AM427" s="4" t="s">
        <v>6296</v>
      </c>
      <c r="AN427" s="4" t="s">
        <v>6296</v>
      </c>
      <c r="AO427" s="4" t="s">
        <v>6296</v>
      </c>
      <c r="AP427" s="4" t="s">
        <v>2473</v>
      </c>
      <c r="AQ427" s="4" t="s">
        <v>47</v>
      </c>
    </row>
    <row r="428" spans="1:43" ht="12.6" customHeight="1" x14ac:dyDescent="0.25">
      <c r="A428" s="8" t="s">
        <v>2518</v>
      </c>
      <c r="B428" s="9">
        <v>20151231</v>
      </c>
      <c r="C428" s="12">
        <f>_xll.FDS("SPX","FG_PRICE(12/30/2015)")</f>
        <v>2063.36</v>
      </c>
      <c r="D428" s="12">
        <f>_xll.FDS("SPX","FG_PRICE(12/30/2017)")</f>
        <v>2673.61</v>
      </c>
      <c r="E428" s="15">
        <f>D428/C428-1</f>
        <v>0.2957554668114144</v>
      </c>
      <c r="F428" s="8" t="s">
        <v>2519</v>
      </c>
      <c r="G428" s="8" t="s">
        <v>2520</v>
      </c>
      <c r="H428" s="13">
        <f>_xll.FDS(G428,"FG_PRICE(12/30/2015)")</f>
        <v>6.47</v>
      </c>
      <c r="I428" s="13">
        <f>_xll.FDS(G428,"FG_PRICE(12/31/2017)")</f>
        <v>7.32</v>
      </c>
      <c r="J428" s="13">
        <f>I428/H428-1</f>
        <v>0.13137557959814528</v>
      </c>
      <c r="K428" s="13">
        <f>J428-E428</f>
        <v>-0.16437988721326913</v>
      </c>
      <c r="L428" s="13">
        <f>_xll.FDS(G428,"FF_ROE(ANN_R,12/30/2015)")</f>
        <v>15.34619120299709</v>
      </c>
      <c r="M428" s="8" t="s">
        <v>2521</v>
      </c>
      <c r="N428" s="4" t="s">
        <v>2521</v>
      </c>
      <c r="O428" s="4" t="s">
        <v>2522</v>
      </c>
      <c r="P428" s="4" t="s">
        <v>96</v>
      </c>
      <c r="Q428" s="4" t="s">
        <v>75</v>
      </c>
      <c r="R428" s="4" t="s">
        <v>61</v>
      </c>
      <c r="S428" s="4" t="s">
        <v>62</v>
      </c>
      <c r="T428" s="6" t="e">
        <v>#N/A</v>
      </c>
      <c r="U428" s="5">
        <v>52</v>
      </c>
      <c r="V428" s="5">
        <v>38</v>
      </c>
      <c r="W428" s="5">
        <v>61</v>
      </c>
      <c r="X428" s="5">
        <v>53</v>
      </c>
      <c r="Y428" s="5">
        <v>38.159999999999997</v>
      </c>
      <c r="Z428" s="5">
        <v>13.16</v>
      </c>
      <c r="AA428" s="5">
        <v>42.76</v>
      </c>
      <c r="AB428" s="5">
        <v>52.63</v>
      </c>
      <c r="AC428" s="6">
        <v>0.3</v>
      </c>
      <c r="AD428" s="6">
        <v>0.35</v>
      </c>
      <c r="AE428" s="6">
        <v>0.35</v>
      </c>
      <c r="AF428" s="4" t="s">
        <v>6296</v>
      </c>
      <c r="AG428" s="4" t="s">
        <v>6296</v>
      </c>
      <c r="AH428" s="4" t="s">
        <v>6296</v>
      </c>
      <c r="AI428" s="4" t="s">
        <v>6296</v>
      </c>
      <c r="AJ428" s="4" t="s">
        <v>6296</v>
      </c>
      <c r="AK428" s="4" t="s">
        <v>6296</v>
      </c>
      <c r="AL428" s="4" t="s">
        <v>6296</v>
      </c>
      <c r="AM428" s="4" t="s">
        <v>37</v>
      </c>
      <c r="AN428" s="4" t="s">
        <v>6296</v>
      </c>
      <c r="AO428" s="4" t="s">
        <v>6296</v>
      </c>
      <c r="AP428" s="4" t="s">
        <v>2523</v>
      </c>
      <c r="AQ428" s="4" t="s">
        <v>47</v>
      </c>
    </row>
    <row r="429" spans="1:43" ht="12.6" customHeight="1" x14ac:dyDescent="0.25">
      <c r="A429" s="8" t="s">
        <v>2677</v>
      </c>
      <c r="B429" s="9">
        <v>20151231</v>
      </c>
      <c r="C429" s="12">
        <f>_xll.FDS("SPX","FG_PRICE(12/30/2015)")</f>
        <v>2063.36</v>
      </c>
      <c r="D429" s="12">
        <f>_xll.FDS("SPX","FG_PRICE(12/30/2017)")</f>
        <v>2673.61</v>
      </c>
      <c r="E429" s="15">
        <f>D429/C429-1</f>
        <v>0.2957554668114144</v>
      </c>
      <c r="F429" s="8" t="s">
        <v>2678</v>
      </c>
      <c r="G429" s="8" t="s">
        <v>2679</v>
      </c>
      <c r="H429" s="13">
        <f>_xll.FDS(G429,"FG_PRICE(12/30/2015)")</f>
        <v>47.31</v>
      </c>
      <c r="I429" s="13">
        <f>_xll.FDS(G429,"FG_PRICE(12/31/2017)")</f>
        <v>53.44</v>
      </c>
      <c r="J429" s="13">
        <f>I429/H429-1</f>
        <v>0.12957091523990694</v>
      </c>
      <c r="K429" s="13">
        <f>J429-E429</f>
        <v>-0.16618455157150747</v>
      </c>
      <c r="L429" s="13">
        <f>_xll.FDS(G429,"FF_ROE(ANN_R,12/30/2015)")</f>
        <v>9.6242440369374034</v>
      </c>
      <c r="M429" s="8" t="s">
        <v>2680</v>
      </c>
      <c r="N429" s="4" t="s">
        <v>2680</v>
      </c>
      <c r="O429" s="4" t="s">
        <v>2681</v>
      </c>
      <c r="P429" s="4" t="s">
        <v>96</v>
      </c>
      <c r="Q429" s="4" t="s">
        <v>75</v>
      </c>
      <c r="R429" s="4" t="s">
        <v>61</v>
      </c>
      <c r="S429" s="4" t="s">
        <v>62</v>
      </c>
      <c r="T429" s="6" t="e">
        <v>#N/A</v>
      </c>
      <c r="U429" s="5">
        <v>48</v>
      </c>
      <c r="V429" s="5">
        <v>39</v>
      </c>
      <c r="W429" s="5">
        <v>61</v>
      </c>
      <c r="X429" s="5">
        <v>41</v>
      </c>
      <c r="Y429" s="5">
        <v>17.11</v>
      </c>
      <c r="Z429" s="5">
        <v>23.03</v>
      </c>
      <c r="AA429" s="5">
        <v>42.76</v>
      </c>
      <c r="AB429" s="6">
        <v>1.97</v>
      </c>
      <c r="AC429" s="6">
        <v>0.3</v>
      </c>
      <c r="AD429" s="6">
        <v>0.35</v>
      </c>
      <c r="AE429" s="6">
        <v>0.35</v>
      </c>
      <c r="AF429" s="4" t="s">
        <v>6296</v>
      </c>
      <c r="AG429" s="4" t="s">
        <v>6296</v>
      </c>
      <c r="AH429" s="4" t="s">
        <v>6296</v>
      </c>
      <c r="AI429" s="4" t="s">
        <v>6296</v>
      </c>
      <c r="AJ429" s="4" t="s">
        <v>6296</v>
      </c>
      <c r="AK429" s="4" t="s">
        <v>6296</v>
      </c>
      <c r="AL429" s="4" t="s">
        <v>6296</v>
      </c>
      <c r="AM429" s="4" t="s">
        <v>37</v>
      </c>
      <c r="AN429" s="4" t="s">
        <v>6296</v>
      </c>
      <c r="AO429" s="4" t="s">
        <v>6296</v>
      </c>
      <c r="AP429" s="4" t="s">
        <v>2682</v>
      </c>
      <c r="AQ429" s="4" t="s">
        <v>47</v>
      </c>
    </row>
    <row r="430" spans="1:43" ht="12.6" customHeight="1" x14ac:dyDescent="0.25">
      <c r="A430" s="8" t="s">
        <v>2650</v>
      </c>
      <c r="B430" s="9">
        <v>20151231</v>
      </c>
      <c r="C430" s="12">
        <f>_xll.FDS("SPX","FG_PRICE(12/30/2015)")</f>
        <v>2063.36</v>
      </c>
      <c r="D430" s="12">
        <f>_xll.FDS("SPX","FG_PRICE(12/30/2017)")</f>
        <v>2673.61</v>
      </c>
      <c r="E430" s="15">
        <f>D430/C430-1</f>
        <v>0.2957554668114144</v>
      </c>
      <c r="F430" s="8" t="s">
        <v>2651</v>
      </c>
      <c r="G430" s="8" t="s">
        <v>2652</v>
      </c>
      <c r="H430" s="13">
        <f>_xll.FDS(G430,"FG_PRICE(12/30/2015)")</f>
        <v>43.425536999999998</v>
      </c>
      <c r="I430" s="13">
        <f>_xll.FDS(G430,"FG_PRICE(12/31/2017)")</f>
        <v>50.56</v>
      </c>
      <c r="J430" s="13">
        <f>I430/H430-1</f>
        <v>0.16429187738081397</v>
      </c>
      <c r="K430" s="13">
        <f>J430-E430</f>
        <v>-0.13146358943060044</v>
      </c>
      <c r="L430" s="13">
        <f>_xll.FDS(G430,"FF_ROE(ANN_R,12/30/2015)")</f>
        <v>9.4486774546053329</v>
      </c>
      <c r="M430" s="8" t="s">
        <v>2653</v>
      </c>
      <c r="N430" s="4" t="s">
        <v>2654</v>
      </c>
      <c r="O430" s="4" t="s">
        <v>2655</v>
      </c>
      <c r="P430" s="4" t="s">
        <v>96</v>
      </c>
      <c r="Q430" s="4" t="s">
        <v>75</v>
      </c>
      <c r="R430" s="4" t="s">
        <v>61</v>
      </c>
      <c r="S430" s="4" t="s">
        <v>62</v>
      </c>
      <c r="T430" s="6" t="e">
        <v>#N/A</v>
      </c>
      <c r="U430" s="5">
        <v>55</v>
      </c>
      <c r="V430" s="5">
        <v>47</v>
      </c>
      <c r="W430" s="5">
        <v>62</v>
      </c>
      <c r="X430" s="5">
        <v>55</v>
      </c>
      <c r="Y430" s="5">
        <v>58.55</v>
      </c>
      <c r="Z430" s="5">
        <v>50.66</v>
      </c>
      <c r="AA430" s="5">
        <v>53.29</v>
      </c>
      <c r="AB430" s="5">
        <v>60.53</v>
      </c>
      <c r="AC430" s="6">
        <v>0.3</v>
      </c>
      <c r="AD430" s="6">
        <v>0.35</v>
      </c>
      <c r="AE430" s="6">
        <v>0.35</v>
      </c>
      <c r="AF430" s="4" t="s">
        <v>6296</v>
      </c>
      <c r="AG430" s="4" t="s">
        <v>6296</v>
      </c>
      <c r="AH430" s="4" t="s">
        <v>6296</v>
      </c>
      <c r="AI430" s="4" t="s">
        <v>37</v>
      </c>
      <c r="AJ430" s="4" t="s">
        <v>6296</v>
      </c>
      <c r="AK430" s="4" t="s">
        <v>37</v>
      </c>
      <c r="AL430" s="4" t="s">
        <v>37</v>
      </c>
      <c r="AM430" s="4" t="s">
        <v>42</v>
      </c>
      <c r="AN430" s="4" t="s">
        <v>6296</v>
      </c>
      <c r="AO430" s="4" t="s">
        <v>6296</v>
      </c>
      <c r="AP430" s="4" t="s">
        <v>2656</v>
      </c>
      <c r="AQ430" s="4" t="s">
        <v>47</v>
      </c>
    </row>
    <row r="431" spans="1:43" ht="12.6" customHeight="1" x14ac:dyDescent="0.25">
      <c r="A431" s="8" t="s">
        <v>2584</v>
      </c>
      <c r="B431" s="9">
        <v>20151231</v>
      </c>
      <c r="C431" s="12">
        <f>_xll.FDS("SPX","FG_PRICE(12/30/2015)")</f>
        <v>2063.36</v>
      </c>
      <c r="D431" s="12">
        <f>_xll.FDS("SPX","FG_PRICE(12/30/2017)")</f>
        <v>2673.61</v>
      </c>
      <c r="E431" s="15">
        <f>D431/C431-1</f>
        <v>0.2957554668114144</v>
      </c>
      <c r="F431" s="8" t="s">
        <v>2585</v>
      </c>
      <c r="G431" s="8" t="s">
        <v>2586</v>
      </c>
      <c r="H431" s="13">
        <f>_xll.FDS(G431,"FG_PRICE(12/30/2015)")</f>
        <v>890.21</v>
      </c>
      <c r="I431" s="13">
        <f>_xll.FDS(G431,"FG_PRICE(12/31/2017)")</f>
        <v>1139.1300000000001</v>
      </c>
      <c r="J431" s="13">
        <f>I431/H431-1</f>
        <v>0.2796194156434999</v>
      </c>
      <c r="K431" s="13">
        <f>J431-E431</f>
        <v>-1.61360511679145E-2</v>
      </c>
      <c r="L431" s="13">
        <f>_xll.FDS(G431,"FF_ROE(ANN_R,12/30/2015)")</f>
        <v>4.3872628981746011</v>
      </c>
      <c r="M431" s="8" t="s">
        <v>2587</v>
      </c>
      <c r="N431" s="4" t="s">
        <v>2587</v>
      </c>
      <c r="O431" s="4" t="s">
        <v>2588</v>
      </c>
      <c r="P431" s="4" t="s">
        <v>96</v>
      </c>
      <c r="Q431" s="4" t="s">
        <v>75</v>
      </c>
      <c r="R431" s="4" t="s">
        <v>61</v>
      </c>
      <c r="S431" s="4" t="s">
        <v>62</v>
      </c>
      <c r="T431" s="6" t="e">
        <v>#N/A</v>
      </c>
      <c r="U431" s="5">
        <v>51</v>
      </c>
      <c r="V431" s="5">
        <v>43</v>
      </c>
      <c r="W431" s="5">
        <v>58</v>
      </c>
      <c r="X431" s="5">
        <v>51</v>
      </c>
      <c r="Y431" s="5">
        <v>32.24</v>
      </c>
      <c r="Z431" s="5">
        <v>38.82</v>
      </c>
      <c r="AA431" s="5">
        <v>23.68</v>
      </c>
      <c r="AB431" s="5">
        <v>43.42</v>
      </c>
      <c r="AC431" s="6">
        <v>0.3</v>
      </c>
      <c r="AD431" s="6">
        <v>0.35</v>
      </c>
      <c r="AE431" s="6">
        <v>0.35</v>
      </c>
      <c r="AF431" s="4" t="s">
        <v>6296</v>
      </c>
      <c r="AG431" s="4" t="s">
        <v>6296</v>
      </c>
      <c r="AH431" s="4" t="s">
        <v>6296</v>
      </c>
      <c r="AI431" s="4" t="s">
        <v>6296</v>
      </c>
      <c r="AJ431" s="4" t="s">
        <v>6296</v>
      </c>
      <c r="AK431" s="4" t="s">
        <v>37</v>
      </c>
      <c r="AL431" s="4" t="s">
        <v>6296</v>
      </c>
      <c r="AM431" s="4" t="s">
        <v>6296</v>
      </c>
      <c r="AN431" s="4" t="s">
        <v>6296</v>
      </c>
      <c r="AO431" s="4" t="s">
        <v>6296</v>
      </c>
      <c r="AP431" s="4" t="s">
        <v>2589</v>
      </c>
      <c r="AQ431" s="4" t="s">
        <v>47</v>
      </c>
    </row>
    <row r="432" spans="1:43" ht="12.6" customHeight="1" x14ac:dyDescent="0.25">
      <c r="A432" s="8" t="s">
        <v>2610</v>
      </c>
      <c r="B432" s="9">
        <v>20151231</v>
      </c>
      <c r="C432" s="12">
        <f>_xll.FDS("SPX","FG_PRICE(12/30/2015)")</f>
        <v>2063.36</v>
      </c>
      <c r="D432" s="12">
        <f>_xll.FDS("SPX","FG_PRICE(12/30/2017)")</f>
        <v>2673.61</v>
      </c>
      <c r="E432" s="15">
        <f>D432/C432-1</f>
        <v>0.2957554668114144</v>
      </c>
      <c r="F432" s="8" t="s">
        <v>2611</v>
      </c>
      <c r="G432" s="8" t="s">
        <v>2612</v>
      </c>
      <c r="H432" s="13">
        <f>_xll.FDS(G432,"FG_PRICE(12/30/2015)")</f>
        <v>56.1</v>
      </c>
      <c r="I432" s="13">
        <f>_xll.FDS(G432,"FG_PRICE(12/31/2017)")</f>
        <v>81.39</v>
      </c>
      <c r="J432" s="13">
        <f>I432/H432-1</f>
        <v>0.45080213903743305</v>
      </c>
      <c r="K432" s="13">
        <f>J432-E432</f>
        <v>0.15504667222601864</v>
      </c>
      <c r="L432" s="13">
        <f>_xll.FDS(G432,"FF_ROE(ANN_R,12/30/2015)")</f>
        <v>19.239253960826261</v>
      </c>
      <c r="M432" s="8" t="s">
        <v>2613</v>
      </c>
      <c r="N432" s="4" t="s">
        <v>2614</v>
      </c>
      <c r="O432" s="4" t="s">
        <v>2615</v>
      </c>
      <c r="P432" s="4" t="s">
        <v>96</v>
      </c>
      <c r="Q432" s="4" t="s">
        <v>75</v>
      </c>
      <c r="R432" s="4" t="s">
        <v>61</v>
      </c>
      <c r="S432" s="4" t="s">
        <v>62</v>
      </c>
      <c r="T432" s="6" t="e">
        <v>#N/A</v>
      </c>
      <c r="U432" s="5">
        <v>56</v>
      </c>
      <c r="V432" s="5">
        <v>49</v>
      </c>
      <c r="W432" s="5">
        <v>58</v>
      </c>
      <c r="X432" s="5">
        <v>60</v>
      </c>
      <c r="Y432" s="5">
        <v>64.47</v>
      </c>
      <c r="Z432" s="5">
        <v>57.89</v>
      </c>
      <c r="AA432" s="5">
        <v>23.68</v>
      </c>
      <c r="AB432" s="5">
        <v>75</v>
      </c>
      <c r="AC432" s="6">
        <v>0.3</v>
      </c>
      <c r="AD432" s="6">
        <v>0.35</v>
      </c>
      <c r="AE432" s="6">
        <v>0.35</v>
      </c>
      <c r="AF432" s="4" t="s">
        <v>6296</v>
      </c>
      <c r="AG432" s="4" t="s">
        <v>6296</v>
      </c>
      <c r="AH432" s="4" t="s">
        <v>6296</v>
      </c>
      <c r="AI432" s="4" t="s">
        <v>6296</v>
      </c>
      <c r="AJ432" s="4" t="s">
        <v>6296</v>
      </c>
      <c r="AK432" s="4" t="s">
        <v>37</v>
      </c>
      <c r="AL432" s="4" t="s">
        <v>6296</v>
      </c>
      <c r="AM432" s="4" t="s">
        <v>6296</v>
      </c>
      <c r="AN432" s="4" t="s">
        <v>6296</v>
      </c>
      <c r="AO432" s="4" t="s">
        <v>6296</v>
      </c>
      <c r="AP432" s="4" t="s">
        <v>2616</v>
      </c>
      <c r="AQ432" s="4" t="s">
        <v>47</v>
      </c>
    </row>
    <row r="433" spans="1:43" ht="12.6" customHeight="1" x14ac:dyDescent="0.25">
      <c r="A433" s="8" t="s">
        <v>3016</v>
      </c>
      <c r="B433" s="9">
        <v>20151231</v>
      </c>
      <c r="C433" s="12">
        <f>_xll.FDS("SPX","FG_PRICE(12/30/2015)")</f>
        <v>2063.36</v>
      </c>
      <c r="D433" s="12">
        <f>_xll.FDS("SPX","FG_PRICE(12/30/2017)")</f>
        <v>2673.61</v>
      </c>
      <c r="E433" s="15">
        <f>D433/C433-1</f>
        <v>0.2957554668114144</v>
      </c>
      <c r="F433" s="8" t="s">
        <v>3017</v>
      </c>
      <c r="G433" s="8" t="s">
        <v>3018</v>
      </c>
      <c r="H433" s="13">
        <f>_xll.FDS(G433,"FG_PRICE(12/30/2015)")</f>
        <v>18.96</v>
      </c>
      <c r="I433" s="13">
        <f>_xll.FDS(G433,"FG_PRICE(12/31/2017)")</f>
        <v>21.38</v>
      </c>
      <c r="J433" s="13">
        <f>I433/H433-1</f>
        <v>0.1276371308016877</v>
      </c>
      <c r="K433" s="13">
        <f>J433-E433</f>
        <v>-0.1681183360097267</v>
      </c>
      <c r="L433" s="13">
        <f>_xll.FDS(G433,"FF_ROE(ANN_R,12/30/2015)")</f>
        <v>10.643217124746711</v>
      </c>
      <c r="M433" s="8" t="s">
        <v>3019</v>
      </c>
      <c r="N433" s="4" t="s">
        <v>3019</v>
      </c>
      <c r="O433" s="4" t="s">
        <v>3020</v>
      </c>
      <c r="P433" s="4" t="s">
        <v>96</v>
      </c>
      <c r="Q433" s="4" t="s">
        <v>75</v>
      </c>
      <c r="R433" s="4" t="s">
        <v>61</v>
      </c>
      <c r="S433" s="4" t="s">
        <v>62</v>
      </c>
      <c r="T433" s="6" t="e">
        <v>#N/A</v>
      </c>
      <c r="U433" s="5">
        <v>45</v>
      </c>
      <c r="V433" s="5">
        <v>33</v>
      </c>
      <c r="W433" s="5">
        <v>51</v>
      </c>
      <c r="X433" s="5">
        <v>49</v>
      </c>
      <c r="Y433" s="6">
        <v>3.29</v>
      </c>
      <c r="Z433" s="6">
        <v>0.66</v>
      </c>
      <c r="AA433" s="6">
        <v>2.63</v>
      </c>
      <c r="AB433" s="5">
        <v>30.92</v>
      </c>
      <c r="AC433" s="6">
        <v>0.3</v>
      </c>
      <c r="AD433" s="6">
        <v>0.35</v>
      </c>
      <c r="AE433" s="6">
        <v>0.35</v>
      </c>
      <c r="AF433" s="4" t="s">
        <v>6296</v>
      </c>
      <c r="AG433" s="4" t="s">
        <v>6296</v>
      </c>
      <c r="AH433" s="4" t="s">
        <v>6296</v>
      </c>
      <c r="AI433" s="4" t="s">
        <v>6296</v>
      </c>
      <c r="AJ433" s="4" t="s">
        <v>6296</v>
      </c>
      <c r="AK433" s="4" t="s">
        <v>42</v>
      </c>
      <c r="AL433" s="4" t="s">
        <v>6296</v>
      </c>
      <c r="AM433" s="4" t="s">
        <v>42</v>
      </c>
      <c r="AN433" s="4" t="s">
        <v>6296</v>
      </c>
      <c r="AO433" s="4" t="s">
        <v>6296</v>
      </c>
      <c r="AP433" s="4" t="s">
        <v>3021</v>
      </c>
      <c r="AQ433" s="4" t="s">
        <v>47</v>
      </c>
    </row>
    <row r="434" spans="1:43" ht="12.6" customHeight="1" x14ac:dyDescent="0.25">
      <c r="A434" s="8" t="s">
        <v>3620</v>
      </c>
      <c r="B434" s="9">
        <v>20151231</v>
      </c>
      <c r="C434" s="12">
        <f>_xll.FDS("SPX","FG_PRICE(12/30/2015)")</f>
        <v>2063.36</v>
      </c>
      <c r="D434" s="12">
        <f>_xll.FDS("SPX","FG_PRICE(12/30/2017)")</f>
        <v>2673.61</v>
      </c>
      <c r="E434" s="15">
        <f>D434/C434-1</f>
        <v>0.2957554668114144</v>
      </c>
      <c r="F434" s="8" t="s">
        <v>3621</v>
      </c>
      <c r="G434" s="8" t="s">
        <v>3622</v>
      </c>
      <c r="H434" s="13">
        <f>_xll.FDS(G434,"FG_PRICE(12/30/2015)")</f>
        <v>45.47</v>
      </c>
      <c r="I434" s="13">
        <f>_xll.FDS(G434,"FG_PRICE(12/31/2017)")</f>
        <v>70.56</v>
      </c>
      <c r="J434" s="13">
        <f>I434/H434-1</f>
        <v>0.55179239058720042</v>
      </c>
      <c r="K434" s="13">
        <f>J434-E434</f>
        <v>0.25603692377578602</v>
      </c>
      <c r="L434" s="13">
        <f>_xll.FDS(G434,"FF_ROE(ANN_R,12/30/2015)")</f>
        <v>11.318589504836879</v>
      </c>
      <c r="M434" s="8" t="s">
        <v>3623</v>
      </c>
      <c r="N434" s="4" t="s">
        <v>3624</v>
      </c>
      <c r="O434" s="4" t="s">
        <v>3625</v>
      </c>
      <c r="P434" s="4" t="s">
        <v>96</v>
      </c>
      <c r="Q434" s="4" t="s">
        <v>75</v>
      </c>
      <c r="R434" s="4" t="s">
        <v>61</v>
      </c>
      <c r="S434" s="4" t="s">
        <v>62</v>
      </c>
      <c r="T434" s="6" t="e">
        <v>#N/A</v>
      </c>
      <c r="U434" s="5">
        <v>63</v>
      </c>
      <c r="V434" s="5">
        <v>58</v>
      </c>
      <c r="W434" s="5">
        <v>63</v>
      </c>
      <c r="X434" s="5">
        <v>68</v>
      </c>
      <c r="Y434" s="5">
        <v>73.680000000000007</v>
      </c>
      <c r="Z434" s="5">
        <v>71.709999999999994</v>
      </c>
      <c r="AA434" s="5">
        <v>57.24</v>
      </c>
      <c r="AB434" s="5">
        <v>82.89</v>
      </c>
      <c r="AC434" s="6">
        <v>0.3</v>
      </c>
      <c r="AD434" s="6">
        <v>0.35</v>
      </c>
      <c r="AE434" s="6">
        <v>0.35</v>
      </c>
      <c r="AF434" s="4" t="s">
        <v>6296</v>
      </c>
      <c r="AG434" s="4" t="s">
        <v>6296</v>
      </c>
      <c r="AH434" s="4" t="s">
        <v>37</v>
      </c>
      <c r="AI434" s="4" t="s">
        <v>6296</v>
      </c>
      <c r="AJ434" s="4" t="s">
        <v>6296</v>
      </c>
      <c r="AK434" s="4" t="s">
        <v>6296</v>
      </c>
      <c r="AL434" s="4" t="s">
        <v>37</v>
      </c>
      <c r="AM434" s="4" t="s">
        <v>6296</v>
      </c>
      <c r="AN434" s="4" t="s">
        <v>6296</v>
      </c>
      <c r="AO434" s="4" t="s">
        <v>6296</v>
      </c>
      <c r="AP434" s="4" t="s">
        <v>3626</v>
      </c>
      <c r="AQ434" s="4" t="s">
        <v>47</v>
      </c>
    </row>
    <row r="435" spans="1:43" ht="12.6" customHeight="1" x14ac:dyDescent="0.25">
      <c r="A435" s="8" t="s">
        <v>3250</v>
      </c>
      <c r="B435" s="9">
        <v>20151231</v>
      </c>
      <c r="C435" s="12">
        <f>_xll.FDS("SPX","FG_PRICE(12/30/2015)")</f>
        <v>2063.36</v>
      </c>
      <c r="D435" s="12">
        <f>_xll.FDS("SPX","FG_PRICE(12/30/2017)")</f>
        <v>2673.61</v>
      </c>
      <c r="E435" s="15">
        <f>D435/C435-1</f>
        <v>0.2957554668114144</v>
      </c>
      <c r="F435" s="8" t="s">
        <v>3251</v>
      </c>
      <c r="G435" s="8" t="s">
        <v>3252</v>
      </c>
      <c r="H435" s="13">
        <f>_xll.FDS(G435,"FG_PRICE(12/30/2015)")</f>
        <v>32.32</v>
      </c>
      <c r="I435" s="13">
        <f>_xll.FDS(G435,"FG_PRICE(12/31/2017)")</f>
        <v>56.32</v>
      </c>
      <c r="J435" s="13">
        <f>I435/H435-1</f>
        <v>0.74257425742574257</v>
      </c>
      <c r="K435" s="13">
        <f>J435-E435</f>
        <v>0.44681879061432817</v>
      </c>
      <c r="L435" s="13">
        <f>_xll.FDS(G435,"FF_ROE(ANN_R,12/30/2015)")</f>
        <v>19.530267340544739</v>
      </c>
      <c r="M435" s="8" t="s">
        <v>3253</v>
      </c>
      <c r="N435" s="4" t="s">
        <v>3254</v>
      </c>
      <c r="O435" s="4" t="s">
        <v>3255</v>
      </c>
      <c r="P435" s="4" t="s">
        <v>96</v>
      </c>
      <c r="Q435" s="4" t="s">
        <v>75</v>
      </c>
      <c r="R435" s="4" t="s">
        <v>61</v>
      </c>
      <c r="S435" s="4" t="s">
        <v>62</v>
      </c>
      <c r="T435" s="6" t="e">
        <v>#N/A</v>
      </c>
      <c r="U435" s="5">
        <v>49</v>
      </c>
      <c r="V435" s="5">
        <v>35</v>
      </c>
      <c r="W435" s="5">
        <v>55</v>
      </c>
      <c r="X435" s="5">
        <v>54</v>
      </c>
      <c r="Y435" s="5">
        <v>20.39</v>
      </c>
      <c r="Z435" s="5">
        <v>10.53</v>
      </c>
      <c r="AA435" s="5">
        <v>13.16</v>
      </c>
      <c r="AB435" s="5">
        <v>56.58</v>
      </c>
      <c r="AC435" s="6">
        <v>0.3</v>
      </c>
      <c r="AD435" s="6">
        <v>0.35</v>
      </c>
      <c r="AE435" s="6">
        <v>0.35</v>
      </c>
      <c r="AF435" s="4" t="s">
        <v>6296</v>
      </c>
      <c r="AG435" s="4" t="s">
        <v>6296</v>
      </c>
      <c r="AH435" s="4" t="s">
        <v>6296</v>
      </c>
      <c r="AI435" s="4" t="s">
        <v>42</v>
      </c>
      <c r="AJ435" s="4" t="s">
        <v>6296</v>
      </c>
      <c r="AK435" s="4" t="s">
        <v>37</v>
      </c>
      <c r="AL435" s="4" t="s">
        <v>37</v>
      </c>
      <c r="AM435" s="4" t="s">
        <v>6296</v>
      </c>
      <c r="AN435" s="4" t="s">
        <v>6296</v>
      </c>
      <c r="AO435" s="4" t="s">
        <v>6296</v>
      </c>
      <c r="AP435" s="4" t="s">
        <v>3256</v>
      </c>
      <c r="AQ435" s="4" t="s">
        <v>47</v>
      </c>
    </row>
    <row r="436" spans="1:43" ht="12.6" customHeight="1" x14ac:dyDescent="0.25">
      <c r="A436" s="8" t="s">
        <v>3693</v>
      </c>
      <c r="B436" s="9">
        <v>20151231</v>
      </c>
      <c r="C436" s="12">
        <f>_xll.FDS("SPX","FG_PRICE(12/30/2015)")</f>
        <v>2063.36</v>
      </c>
      <c r="D436" s="12">
        <f>_xll.FDS("SPX","FG_PRICE(12/30/2017)")</f>
        <v>2673.61</v>
      </c>
      <c r="E436" s="15">
        <f>D436/C436-1</f>
        <v>0.2957554668114144</v>
      </c>
      <c r="F436" s="8" t="s">
        <v>3694</v>
      </c>
      <c r="G436" s="8" t="s">
        <v>3695</v>
      </c>
      <c r="H436" s="13">
        <f>_xll.FDS(G436,"FG_PRICE(12/30/2015)")</f>
        <v>82.17</v>
      </c>
      <c r="I436" s="13">
        <f>_xll.FDS(G436,"FG_PRICE(12/31/2017)")</f>
        <v>114.98</v>
      </c>
      <c r="J436" s="13">
        <f>I436/H436-1</f>
        <v>0.39929414628209803</v>
      </c>
      <c r="K436" s="13">
        <f>J436-E436</f>
        <v>0.10353867947068363</v>
      </c>
      <c r="L436" s="13">
        <f>_xll.FDS(G436,"FF_ROE(ANN_R,12/30/2015)")</f>
        <v>3.5172879244107569</v>
      </c>
      <c r="M436" s="8" t="s">
        <v>3696</v>
      </c>
      <c r="N436" s="4" t="s">
        <v>3697</v>
      </c>
      <c r="O436" s="4" t="s">
        <v>87</v>
      </c>
      <c r="P436" s="4" t="s">
        <v>96</v>
      </c>
      <c r="Q436" s="4" t="s">
        <v>75</v>
      </c>
      <c r="R436" s="4" t="s">
        <v>61</v>
      </c>
      <c r="S436" s="4" t="s">
        <v>62</v>
      </c>
      <c r="T436" s="6" t="e">
        <v>#N/A</v>
      </c>
      <c r="U436" s="5">
        <v>65</v>
      </c>
      <c r="V436" s="5">
        <v>64</v>
      </c>
      <c r="W436" s="5">
        <v>70</v>
      </c>
      <c r="X436" s="5">
        <v>60</v>
      </c>
      <c r="Y436" s="5">
        <v>78.290000000000006</v>
      </c>
      <c r="Z436" s="5">
        <v>80.260000000000005</v>
      </c>
      <c r="AA436" s="5">
        <v>82.24</v>
      </c>
      <c r="AB436" s="5">
        <v>75</v>
      </c>
      <c r="AC436" s="6">
        <v>0.3</v>
      </c>
      <c r="AD436" s="6">
        <v>0.35</v>
      </c>
      <c r="AE436" s="6">
        <v>0.35</v>
      </c>
      <c r="AF436" s="4" t="s">
        <v>6296</v>
      </c>
      <c r="AG436" s="4" t="s">
        <v>6296</v>
      </c>
      <c r="AH436" s="4" t="s">
        <v>6296</v>
      </c>
      <c r="AI436" s="4" t="s">
        <v>6296</v>
      </c>
      <c r="AJ436" s="4" t="s">
        <v>6296</v>
      </c>
      <c r="AK436" s="4" t="s">
        <v>37</v>
      </c>
      <c r="AL436" s="4" t="s">
        <v>37</v>
      </c>
      <c r="AM436" s="4" t="s">
        <v>6296</v>
      </c>
      <c r="AN436" s="4" t="s">
        <v>42</v>
      </c>
      <c r="AO436" s="4" t="s">
        <v>6296</v>
      </c>
      <c r="AP436" s="4" t="s">
        <v>3698</v>
      </c>
      <c r="AQ436" s="4" t="s">
        <v>47</v>
      </c>
    </row>
    <row r="437" spans="1:43" ht="12.6" customHeight="1" x14ac:dyDescent="0.25">
      <c r="A437" s="8" t="s">
        <v>3376</v>
      </c>
      <c r="B437" s="9">
        <v>20151231</v>
      </c>
      <c r="C437" s="12">
        <f>_xll.FDS("SPX","FG_PRICE(12/30/2015)")</f>
        <v>2063.36</v>
      </c>
      <c r="D437" s="12">
        <f>_xll.FDS("SPX","FG_PRICE(12/30/2017)")</f>
        <v>2673.61</v>
      </c>
      <c r="E437" s="15">
        <f>D437/C437-1</f>
        <v>0.2957554668114144</v>
      </c>
      <c r="F437" s="8" t="s">
        <v>3377</v>
      </c>
      <c r="G437" s="8" t="s">
        <v>3378</v>
      </c>
      <c r="H437" s="13">
        <f>_xll.FDS(G437,"FG_PRICE(12/30/2015)")</f>
        <v>86.91</v>
      </c>
      <c r="I437" s="13">
        <f>_xll.FDS(G437,"FG_PRICE(12/31/2017)")</f>
        <v>155.93</v>
      </c>
      <c r="J437" s="13">
        <f>I437/H437-1</f>
        <v>0.79415487285697872</v>
      </c>
      <c r="K437" s="13">
        <f>J437-E437</f>
        <v>0.49839940604556432</v>
      </c>
      <c r="L437" s="13">
        <f>_xll.FDS(G437,"FF_ROE(ANN_R,12/30/2015)")</f>
        <v>10.55711256264865</v>
      </c>
      <c r="M437" s="8" t="s">
        <v>3379</v>
      </c>
      <c r="N437" s="4" t="s">
        <v>3380</v>
      </c>
      <c r="O437" s="4" t="s">
        <v>3381</v>
      </c>
      <c r="P437" s="4" t="s">
        <v>96</v>
      </c>
      <c r="Q437" s="4" t="s">
        <v>75</v>
      </c>
      <c r="R437" s="4" t="s">
        <v>61</v>
      </c>
      <c r="S437" s="4" t="s">
        <v>62</v>
      </c>
      <c r="T437" s="6" t="e">
        <v>#N/A</v>
      </c>
      <c r="U437" s="5">
        <v>53</v>
      </c>
      <c r="V437" s="5">
        <v>39</v>
      </c>
      <c r="W437" s="5">
        <v>61</v>
      </c>
      <c r="X437" s="5">
        <v>57</v>
      </c>
      <c r="Y437" s="5">
        <v>47.37</v>
      </c>
      <c r="Z437" s="5">
        <v>23.03</v>
      </c>
      <c r="AA437" s="5">
        <v>42.76</v>
      </c>
      <c r="AB437" s="5">
        <v>69.08</v>
      </c>
      <c r="AC437" s="6">
        <v>0.3</v>
      </c>
      <c r="AD437" s="6">
        <v>0.35</v>
      </c>
      <c r="AE437" s="6">
        <v>0.35</v>
      </c>
      <c r="AF437" s="4" t="s">
        <v>6296</v>
      </c>
      <c r="AG437" s="4" t="s">
        <v>6296</v>
      </c>
      <c r="AH437" s="4" t="s">
        <v>6296</v>
      </c>
      <c r="AI437" s="4" t="s">
        <v>6296</v>
      </c>
      <c r="AJ437" s="4" t="s">
        <v>6296</v>
      </c>
      <c r="AK437" s="4" t="s">
        <v>6296</v>
      </c>
      <c r="AL437" s="4" t="s">
        <v>6296</v>
      </c>
      <c r="AM437" s="4" t="s">
        <v>6296</v>
      </c>
      <c r="AN437" s="4" t="s">
        <v>6296</v>
      </c>
      <c r="AO437" s="4" t="s">
        <v>6296</v>
      </c>
      <c r="AP437" s="4" t="s">
        <v>3382</v>
      </c>
      <c r="AQ437" s="4" t="s">
        <v>47</v>
      </c>
    </row>
    <row r="438" spans="1:43" ht="12.6" customHeight="1" x14ac:dyDescent="0.25">
      <c r="A438" s="8" t="s">
        <v>1842</v>
      </c>
      <c r="B438" s="9">
        <v>20151231</v>
      </c>
      <c r="C438" s="12">
        <f>_xll.FDS("SPX","FG_PRICE(12/30/2015)")</f>
        <v>2063.36</v>
      </c>
      <c r="D438" s="12">
        <f>_xll.FDS("SPX","FG_PRICE(12/30/2017)")</f>
        <v>2673.61</v>
      </c>
      <c r="E438" s="15">
        <f>D438/C438-1</f>
        <v>0.2957554668114144</v>
      </c>
      <c r="F438" s="8" t="s">
        <v>1843</v>
      </c>
      <c r="G438" s="8" t="s">
        <v>1844</v>
      </c>
      <c r="H438" s="13">
        <f>_xll.FDS(G438,"FG_PRICE(12/30/2015)")</f>
        <v>114.14</v>
      </c>
      <c r="I438" s="13" t="e">
        <f>_xll.FDS(G438,"FG_PRICE(12/31/2017)")</f>
        <v>#N/A</v>
      </c>
      <c r="J438" s="13" t="e">
        <f>I438/H438-1</f>
        <v>#N/A</v>
      </c>
      <c r="K438" s="13" t="e">
        <f>J438-E438</f>
        <v>#N/A</v>
      </c>
      <c r="L438" s="13">
        <f>_xll.FDS(G438,"FF_ROE(ANN_R,12/30/2015)")</f>
        <v>10.14197844887388</v>
      </c>
      <c r="M438" s="8" t="s">
        <v>1845</v>
      </c>
      <c r="N438" s="4" t="s">
        <v>1846</v>
      </c>
      <c r="O438" s="4" t="s">
        <v>47</v>
      </c>
      <c r="P438" s="4" t="s">
        <v>96</v>
      </c>
      <c r="Q438" s="4" t="s">
        <v>75</v>
      </c>
      <c r="R438" s="4" t="s">
        <v>61</v>
      </c>
      <c r="S438" s="4" t="s">
        <v>62</v>
      </c>
      <c r="T438" s="6" t="e">
        <v>#N/A</v>
      </c>
      <c r="U438" s="5">
        <v>51</v>
      </c>
      <c r="V438" s="5">
        <v>41</v>
      </c>
      <c r="W438" s="5">
        <v>61</v>
      </c>
      <c r="X438" s="5">
        <v>51</v>
      </c>
      <c r="Y438" s="5">
        <v>32.24</v>
      </c>
      <c r="Z438" s="5">
        <v>30.26</v>
      </c>
      <c r="AA438" s="5">
        <v>42.76</v>
      </c>
      <c r="AB438" s="5">
        <v>43.42</v>
      </c>
      <c r="AC438" s="6">
        <v>0.3</v>
      </c>
      <c r="AD438" s="6">
        <v>0.35</v>
      </c>
      <c r="AE438" s="6">
        <v>0.35</v>
      </c>
      <c r="AF438" s="4" t="s">
        <v>6296</v>
      </c>
      <c r="AG438" s="4" t="s">
        <v>6296</v>
      </c>
      <c r="AH438" s="4" t="s">
        <v>6296</v>
      </c>
      <c r="AI438" s="4" t="s">
        <v>6296</v>
      </c>
      <c r="AJ438" s="4" t="s">
        <v>6296</v>
      </c>
      <c r="AK438" s="4" t="s">
        <v>6296</v>
      </c>
      <c r="AL438" s="4" t="s">
        <v>42</v>
      </c>
      <c r="AM438" s="4" t="s">
        <v>6296</v>
      </c>
      <c r="AN438" s="4" t="s">
        <v>6296</v>
      </c>
      <c r="AO438" s="4" t="s">
        <v>6296</v>
      </c>
      <c r="AP438" s="4" t="s">
        <v>1847</v>
      </c>
      <c r="AQ438" s="4" t="s">
        <v>47</v>
      </c>
    </row>
    <row r="439" spans="1:43" ht="12.6" customHeight="1" x14ac:dyDescent="0.25">
      <c r="A439" s="8" t="s">
        <v>217</v>
      </c>
      <c r="B439" s="9">
        <v>20151231</v>
      </c>
      <c r="C439" s="12">
        <f>_xll.FDS("SPX","FG_PRICE(12/30/2015)")</f>
        <v>2063.36</v>
      </c>
      <c r="D439" s="12">
        <f>_xll.FDS("SPX","FG_PRICE(12/30/2017)")</f>
        <v>2673.61</v>
      </c>
      <c r="E439" s="15">
        <f>D439/C439-1</f>
        <v>0.2957554668114144</v>
      </c>
      <c r="F439" s="8" t="s">
        <v>218</v>
      </c>
      <c r="G439" s="8" t="s">
        <v>219</v>
      </c>
      <c r="H439" s="13">
        <f>_xll.FDS(G439,"FG_PRICE(12/30/2015)")</f>
        <v>82.78</v>
      </c>
      <c r="I439" s="13">
        <f>_xll.FDS(G439,"FG_PRICE(12/31/2017)")</f>
        <v>108.08</v>
      </c>
      <c r="J439" s="13">
        <f>I439/H439-1</f>
        <v>0.30562937907707166</v>
      </c>
      <c r="K439" s="13">
        <f>J439-E439</f>
        <v>9.8739122656572587E-3</v>
      </c>
      <c r="L439" s="13">
        <f>_xll.FDS(G439,"FF_ROE(ANN_R,12/30/2015)")</f>
        <v>10.381539027305321</v>
      </c>
      <c r="M439" s="8" t="s">
        <v>220</v>
      </c>
      <c r="N439" s="4" t="s">
        <v>221</v>
      </c>
      <c r="O439" s="4" t="s">
        <v>222</v>
      </c>
      <c r="P439" s="4" t="s">
        <v>96</v>
      </c>
      <c r="Q439" s="4" t="s">
        <v>75</v>
      </c>
      <c r="R439" s="4" t="s">
        <v>61</v>
      </c>
      <c r="S439" s="4" t="s">
        <v>62</v>
      </c>
      <c r="T439" s="6" t="e">
        <v>#N/A</v>
      </c>
      <c r="U439" s="5">
        <v>55</v>
      </c>
      <c r="V439" s="5">
        <v>42</v>
      </c>
      <c r="W439" s="5">
        <v>61</v>
      </c>
      <c r="X439" s="5">
        <v>58</v>
      </c>
      <c r="Y439" s="5">
        <v>58.55</v>
      </c>
      <c r="Z439" s="5">
        <v>34.21</v>
      </c>
      <c r="AA439" s="5">
        <v>42.76</v>
      </c>
      <c r="AB439" s="5">
        <v>71.05</v>
      </c>
      <c r="AC439" s="6">
        <v>0.3</v>
      </c>
      <c r="AD439" s="6">
        <v>0.35</v>
      </c>
      <c r="AE439" s="6">
        <v>0.35</v>
      </c>
      <c r="AF439" s="4" t="s">
        <v>6296</v>
      </c>
      <c r="AG439" s="4" t="s">
        <v>6296</v>
      </c>
      <c r="AH439" s="4" t="s">
        <v>6296</v>
      </c>
      <c r="AI439" s="4" t="s">
        <v>6296</v>
      </c>
      <c r="AJ439" s="4" t="s">
        <v>6296</v>
      </c>
      <c r="AK439" s="4" t="s">
        <v>6296</v>
      </c>
      <c r="AL439" s="4" t="s">
        <v>6296</v>
      </c>
      <c r="AM439" s="4" t="s">
        <v>6296</v>
      </c>
      <c r="AN439" s="4" t="s">
        <v>6296</v>
      </c>
      <c r="AO439" s="4" t="s">
        <v>6296</v>
      </c>
      <c r="AP439" s="4" t="s">
        <v>223</v>
      </c>
      <c r="AQ439" s="4" t="s">
        <v>47</v>
      </c>
    </row>
    <row r="440" spans="1:43" ht="12.6" customHeight="1" x14ac:dyDescent="0.25">
      <c r="A440" s="8" t="s">
        <v>4064</v>
      </c>
      <c r="B440" s="9">
        <v>20151231</v>
      </c>
      <c r="C440" s="12">
        <f>_xll.FDS("SPX","FG_PRICE(12/30/2015)")</f>
        <v>2063.36</v>
      </c>
      <c r="D440" s="12">
        <f>_xll.FDS("SPX","FG_PRICE(12/30/2017)")</f>
        <v>2673.61</v>
      </c>
      <c r="E440" s="15">
        <f>D440/C440-1</f>
        <v>0.2957554668114144</v>
      </c>
      <c r="F440" s="8" t="s">
        <v>4065</v>
      </c>
      <c r="G440" s="8" t="s">
        <v>4066</v>
      </c>
      <c r="H440" s="13">
        <f>_xll.FDS(G440,"FG_PRICE(12/30/2015)")</f>
        <v>57.59</v>
      </c>
      <c r="I440" s="13">
        <f>_xll.FDS(G440,"FG_PRICE(12/31/2017)")</f>
        <v>90.71</v>
      </c>
      <c r="J440" s="13">
        <f>I440/H440-1</f>
        <v>0.57509984372286826</v>
      </c>
      <c r="K440" s="13">
        <f>J440-E440</f>
        <v>0.27934437691145386</v>
      </c>
      <c r="L440" s="13">
        <f>_xll.FDS(G440,"FF_ROE(ANN_R,12/30/2015)")</f>
        <v>12.46367630703929</v>
      </c>
      <c r="M440" s="8" t="s">
        <v>4067</v>
      </c>
      <c r="N440" s="4" t="s">
        <v>4067</v>
      </c>
      <c r="O440" s="4" t="s">
        <v>4068</v>
      </c>
      <c r="P440" s="4" t="s">
        <v>96</v>
      </c>
      <c r="Q440" s="4" t="s">
        <v>75</v>
      </c>
      <c r="R440" s="4" t="s">
        <v>61</v>
      </c>
      <c r="S440" s="4" t="s">
        <v>62</v>
      </c>
      <c r="T440" s="6" t="e">
        <v>#N/A</v>
      </c>
      <c r="U440" s="5">
        <v>47</v>
      </c>
      <c r="V440" s="5">
        <v>33</v>
      </c>
      <c r="W440" s="5">
        <v>56</v>
      </c>
      <c r="X440" s="5">
        <v>49</v>
      </c>
      <c r="Y440" s="5">
        <v>12.5</v>
      </c>
      <c r="Z440" s="6">
        <v>0.66</v>
      </c>
      <c r="AA440" s="5">
        <v>14.47</v>
      </c>
      <c r="AB440" s="5">
        <v>30.92</v>
      </c>
      <c r="AC440" s="6">
        <v>0.3</v>
      </c>
      <c r="AD440" s="6">
        <v>0.35</v>
      </c>
      <c r="AE440" s="6">
        <v>0.35</v>
      </c>
      <c r="AF440" s="4" t="s">
        <v>6296</v>
      </c>
      <c r="AG440" s="4" t="s">
        <v>6296</v>
      </c>
      <c r="AH440" s="4" t="s">
        <v>6296</v>
      </c>
      <c r="AI440" s="4" t="s">
        <v>6296</v>
      </c>
      <c r="AJ440" s="4" t="s">
        <v>6296</v>
      </c>
      <c r="AK440" s="4" t="s">
        <v>42</v>
      </c>
      <c r="AL440" s="4" t="s">
        <v>6296</v>
      </c>
      <c r="AM440" s="4" t="s">
        <v>6296</v>
      </c>
      <c r="AN440" s="4" t="s">
        <v>6296</v>
      </c>
      <c r="AO440" s="4" t="s">
        <v>6296</v>
      </c>
      <c r="AP440" s="4" t="s">
        <v>4069</v>
      </c>
      <c r="AQ440" s="4" t="s">
        <v>47</v>
      </c>
    </row>
    <row r="441" spans="1:43" ht="12.6" customHeight="1" x14ac:dyDescent="0.25">
      <c r="A441" s="8" t="s">
        <v>3527</v>
      </c>
      <c r="B441" s="9">
        <v>20151231</v>
      </c>
      <c r="C441" s="12">
        <f>_xll.FDS("SPX","FG_PRICE(12/30/2015)")</f>
        <v>2063.36</v>
      </c>
      <c r="D441" s="12">
        <f>_xll.FDS("SPX","FG_PRICE(12/30/2017)")</f>
        <v>2673.61</v>
      </c>
      <c r="E441" s="15">
        <f>D441/C441-1</f>
        <v>0.2957554668114144</v>
      </c>
      <c r="F441" s="8" t="s">
        <v>3528</v>
      </c>
      <c r="G441" s="8" t="s">
        <v>3529</v>
      </c>
      <c r="H441" s="13">
        <f>_xll.FDS(G441,"FG_PRICE(12/30/2015)")</f>
        <v>114.29</v>
      </c>
      <c r="I441" s="13">
        <f>_xll.FDS(G441,"FG_PRICE(12/31/2017)")</f>
        <v>135.63999999999999</v>
      </c>
      <c r="J441" s="13">
        <f>I441/H441-1</f>
        <v>0.18680549479394504</v>
      </c>
      <c r="K441" s="13">
        <f>J441-E441</f>
        <v>-0.10894997201746937</v>
      </c>
      <c r="L441" s="13">
        <f>_xll.FDS(G441,"FF_ROE(ANN_R,12/30/2015)")</f>
        <v>14.76869761444229</v>
      </c>
      <c r="M441" s="8" t="s">
        <v>3530</v>
      </c>
      <c r="N441" s="4" t="s">
        <v>3531</v>
      </c>
      <c r="O441" s="4" t="s">
        <v>3532</v>
      </c>
      <c r="P441" s="4" t="s">
        <v>96</v>
      </c>
      <c r="Q441" s="4" t="s">
        <v>75</v>
      </c>
      <c r="R441" s="4" t="s">
        <v>61</v>
      </c>
      <c r="S441" s="4" t="s">
        <v>62</v>
      </c>
      <c r="T441" s="6" t="e">
        <v>#N/A</v>
      </c>
      <c r="U441" s="5">
        <v>53</v>
      </c>
      <c r="V441" s="5">
        <v>44</v>
      </c>
      <c r="W441" s="5">
        <v>63</v>
      </c>
      <c r="X441" s="5">
        <v>52</v>
      </c>
      <c r="Y441" s="5">
        <v>47.37</v>
      </c>
      <c r="Z441" s="5">
        <v>44.08</v>
      </c>
      <c r="AA441" s="5">
        <v>57.24</v>
      </c>
      <c r="AB441" s="5">
        <v>50.66</v>
      </c>
      <c r="AC441" s="6">
        <v>0.3</v>
      </c>
      <c r="AD441" s="6">
        <v>0.35</v>
      </c>
      <c r="AE441" s="6">
        <v>0.35</v>
      </c>
      <c r="AF441" s="4" t="s">
        <v>6296</v>
      </c>
      <c r="AG441" s="4" t="s">
        <v>6296</v>
      </c>
      <c r="AH441" s="4" t="s">
        <v>6296</v>
      </c>
      <c r="AI441" s="4" t="s">
        <v>6296</v>
      </c>
      <c r="AJ441" s="4" t="s">
        <v>6296</v>
      </c>
      <c r="AK441" s="4" t="s">
        <v>37</v>
      </c>
      <c r="AL441" s="4" t="s">
        <v>37</v>
      </c>
      <c r="AM441" s="4" t="s">
        <v>6296</v>
      </c>
      <c r="AN441" s="4" t="s">
        <v>6296</v>
      </c>
      <c r="AO441" s="4" t="s">
        <v>6296</v>
      </c>
      <c r="AP441" s="4" t="s">
        <v>3533</v>
      </c>
      <c r="AQ441" s="4" t="s">
        <v>47</v>
      </c>
    </row>
    <row r="442" spans="1:43" ht="12.6" customHeight="1" x14ac:dyDescent="0.25">
      <c r="A442" s="8" t="s">
        <v>2015</v>
      </c>
      <c r="B442" s="9">
        <v>20151231</v>
      </c>
      <c r="C442" s="12">
        <f>_xll.FDS("SPX","FG_PRICE(12/30/2015)")</f>
        <v>2063.36</v>
      </c>
      <c r="D442" s="12">
        <f>_xll.FDS("SPX","FG_PRICE(12/30/2017)")</f>
        <v>2673.61</v>
      </c>
      <c r="E442" s="15">
        <f>D442/C442-1</f>
        <v>0.2957554668114144</v>
      </c>
      <c r="F442" s="8" t="s">
        <v>2016</v>
      </c>
      <c r="G442" s="8" t="s">
        <v>2017</v>
      </c>
      <c r="H442" s="13">
        <f>_xll.FDS(G442,"FG_PRICE(12/30/2015)")</f>
        <v>33.520000000000003</v>
      </c>
      <c r="I442" s="13">
        <f>_xll.FDS(G442,"FG_PRICE(12/31/2017)")</f>
        <v>54.89</v>
      </c>
      <c r="J442" s="13">
        <f>I442/H442-1</f>
        <v>0.63752983293556076</v>
      </c>
      <c r="K442" s="13">
        <f>J442-E442</f>
        <v>0.34177436612414636</v>
      </c>
      <c r="L442" s="13">
        <f>_xll.FDS(G442,"FF_ROE(ANN_R,12/30/2015)")</f>
        <v>4.680751993481171</v>
      </c>
      <c r="M442" s="8" t="s">
        <v>2018</v>
      </c>
      <c r="N442" s="4" t="s">
        <v>2018</v>
      </c>
      <c r="O442" s="4" t="s">
        <v>2019</v>
      </c>
      <c r="P442" s="4" t="s">
        <v>96</v>
      </c>
      <c r="Q442" s="4" t="s">
        <v>75</v>
      </c>
      <c r="R442" s="4" t="s">
        <v>61</v>
      </c>
      <c r="S442" s="4" t="s">
        <v>62</v>
      </c>
      <c r="T442" s="6" t="e">
        <v>#N/A</v>
      </c>
      <c r="U442" s="5">
        <v>52</v>
      </c>
      <c r="V442" s="5">
        <v>47</v>
      </c>
      <c r="W442" s="5">
        <v>58</v>
      </c>
      <c r="X442" s="5">
        <v>51</v>
      </c>
      <c r="Y442" s="5">
        <v>38.159999999999997</v>
      </c>
      <c r="Z442" s="5">
        <v>50.66</v>
      </c>
      <c r="AA442" s="5">
        <v>23.68</v>
      </c>
      <c r="AB442" s="5">
        <v>43.42</v>
      </c>
      <c r="AC442" s="6">
        <v>0.3</v>
      </c>
      <c r="AD442" s="6">
        <v>0.35</v>
      </c>
      <c r="AE442" s="6">
        <v>0.35</v>
      </c>
      <c r="AF442" s="4" t="s">
        <v>6296</v>
      </c>
      <c r="AG442" s="4" t="s">
        <v>6296</v>
      </c>
      <c r="AH442" s="4" t="s">
        <v>6296</v>
      </c>
      <c r="AI442" s="4" t="s">
        <v>6296</v>
      </c>
      <c r="AJ442" s="4" t="s">
        <v>6296</v>
      </c>
      <c r="AK442" s="4" t="s">
        <v>42</v>
      </c>
      <c r="AL442" s="4" t="s">
        <v>37</v>
      </c>
      <c r="AM442" s="4" t="s">
        <v>6296</v>
      </c>
      <c r="AN442" s="4" t="s">
        <v>6296</v>
      </c>
      <c r="AO442" s="4" t="s">
        <v>6296</v>
      </c>
      <c r="AP442" s="4" t="s">
        <v>2020</v>
      </c>
      <c r="AQ442" s="4" t="s">
        <v>47</v>
      </c>
    </row>
    <row r="443" spans="1:43" ht="12.6" customHeight="1" x14ac:dyDescent="0.25">
      <c r="A443" s="8" t="s">
        <v>606</v>
      </c>
      <c r="B443" s="9">
        <v>20151231</v>
      </c>
      <c r="C443" s="12">
        <f>_xll.FDS("SPX","FG_PRICE(12/30/2015)")</f>
        <v>2063.36</v>
      </c>
      <c r="D443" s="12">
        <f>_xll.FDS("SPX","FG_PRICE(12/30/2017)")</f>
        <v>2673.61</v>
      </c>
      <c r="E443" s="15">
        <f>D443/C443-1</f>
        <v>0.2957554668114144</v>
      </c>
      <c r="F443" s="8" t="s">
        <v>607</v>
      </c>
      <c r="G443" s="8" t="s">
        <v>608</v>
      </c>
      <c r="H443" s="13">
        <f>_xll.FDS(G443,"FG_PRICE(12/30/2015)")</f>
        <v>55.82</v>
      </c>
      <c r="I443" s="13">
        <f>_xll.FDS(G443,"FG_PRICE(12/31/2017)")</f>
        <v>71.650000000000006</v>
      </c>
      <c r="J443" s="13">
        <f>I443/H443-1</f>
        <v>0.28359011107130061</v>
      </c>
      <c r="K443" s="13">
        <f>J443-E443</f>
        <v>-1.2165355740113792E-2</v>
      </c>
      <c r="L443" s="13">
        <f>_xll.FDS(G443,"FF_ROE(ANN_R,12/30/2015)")</f>
        <v>14.53922146363761</v>
      </c>
      <c r="M443" s="8" t="s">
        <v>609</v>
      </c>
      <c r="N443" s="4" t="s">
        <v>609</v>
      </c>
      <c r="O443" s="4" t="s">
        <v>610</v>
      </c>
      <c r="P443" s="4" t="s">
        <v>96</v>
      </c>
      <c r="Q443" s="4" t="s">
        <v>75</v>
      </c>
      <c r="R443" s="4" t="s">
        <v>61</v>
      </c>
      <c r="S443" s="4" t="s">
        <v>62</v>
      </c>
      <c r="T443" s="6" t="e">
        <v>#N/A</v>
      </c>
      <c r="U443" s="5">
        <v>46</v>
      </c>
      <c r="V443" s="5">
        <v>33</v>
      </c>
      <c r="W443" s="5">
        <v>53</v>
      </c>
      <c r="X443" s="5">
        <v>50</v>
      </c>
      <c r="Y443" s="6">
        <v>9.2100000000000009</v>
      </c>
      <c r="Z443" s="6">
        <v>0.66</v>
      </c>
      <c r="AA443" s="6">
        <v>4.6100000000000003</v>
      </c>
      <c r="AB443" s="5">
        <v>37.5</v>
      </c>
      <c r="AC443" s="6">
        <v>0.3</v>
      </c>
      <c r="AD443" s="6">
        <v>0.35</v>
      </c>
      <c r="AE443" s="6">
        <v>0.35</v>
      </c>
      <c r="AF443" s="4" t="s">
        <v>6296</v>
      </c>
      <c r="AG443" s="4" t="s">
        <v>6296</v>
      </c>
      <c r="AH443" s="4" t="s">
        <v>6296</v>
      </c>
      <c r="AI443" s="4" t="s">
        <v>6296</v>
      </c>
      <c r="AJ443" s="4" t="s">
        <v>6296</v>
      </c>
      <c r="AK443" s="4" t="s">
        <v>6296</v>
      </c>
      <c r="AL443" s="4" t="s">
        <v>6296</v>
      </c>
      <c r="AM443" s="4" t="s">
        <v>6296</v>
      </c>
      <c r="AN443" s="4" t="s">
        <v>6296</v>
      </c>
      <c r="AO443" s="4" t="s">
        <v>6296</v>
      </c>
      <c r="AP443" s="4" t="s">
        <v>611</v>
      </c>
      <c r="AQ443" s="4" t="s">
        <v>47</v>
      </c>
    </row>
    <row r="444" spans="1:43" ht="12.6" customHeight="1" x14ac:dyDescent="0.25">
      <c r="A444" s="8" t="s">
        <v>191</v>
      </c>
      <c r="B444" s="9">
        <v>20151231</v>
      </c>
      <c r="C444" s="12">
        <f>_xll.FDS("SPX","FG_PRICE(12/30/2015)")</f>
        <v>2063.36</v>
      </c>
      <c r="D444" s="12">
        <f>_xll.FDS("SPX","FG_PRICE(12/30/2017)")</f>
        <v>2673.61</v>
      </c>
      <c r="E444" s="15">
        <f>D444/C444-1</f>
        <v>0.2957554668114144</v>
      </c>
      <c r="F444" s="8" t="s">
        <v>192</v>
      </c>
      <c r="G444" s="8" t="s">
        <v>193</v>
      </c>
      <c r="H444" s="13">
        <f>_xll.FDS(G444,"FG_PRICE(12/30/2015)")</f>
        <v>483.9</v>
      </c>
      <c r="I444" s="13">
        <f>_xll.FDS(G444,"FG_PRICE(12/31/2017)")</f>
        <v>596.09</v>
      </c>
      <c r="J444" s="13">
        <f>I444/H444-1</f>
        <v>0.23184542260797691</v>
      </c>
      <c r="K444" s="13">
        <f>J444-E444</f>
        <v>-6.3910044203437488E-2</v>
      </c>
      <c r="L444" s="13">
        <f>_xll.FDS(G444,"FF_ROE(ANN_R,12/30/2015)")</f>
        <v>9.43571955212078</v>
      </c>
      <c r="M444" s="8" t="s">
        <v>194</v>
      </c>
      <c r="N444" s="4" t="s">
        <v>194</v>
      </c>
      <c r="O444" s="4" t="s">
        <v>195</v>
      </c>
      <c r="P444" s="4" t="s">
        <v>96</v>
      </c>
      <c r="Q444" s="4" t="s">
        <v>75</v>
      </c>
      <c r="R444" s="4" t="s">
        <v>61</v>
      </c>
      <c r="S444" s="4" t="s">
        <v>62</v>
      </c>
      <c r="T444" s="6" t="e">
        <v>#N/A</v>
      </c>
      <c r="U444" s="5">
        <v>45</v>
      </c>
      <c r="V444" s="5">
        <v>33</v>
      </c>
      <c r="W444" s="5">
        <v>51</v>
      </c>
      <c r="X444" s="5">
        <v>49</v>
      </c>
      <c r="Y444" s="6">
        <v>3.29</v>
      </c>
      <c r="Z444" s="6">
        <v>0.66</v>
      </c>
      <c r="AA444" s="6">
        <v>2.63</v>
      </c>
      <c r="AB444" s="5">
        <v>30.92</v>
      </c>
      <c r="AC444" s="6">
        <v>0.3</v>
      </c>
      <c r="AD444" s="6">
        <v>0.35</v>
      </c>
      <c r="AE444" s="6">
        <v>0.35</v>
      </c>
      <c r="AF444" s="4" t="s">
        <v>6296</v>
      </c>
      <c r="AG444" s="4" t="s">
        <v>6296</v>
      </c>
      <c r="AH444" s="4" t="s">
        <v>6296</v>
      </c>
      <c r="AI444" s="4" t="s">
        <v>6296</v>
      </c>
      <c r="AJ444" s="4" t="s">
        <v>6296</v>
      </c>
      <c r="AK444" s="4" t="s">
        <v>6296</v>
      </c>
      <c r="AL444" s="4" t="s">
        <v>6296</v>
      </c>
      <c r="AM444" s="4" t="s">
        <v>6296</v>
      </c>
      <c r="AN444" s="4" t="s">
        <v>6296</v>
      </c>
      <c r="AO444" s="4" t="s">
        <v>6296</v>
      </c>
      <c r="AP444" s="4" t="s">
        <v>196</v>
      </c>
      <c r="AQ444" s="4" t="s">
        <v>47</v>
      </c>
    </row>
    <row r="445" spans="1:43" ht="12.6" customHeight="1" x14ac:dyDescent="0.25">
      <c r="A445" s="8" t="s">
        <v>166</v>
      </c>
      <c r="B445" s="9">
        <v>20151231</v>
      </c>
      <c r="C445" s="12">
        <f>_xll.FDS("SPX","FG_PRICE(12/30/2015)")</f>
        <v>2063.36</v>
      </c>
      <c r="D445" s="12">
        <f>_xll.FDS("SPX","FG_PRICE(12/30/2017)")</f>
        <v>2673.61</v>
      </c>
      <c r="E445" s="15">
        <f>D445/C445-1</f>
        <v>0.2957554668114144</v>
      </c>
      <c r="F445" s="8" t="s">
        <v>167</v>
      </c>
      <c r="G445" s="8" t="s">
        <v>168</v>
      </c>
      <c r="H445" s="13">
        <f>_xll.FDS(G445,"FG_PRICE(12/30/2015)")</f>
        <v>46.23</v>
      </c>
      <c r="I445" s="13">
        <f>_xll.FDS(G445,"FG_PRICE(12/31/2017)")</f>
        <v>71.430000000000007</v>
      </c>
      <c r="J445" s="13">
        <f>I445/H445-1</f>
        <v>0.54510058403634032</v>
      </c>
      <c r="K445" s="13">
        <f>J445-E445</f>
        <v>0.24934511722492592</v>
      </c>
      <c r="L445" s="13">
        <f>_xll.FDS(G445,"FF_ROE(ANN_R,12/30/2015)")</f>
        <v>11.00459865660236</v>
      </c>
      <c r="M445" s="8" t="s">
        <v>169</v>
      </c>
      <c r="N445" s="4" t="s">
        <v>169</v>
      </c>
      <c r="O445" s="4" t="s">
        <v>170</v>
      </c>
      <c r="P445" s="4" t="s">
        <v>96</v>
      </c>
      <c r="Q445" s="4" t="s">
        <v>72</v>
      </c>
      <c r="R445" s="4" t="s">
        <v>61</v>
      </c>
      <c r="S445" s="4" t="s">
        <v>62</v>
      </c>
      <c r="T445" s="6" t="e">
        <v>#N/A</v>
      </c>
      <c r="U445" s="5">
        <v>62</v>
      </c>
      <c r="V445" s="5">
        <v>61</v>
      </c>
      <c r="W445" s="5">
        <v>60</v>
      </c>
      <c r="X445" s="5">
        <v>64</v>
      </c>
      <c r="Y445" s="5">
        <v>71.52</v>
      </c>
      <c r="Z445" s="5">
        <v>66.67</v>
      </c>
      <c r="AA445" s="5">
        <v>74.55</v>
      </c>
      <c r="AB445" s="5">
        <v>53.33</v>
      </c>
      <c r="AC445" s="6">
        <v>0.4</v>
      </c>
      <c r="AD445" s="6">
        <v>0.35</v>
      </c>
      <c r="AE445" s="6">
        <v>0.25</v>
      </c>
      <c r="AF445" s="4" t="s">
        <v>6296</v>
      </c>
      <c r="AG445" s="4" t="s">
        <v>6296</v>
      </c>
      <c r="AH445" s="4" t="s">
        <v>6296</v>
      </c>
      <c r="AI445" s="4" t="s">
        <v>6296</v>
      </c>
      <c r="AJ445" s="4" t="s">
        <v>6296</v>
      </c>
      <c r="AK445" s="4" t="s">
        <v>6296</v>
      </c>
      <c r="AL445" s="4" t="s">
        <v>6296</v>
      </c>
      <c r="AM445" s="4" t="s">
        <v>6296</v>
      </c>
      <c r="AN445" s="4" t="s">
        <v>6296</v>
      </c>
      <c r="AO445" s="4" t="s">
        <v>6296</v>
      </c>
      <c r="AP445" s="4" t="s">
        <v>171</v>
      </c>
      <c r="AQ445" s="4" t="s">
        <v>47</v>
      </c>
    </row>
    <row r="446" spans="1:43" ht="12.6" customHeight="1" x14ac:dyDescent="0.25">
      <c r="A446" s="8" t="s">
        <v>923</v>
      </c>
      <c r="B446" s="9">
        <v>20151231</v>
      </c>
      <c r="C446" s="12">
        <f>_xll.FDS("SPX","FG_PRICE(12/30/2015)")</f>
        <v>2063.36</v>
      </c>
      <c r="D446" s="12">
        <f>_xll.FDS("SPX","FG_PRICE(12/30/2017)")</f>
        <v>2673.61</v>
      </c>
      <c r="E446" s="15">
        <f>D446/C446-1</f>
        <v>0.2957554668114144</v>
      </c>
      <c r="F446" s="8" t="s">
        <v>924</v>
      </c>
      <c r="G446" s="8" t="s">
        <v>925</v>
      </c>
      <c r="H446" s="13">
        <f>_xll.FDS(G446,"FG_PRICE(12/30/2015)")</f>
        <v>68.69</v>
      </c>
      <c r="I446" s="13">
        <f>_xll.FDS(G446,"FG_PRICE(12/31/2017)")</f>
        <v>157.58000000000001</v>
      </c>
      <c r="J446" s="13">
        <f>I446/H446-1</f>
        <v>1.2940748289416222</v>
      </c>
      <c r="K446" s="13">
        <f>J446-E446</f>
        <v>0.99831936213020778</v>
      </c>
      <c r="L446" s="13">
        <f>_xll.FDS(G446,"FF_ROE(ANN_R,12/30/2015)")</f>
        <v>19.676757994515</v>
      </c>
      <c r="M446" s="8" t="s">
        <v>926</v>
      </c>
      <c r="N446" s="4" t="s">
        <v>926</v>
      </c>
      <c r="O446" s="4" t="s">
        <v>927</v>
      </c>
      <c r="P446" s="4" t="s">
        <v>96</v>
      </c>
      <c r="Q446" s="4" t="s">
        <v>72</v>
      </c>
      <c r="R446" s="4" t="s">
        <v>61</v>
      </c>
      <c r="S446" s="4" t="s">
        <v>62</v>
      </c>
      <c r="T446" s="6" t="e">
        <v>#N/A</v>
      </c>
      <c r="U446" s="5">
        <v>64</v>
      </c>
      <c r="V446" s="5">
        <v>74</v>
      </c>
      <c r="W446" s="5">
        <v>51</v>
      </c>
      <c r="X446" s="5">
        <v>66</v>
      </c>
      <c r="Y446" s="5">
        <v>78.790000000000006</v>
      </c>
      <c r="Z446" s="5">
        <v>87.88</v>
      </c>
      <c r="AA446" s="5">
        <v>42.42</v>
      </c>
      <c r="AB446" s="5">
        <v>61.21</v>
      </c>
      <c r="AC446" s="6">
        <v>0.4</v>
      </c>
      <c r="AD446" s="6">
        <v>0.35</v>
      </c>
      <c r="AE446" s="6">
        <v>0.25</v>
      </c>
      <c r="AF446" s="4" t="s">
        <v>42</v>
      </c>
      <c r="AG446" s="4" t="s">
        <v>6296</v>
      </c>
      <c r="AH446" s="4" t="s">
        <v>6296</v>
      </c>
      <c r="AI446" s="4" t="s">
        <v>37</v>
      </c>
      <c r="AJ446" s="4" t="s">
        <v>6296</v>
      </c>
      <c r="AK446" s="4" t="s">
        <v>42</v>
      </c>
      <c r="AL446" s="4" t="s">
        <v>45</v>
      </c>
      <c r="AM446" s="4" t="s">
        <v>42</v>
      </c>
      <c r="AN446" s="4" t="s">
        <v>42</v>
      </c>
      <c r="AO446" s="4" t="s">
        <v>6296</v>
      </c>
      <c r="AP446" s="4" t="s">
        <v>928</v>
      </c>
      <c r="AQ446" s="4" t="s">
        <v>47</v>
      </c>
    </row>
    <row r="447" spans="1:43" ht="12.6" customHeight="1" x14ac:dyDescent="0.25">
      <c r="A447" s="8" t="s">
        <v>5037</v>
      </c>
      <c r="B447" s="9">
        <v>20151231</v>
      </c>
      <c r="C447" s="12">
        <f>_xll.FDS("SPX","FG_PRICE(12/30/2015)")</f>
        <v>2063.36</v>
      </c>
      <c r="D447" s="12">
        <f>_xll.FDS("SPX","FG_PRICE(12/30/2017)")</f>
        <v>2673.61</v>
      </c>
      <c r="E447" s="15">
        <f>D447/C447-1</f>
        <v>0.2957554668114144</v>
      </c>
      <c r="F447" s="8" t="s">
        <v>5038</v>
      </c>
      <c r="G447" s="8" t="s">
        <v>5039</v>
      </c>
      <c r="H447" s="13">
        <f>_xll.FDS(G447,"FG_PRICE(12/30/2015)")</f>
        <v>23.37</v>
      </c>
      <c r="I447" s="13">
        <f>_xll.FDS(G447,"FG_PRICE(12/31/2017)")</f>
        <v>39.619999999999997</v>
      </c>
      <c r="J447" s="13">
        <f>I447/H447-1</f>
        <v>0.69533590072742824</v>
      </c>
      <c r="K447" s="13">
        <f>J447-E447</f>
        <v>0.39958043391601383</v>
      </c>
      <c r="L447" s="13">
        <f>_xll.FDS(G447,"FF_ROE(ANN_R,12/30/2015)")</f>
        <v>13.85330298381035</v>
      </c>
      <c r="M447" s="8" t="s">
        <v>5040</v>
      </c>
      <c r="N447" s="4" t="s">
        <v>5040</v>
      </c>
      <c r="O447" s="4" t="s">
        <v>5041</v>
      </c>
      <c r="P447" s="4" t="s">
        <v>96</v>
      </c>
      <c r="Q447" s="4" t="s">
        <v>72</v>
      </c>
      <c r="R447" s="4" t="s">
        <v>61</v>
      </c>
      <c r="S447" s="4" t="s">
        <v>62</v>
      </c>
      <c r="T447" s="6" t="e">
        <v>#N/A</v>
      </c>
      <c r="U447" s="5">
        <v>50</v>
      </c>
      <c r="V447" s="5">
        <v>37</v>
      </c>
      <c r="W447" s="5">
        <v>53</v>
      </c>
      <c r="X447" s="5">
        <v>67</v>
      </c>
      <c r="Y447" s="5">
        <v>21.21</v>
      </c>
      <c r="Z447" s="6">
        <v>2.42</v>
      </c>
      <c r="AA447" s="5">
        <v>50.3</v>
      </c>
      <c r="AB447" s="5">
        <v>63.64</v>
      </c>
      <c r="AC447" s="6">
        <v>0.4</v>
      </c>
      <c r="AD447" s="6">
        <v>0.35</v>
      </c>
      <c r="AE447" s="6">
        <v>0.25</v>
      </c>
      <c r="AF447" s="4" t="s">
        <v>6296</v>
      </c>
      <c r="AG447" s="4" t="s">
        <v>6296</v>
      </c>
      <c r="AH447" s="4" t="s">
        <v>6296</v>
      </c>
      <c r="AI447" s="4" t="s">
        <v>6296</v>
      </c>
      <c r="AJ447" s="4" t="s">
        <v>6296</v>
      </c>
      <c r="AK447" s="4" t="s">
        <v>6296</v>
      </c>
      <c r="AL447" s="4" t="s">
        <v>6296</v>
      </c>
      <c r="AM447" s="4" t="s">
        <v>6296</v>
      </c>
      <c r="AN447" s="4" t="s">
        <v>6296</v>
      </c>
      <c r="AO447" s="4" t="s">
        <v>6296</v>
      </c>
      <c r="AP447" s="4" t="s">
        <v>5042</v>
      </c>
      <c r="AQ447" s="4" t="s">
        <v>47</v>
      </c>
    </row>
    <row r="448" spans="1:43" ht="12.6" customHeight="1" x14ac:dyDescent="0.25">
      <c r="A448" s="8" t="s">
        <v>1233</v>
      </c>
      <c r="B448" s="9">
        <v>20151231</v>
      </c>
      <c r="C448" s="12">
        <f>_xll.FDS("SPX","FG_PRICE(12/30/2015)")</f>
        <v>2063.36</v>
      </c>
      <c r="D448" s="12">
        <f>_xll.FDS("SPX","FG_PRICE(12/30/2017)")</f>
        <v>2673.61</v>
      </c>
      <c r="E448" s="15">
        <f>D448/C448-1</f>
        <v>0.2957554668114144</v>
      </c>
      <c r="F448" s="8" t="s">
        <v>1234</v>
      </c>
      <c r="G448" s="8" t="s">
        <v>1235</v>
      </c>
      <c r="H448" s="13">
        <f>_xll.FDS(G448,"FG_PRICE(12/30/2015)")</f>
        <v>89.18</v>
      </c>
      <c r="I448" s="13">
        <f>_xll.FDS(G448,"FG_PRICE(12/31/2017)")</f>
        <v>176.64</v>
      </c>
      <c r="J448" s="13">
        <f>I448/H448-1</f>
        <v>0.98071316438663336</v>
      </c>
      <c r="K448" s="13">
        <f>J448-E448</f>
        <v>0.68495769757521896</v>
      </c>
      <c r="L448" s="13">
        <f>_xll.FDS(G448,"FF_ROE(ANN_R,12/30/2015)")</f>
        <v>21.639688052952351</v>
      </c>
      <c r="M448" s="8" t="s">
        <v>1236</v>
      </c>
      <c r="N448" s="4" t="s">
        <v>1236</v>
      </c>
      <c r="O448" s="4" t="s">
        <v>1237</v>
      </c>
      <c r="P448" s="4" t="s">
        <v>96</v>
      </c>
      <c r="Q448" s="4" t="s">
        <v>72</v>
      </c>
      <c r="R448" s="4" t="s">
        <v>61</v>
      </c>
      <c r="S448" s="4" t="s">
        <v>62</v>
      </c>
      <c r="T448" s="6" t="e">
        <v>#N/A</v>
      </c>
      <c r="U448" s="5">
        <v>68</v>
      </c>
      <c r="V448" s="5">
        <v>72</v>
      </c>
      <c r="W448" s="5">
        <v>63</v>
      </c>
      <c r="X448" s="5">
        <v>70</v>
      </c>
      <c r="Y448" s="5">
        <v>84.24</v>
      </c>
      <c r="Z448" s="5">
        <v>84.85</v>
      </c>
      <c r="AA448" s="5">
        <v>80</v>
      </c>
      <c r="AB448" s="5">
        <v>75.760000000000005</v>
      </c>
      <c r="AC448" s="6">
        <v>0.4</v>
      </c>
      <c r="AD448" s="6">
        <v>0.35</v>
      </c>
      <c r="AE448" s="6">
        <v>0.25</v>
      </c>
      <c r="AF448" s="4" t="s">
        <v>6296</v>
      </c>
      <c r="AG448" s="4" t="s">
        <v>6296</v>
      </c>
      <c r="AH448" s="4" t="s">
        <v>6296</v>
      </c>
      <c r="AI448" s="4" t="s">
        <v>6296</v>
      </c>
      <c r="AJ448" s="4" t="s">
        <v>6296</v>
      </c>
      <c r="AK448" s="4" t="s">
        <v>42</v>
      </c>
      <c r="AL448" s="4" t="s">
        <v>6296</v>
      </c>
      <c r="AM448" s="4" t="s">
        <v>6296</v>
      </c>
      <c r="AN448" s="4" t="s">
        <v>6296</v>
      </c>
      <c r="AO448" s="4" t="s">
        <v>6296</v>
      </c>
      <c r="AP448" s="4" t="s">
        <v>1238</v>
      </c>
      <c r="AQ448" s="4" t="s">
        <v>47</v>
      </c>
    </row>
    <row r="449" spans="1:43" ht="12.6" customHeight="1" x14ac:dyDescent="0.25">
      <c r="A449" s="8" t="s">
        <v>1189</v>
      </c>
      <c r="B449" s="9">
        <v>20151231</v>
      </c>
      <c r="C449" s="12">
        <f>_xll.FDS("SPX","FG_PRICE(12/30/2015)")</f>
        <v>2063.36</v>
      </c>
      <c r="D449" s="12">
        <f>_xll.FDS("SPX","FG_PRICE(12/30/2017)")</f>
        <v>2673.61</v>
      </c>
      <c r="E449" s="15">
        <f>D449/C449-1</f>
        <v>0.2957554668114144</v>
      </c>
      <c r="F449" s="8" t="s">
        <v>1190</v>
      </c>
      <c r="G449" s="8" t="s">
        <v>1191</v>
      </c>
      <c r="H449" s="13">
        <f>_xll.FDS(G449,"FG_PRICE(12/30/2015)")</f>
        <v>48.27</v>
      </c>
      <c r="I449" s="13">
        <f>_xll.FDS(G449,"FG_PRICE(12/31/2017)")</f>
        <v>89.22</v>
      </c>
      <c r="J449" s="13">
        <f>I449/H449-1</f>
        <v>0.84835301429459276</v>
      </c>
      <c r="K449" s="13">
        <f>J449-E449</f>
        <v>0.55259754748317835</v>
      </c>
      <c r="L449" s="13">
        <f>_xll.FDS(G449,"FF_ROE(ANN_R,12/30/2015)")</f>
        <v>17.019960946454422</v>
      </c>
      <c r="M449" s="8" t="s">
        <v>1192</v>
      </c>
      <c r="N449" s="4" t="s">
        <v>1192</v>
      </c>
      <c r="O449" s="4" t="s">
        <v>1193</v>
      </c>
      <c r="P449" s="4" t="s">
        <v>96</v>
      </c>
      <c r="Q449" s="4" t="s">
        <v>72</v>
      </c>
      <c r="R449" s="4" t="s">
        <v>61</v>
      </c>
      <c r="S449" s="4" t="s">
        <v>62</v>
      </c>
      <c r="T449" s="6" t="e">
        <v>#N/A</v>
      </c>
      <c r="U449" s="5">
        <v>52</v>
      </c>
      <c r="V449" s="5">
        <v>48</v>
      </c>
      <c r="W449" s="5">
        <v>49</v>
      </c>
      <c r="X449" s="5">
        <v>62</v>
      </c>
      <c r="Y449" s="5">
        <v>32.119999999999997</v>
      </c>
      <c r="Z449" s="5">
        <v>27.27</v>
      </c>
      <c r="AA449" s="5">
        <v>33.33</v>
      </c>
      <c r="AB449" s="5">
        <v>44.85</v>
      </c>
      <c r="AC449" s="6">
        <v>0.4</v>
      </c>
      <c r="AD449" s="6">
        <v>0.35</v>
      </c>
      <c r="AE449" s="6">
        <v>0.25</v>
      </c>
      <c r="AF449" s="4" t="s">
        <v>42</v>
      </c>
      <c r="AG449" s="4" t="s">
        <v>6296</v>
      </c>
      <c r="AH449" s="4" t="s">
        <v>6296</v>
      </c>
      <c r="AI449" s="4" t="s">
        <v>42</v>
      </c>
      <c r="AJ449" s="4" t="s">
        <v>42</v>
      </c>
      <c r="AK449" s="4" t="s">
        <v>6296</v>
      </c>
      <c r="AL449" s="4" t="s">
        <v>6296</v>
      </c>
      <c r="AM449" s="4" t="s">
        <v>6296</v>
      </c>
      <c r="AN449" s="4" t="s">
        <v>6296</v>
      </c>
      <c r="AO449" s="4" t="s">
        <v>6296</v>
      </c>
      <c r="AP449" s="4" t="s">
        <v>1194</v>
      </c>
      <c r="AQ449" s="4" t="s">
        <v>47</v>
      </c>
    </row>
    <row r="450" spans="1:43" ht="12.6" customHeight="1" x14ac:dyDescent="0.25">
      <c r="A450" s="8" t="s">
        <v>1356</v>
      </c>
      <c r="B450" s="9">
        <v>20151231</v>
      </c>
      <c r="C450" s="12">
        <f>_xll.FDS("SPX","FG_PRICE(12/30/2015)")</f>
        <v>2063.36</v>
      </c>
      <c r="D450" s="12">
        <f>_xll.FDS("SPX","FG_PRICE(12/30/2017)")</f>
        <v>2673.61</v>
      </c>
      <c r="E450" s="15">
        <f>D450/C450-1</f>
        <v>0.2957554668114144</v>
      </c>
      <c r="F450" s="8" t="s">
        <v>1357</v>
      </c>
      <c r="G450" s="8" t="s">
        <v>1358</v>
      </c>
      <c r="H450" s="13">
        <f>_xll.FDS(G450,"FG_PRICE(12/30/2015)")</f>
        <v>28.89</v>
      </c>
      <c r="I450" s="13">
        <f>_xll.FDS(G450,"FG_PRICE(12/31/2017)")</f>
        <v>48.95</v>
      </c>
      <c r="J450" s="13">
        <f>I450/H450-1</f>
        <v>0.69435790931118047</v>
      </c>
      <c r="K450" s="13">
        <f>J450-E450</f>
        <v>0.39860244249976606</v>
      </c>
      <c r="L450" s="13">
        <f>_xll.FDS(G450,"FF_ROE(ANN_R,12/30/2015)")</f>
        <v>23.41941379162887</v>
      </c>
      <c r="M450" s="8" t="s">
        <v>1359</v>
      </c>
      <c r="N450" s="4" t="s">
        <v>1360</v>
      </c>
      <c r="O450" s="4" t="s">
        <v>1361</v>
      </c>
      <c r="P450" s="4" t="s">
        <v>96</v>
      </c>
      <c r="Q450" s="4" t="s">
        <v>72</v>
      </c>
      <c r="R450" s="4" t="s">
        <v>61</v>
      </c>
      <c r="S450" s="4" t="s">
        <v>62</v>
      </c>
      <c r="T450" s="6" t="e">
        <v>#N/A</v>
      </c>
      <c r="U450" s="5">
        <v>54</v>
      </c>
      <c r="V450" s="5">
        <v>46</v>
      </c>
      <c r="W450" s="5">
        <v>53</v>
      </c>
      <c r="X450" s="5">
        <v>69</v>
      </c>
      <c r="Y450" s="5">
        <v>38.18</v>
      </c>
      <c r="Z450" s="5">
        <v>23.03</v>
      </c>
      <c r="AA450" s="5">
        <v>50.3</v>
      </c>
      <c r="AB450" s="5">
        <v>72.12</v>
      </c>
      <c r="AC450" s="6">
        <v>0.4</v>
      </c>
      <c r="AD450" s="6">
        <v>0.35</v>
      </c>
      <c r="AE450" s="6">
        <v>0.25</v>
      </c>
      <c r="AF450" s="4" t="s">
        <v>6296</v>
      </c>
      <c r="AG450" s="4" t="s">
        <v>6296</v>
      </c>
      <c r="AH450" s="4" t="s">
        <v>6296</v>
      </c>
      <c r="AI450" s="4" t="s">
        <v>6296</v>
      </c>
      <c r="AJ450" s="4" t="s">
        <v>6296</v>
      </c>
      <c r="AK450" s="4" t="s">
        <v>6296</v>
      </c>
      <c r="AL450" s="4" t="s">
        <v>6296</v>
      </c>
      <c r="AM450" s="4" t="s">
        <v>6296</v>
      </c>
      <c r="AN450" s="4" t="s">
        <v>6296</v>
      </c>
      <c r="AO450" s="4" t="s">
        <v>6296</v>
      </c>
      <c r="AP450" s="4" t="s">
        <v>1362</v>
      </c>
      <c r="AQ450" s="4" t="s">
        <v>47</v>
      </c>
    </row>
    <row r="451" spans="1:43" ht="12.6" customHeight="1" x14ac:dyDescent="0.25">
      <c r="A451" s="8" t="s">
        <v>1297</v>
      </c>
      <c r="B451" s="9">
        <v>20151231</v>
      </c>
      <c r="C451" s="12">
        <f>_xll.FDS("SPX","FG_PRICE(12/30/2015)")</f>
        <v>2063.36</v>
      </c>
      <c r="D451" s="12">
        <f>_xll.FDS("SPX","FG_PRICE(12/30/2017)")</f>
        <v>2673.61</v>
      </c>
      <c r="E451" s="15">
        <f>D451/C451-1</f>
        <v>0.2957554668114144</v>
      </c>
      <c r="F451" s="8" t="s">
        <v>1298</v>
      </c>
      <c r="G451" s="8" t="s">
        <v>1299</v>
      </c>
      <c r="H451" s="13">
        <f>_xll.FDS(G451,"FG_PRICE(12/30/2015)")</f>
        <v>77.5</v>
      </c>
      <c r="I451" s="13">
        <f>_xll.FDS(G451,"FG_PRICE(12/31/2017)")</f>
        <v>156.51</v>
      </c>
      <c r="J451" s="13">
        <f>I451/H451-1</f>
        <v>1.0194838709677416</v>
      </c>
      <c r="K451" s="13">
        <f>J451-E451</f>
        <v>0.72372840415632722</v>
      </c>
      <c r="L451" s="13">
        <f>_xll.FDS(G451,"FF_ROE(ANN_R,12/30/2015)")</f>
        <v>24.537517398456281</v>
      </c>
      <c r="M451" s="8" t="s">
        <v>1300</v>
      </c>
      <c r="N451" s="4" t="s">
        <v>1300</v>
      </c>
      <c r="O451" s="4" t="s">
        <v>1301</v>
      </c>
      <c r="P451" s="4" t="s">
        <v>96</v>
      </c>
      <c r="Q451" s="4" t="s">
        <v>72</v>
      </c>
      <c r="R451" s="4" t="s">
        <v>61</v>
      </c>
      <c r="S451" s="4" t="s">
        <v>62</v>
      </c>
      <c r="T451" s="6" t="e">
        <v>#N/A</v>
      </c>
      <c r="U451" s="5">
        <v>70</v>
      </c>
      <c r="V451" s="5">
        <v>75</v>
      </c>
      <c r="W451" s="5">
        <v>66</v>
      </c>
      <c r="X451" s="5">
        <v>67</v>
      </c>
      <c r="Y451" s="5">
        <v>87.27</v>
      </c>
      <c r="Z451" s="5">
        <v>89.09</v>
      </c>
      <c r="AA451" s="5">
        <v>85.45</v>
      </c>
      <c r="AB451" s="5">
        <v>63.64</v>
      </c>
      <c r="AC451" s="6">
        <v>0.4</v>
      </c>
      <c r="AD451" s="6">
        <v>0.35</v>
      </c>
      <c r="AE451" s="6">
        <v>0.25</v>
      </c>
      <c r="AF451" s="4" t="s">
        <v>6296</v>
      </c>
      <c r="AG451" s="4" t="s">
        <v>6296</v>
      </c>
      <c r="AH451" s="4" t="s">
        <v>6296</v>
      </c>
      <c r="AI451" s="4" t="s">
        <v>42</v>
      </c>
      <c r="AJ451" s="4" t="s">
        <v>6296</v>
      </c>
      <c r="AK451" s="4" t="s">
        <v>6296</v>
      </c>
      <c r="AL451" s="4" t="s">
        <v>6296</v>
      </c>
      <c r="AM451" s="4" t="s">
        <v>6296</v>
      </c>
      <c r="AN451" s="4" t="s">
        <v>6296</v>
      </c>
      <c r="AO451" s="4" t="s">
        <v>6296</v>
      </c>
      <c r="AP451" s="4" t="s">
        <v>1302</v>
      </c>
      <c r="AQ451" s="4" t="s">
        <v>47</v>
      </c>
    </row>
    <row r="452" spans="1:43" ht="12.6" customHeight="1" x14ac:dyDescent="0.25">
      <c r="A452" s="8" t="s">
        <v>1363</v>
      </c>
      <c r="B452" s="9">
        <v>20151231</v>
      </c>
      <c r="C452" s="12">
        <f>_xll.FDS("SPX","FG_PRICE(12/30/2015)")</f>
        <v>2063.36</v>
      </c>
      <c r="D452" s="12">
        <f>_xll.FDS("SPX","FG_PRICE(12/30/2017)")</f>
        <v>2673.61</v>
      </c>
      <c r="E452" s="15">
        <f>D452/C452-1</f>
        <v>0.2957554668114144</v>
      </c>
      <c r="F452" s="8" t="s">
        <v>1364</v>
      </c>
      <c r="G452" s="8" t="s">
        <v>1365</v>
      </c>
      <c r="H452" s="13">
        <f>_xll.FDS(G452,"FG_PRICE(12/30/2015)")</f>
        <v>61.68</v>
      </c>
      <c r="I452" s="13">
        <f>_xll.FDS(G452,"FG_PRICE(12/31/2017)")</f>
        <v>100.99</v>
      </c>
      <c r="J452" s="13">
        <f>I452/H452-1</f>
        <v>0.63732166018158232</v>
      </c>
      <c r="K452" s="13">
        <f>J452-E452</f>
        <v>0.34156619337016791</v>
      </c>
      <c r="L452" s="13">
        <f>_xll.FDS(G452,"FF_ROE(ANN_R,12/30/2015)")</f>
        <v>17.143195161201309</v>
      </c>
      <c r="M452" s="8" t="s">
        <v>1366</v>
      </c>
      <c r="N452" s="4" t="s">
        <v>1366</v>
      </c>
      <c r="O452" s="4" t="s">
        <v>1367</v>
      </c>
      <c r="P452" s="4" t="s">
        <v>96</v>
      </c>
      <c r="Q452" s="4" t="s">
        <v>72</v>
      </c>
      <c r="R452" s="4" t="s">
        <v>61</v>
      </c>
      <c r="S452" s="4" t="s">
        <v>62</v>
      </c>
      <c r="T452" s="6" t="e">
        <v>#N/A</v>
      </c>
      <c r="U452" s="5">
        <v>66</v>
      </c>
      <c r="V452" s="5">
        <v>71</v>
      </c>
      <c r="W452" s="5">
        <v>57</v>
      </c>
      <c r="X452" s="5">
        <v>69</v>
      </c>
      <c r="Y452" s="5">
        <v>81.209999999999994</v>
      </c>
      <c r="Z452" s="5">
        <v>83.64</v>
      </c>
      <c r="AA452" s="5">
        <v>65.45</v>
      </c>
      <c r="AB452" s="5">
        <v>72.12</v>
      </c>
      <c r="AC452" s="6">
        <v>0.4</v>
      </c>
      <c r="AD452" s="6">
        <v>0.35</v>
      </c>
      <c r="AE452" s="6">
        <v>0.25</v>
      </c>
      <c r="AF452" s="4" t="s">
        <v>6296</v>
      </c>
      <c r="AG452" s="4" t="s">
        <v>6296</v>
      </c>
      <c r="AH452" s="4" t="s">
        <v>6296</v>
      </c>
      <c r="AI452" s="4" t="s">
        <v>6296</v>
      </c>
      <c r="AJ452" s="4" t="s">
        <v>6296</v>
      </c>
      <c r="AK452" s="4" t="s">
        <v>6296</v>
      </c>
      <c r="AL452" s="4" t="s">
        <v>6296</v>
      </c>
      <c r="AM452" s="4" t="s">
        <v>6296</v>
      </c>
      <c r="AN452" s="4" t="s">
        <v>6296</v>
      </c>
      <c r="AO452" s="4" t="s">
        <v>6296</v>
      </c>
      <c r="AP452" s="4" t="s">
        <v>1368</v>
      </c>
      <c r="AQ452" s="4" t="s">
        <v>47</v>
      </c>
    </row>
    <row r="453" spans="1:43" ht="12.6" customHeight="1" x14ac:dyDescent="0.25">
      <c r="A453" s="8" t="s">
        <v>1407</v>
      </c>
      <c r="B453" s="9">
        <v>20151231</v>
      </c>
      <c r="C453" s="12">
        <f>_xll.FDS("SPX","FG_PRICE(12/30/2015)")</f>
        <v>2063.36</v>
      </c>
      <c r="D453" s="12">
        <f>_xll.FDS("SPX","FG_PRICE(12/30/2017)")</f>
        <v>2673.61</v>
      </c>
      <c r="E453" s="15">
        <f>D453/C453-1</f>
        <v>0.2957554668114144</v>
      </c>
      <c r="F453" s="8" t="s">
        <v>1408</v>
      </c>
      <c r="G453" s="8" t="s">
        <v>1409</v>
      </c>
      <c r="H453" s="13">
        <f>_xll.FDS(G453,"FG_PRICE(12/30/2015)")</f>
        <v>42.56</v>
      </c>
      <c r="I453" s="13">
        <f>_xll.FDS(G453,"FG_PRICE(12/31/2017)")</f>
        <v>42.13</v>
      </c>
      <c r="J453" s="13">
        <f>I453/H453-1</f>
        <v>-1.0103383458646586E-2</v>
      </c>
      <c r="K453" s="13">
        <f>J453-E453</f>
        <v>-0.30585885027006099</v>
      </c>
      <c r="L453" s="13">
        <f>_xll.FDS(G453,"FF_ROE(ANN_R,12/30/2015)")</f>
        <v>27.2932168068889</v>
      </c>
      <c r="M453" s="8" t="s">
        <v>1410</v>
      </c>
      <c r="N453" s="4" t="s">
        <v>1410</v>
      </c>
      <c r="O453" s="4" t="s">
        <v>1411</v>
      </c>
      <c r="P453" s="4" t="s">
        <v>96</v>
      </c>
      <c r="Q453" s="4" t="s">
        <v>72</v>
      </c>
      <c r="R453" s="4" t="s">
        <v>61</v>
      </c>
      <c r="S453" s="4" t="s">
        <v>62</v>
      </c>
      <c r="T453" s="6" t="e">
        <v>#N/A</v>
      </c>
      <c r="U453" s="5">
        <v>64</v>
      </c>
      <c r="V453" s="5">
        <v>63</v>
      </c>
      <c r="W453" s="5">
        <v>65</v>
      </c>
      <c r="X453" s="5">
        <v>65</v>
      </c>
      <c r="Y453" s="5">
        <v>78.790000000000006</v>
      </c>
      <c r="Z453" s="5">
        <v>69.09</v>
      </c>
      <c r="AA453" s="5">
        <v>84.85</v>
      </c>
      <c r="AB453" s="5">
        <v>58.18</v>
      </c>
      <c r="AC453" s="6">
        <v>0.4</v>
      </c>
      <c r="AD453" s="6">
        <v>0.35</v>
      </c>
      <c r="AE453" s="6">
        <v>0.25</v>
      </c>
      <c r="AF453" s="4" t="s">
        <v>6296</v>
      </c>
      <c r="AG453" s="4" t="s">
        <v>6296</v>
      </c>
      <c r="AH453" s="4" t="s">
        <v>6296</v>
      </c>
      <c r="AI453" s="4" t="s">
        <v>42</v>
      </c>
      <c r="AJ453" s="4" t="s">
        <v>6296</v>
      </c>
      <c r="AK453" s="4" t="s">
        <v>6296</v>
      </c>
      <c r="AL453" s="4" t="s">
        <v>6296</v>
      </c>
      <c r="AM453" s="4" t="s">
        <v>37</v>
      </c>
      <c r="AN453" s="4" t="s">
        <v>6296</v>
      </c>
      <c r="AO453" s="4" t="s">
        <v>6296</v>
      </c>
      <c r="AP453" s="4" t="s">
        <v>1412</v>
      </c>
      <c r="AQ453" s="4" t="s">
        <v>47</v>
      </c>
    </row>
    <row r="454" spans="1:43" ht="12.6" customHeight="1" x14ac:dyDescent="0.25">
      <c r="A454" s="8" t="s">
        <v>1788</v>
      </c>
      <c r="B454" s="9">
        <v>20151231</v>
      </c>
      <c r="C454" s="12">
        <f>_xll.FDS("SPX","FG_PRICE(12/30/2015)")</f>
        <v>2063.36</v>
      </c>
      <c r="D454" s="12">
        <f>_xll.FDS("SPX","FG_PRICE(12/30/2017)")</f>
        <v>2673.61</v>
      </c>
      <c r="E454" s="15">
        <f>D454/C454-1</f>
        <v>0.2957554668114144</v>
      </c>
      <c r="F454" s="8" t="s">
        <v>1789</v>
      </c>
      <c r="G454" s="8" t="s">
        <v>1790</v>
      </c>
      <c r="H454" s="13">
        <f>_xll.FDS(G454,"FG_PRICE(12/30/2015)")</f>
        <v>24.29</v>
      </c>
      <c r="I454" s="13">
        <f>_xll.FDS(G454,"FG_PRICE(12/31/2017)")</f>
        <v>45.22</v>
      </c>
      <c r="J454" s="13">
        <f>I454/H454-1</f>
        <v>0.86167146974063402</v>
      </c>
      <c r="K454" s="13">
        <f>J454-E454</f>
        <v>0.56591600292921962</v>
      </c>
      <c r="L454" s="13">
        <f>_xll.FDS(G454,"FF_ROE(ANN_R,12/30/2015)")</f>
        <v>36.666701885651541</v>
      </c>
      <c r="M454" s="8" t="s">
        <v>1791</v>
      </c>
      <c r="N454" s="4" t="s">
        <v>1791</v>
      </c>
      <c r="O454" s="4" t="s">
        <v>1792</v>
      </c>
      <c r="P454" s="4" t="s">
        <v>96</v>
      </c>
      <c r="Q454" s="4" t="s">
        <v>72</v>
      </c>
      <c r="R454" s="4" t="s">
        <v>61</v>
      </c>
      <c r="S454" s="4" t="s">
        <v>62</v>
      </c>
      <c r="T454" s="6" t="e">
        <v>#N/A</v>
      </c>
      <c r="U454" s="5">
        <v>55</v>
      </c>
      <c r="V454" s="5">
        <v>45</v>
      </c>
      <c r="W454" s="5">
        <v>52</v>
      </c>
      <c r="X454" s="5">
        <v>75</v>
      </c>
      <c r="Y454" s="5">
        <v>41.82</v>
      </c>
      <c r="Z454" s="5">
        <v>21.21</v>
      </c>
      <c r="AA454" s="5">
        <v>47.27</v>
      </c>
      <c r="AB454" s="5">
        <v>87.88</v>
      </c>
      <c r="AC454" s="6">
        <v>0.4</v>
      </c>
      <c r="AD454" s="6">
        <v>0.35</v>
      </c>
      <c r="AE454" s="6">
        <v>0.25</v>
      </c>
      <c r="AF454" s="4" t="s">
        <v>6296</v>
      </c>
      <c r="AG454" s="4" t="s">
        <v>6296</v>
      </c>
      <c r="AH454" s="4" t="s">
        <v>6296</v>
      </c>
      <c r="AI454" s="4" t="s">
        <v>6296</v>
      </c>
      <c r="AJ454" s="4" t="s">
        <v>6296</v>
      </c>
      <c r="AK454" s="4" t="s">
        <v>42</v>
      </c>
      <c r="AL454" s="4" t="s">
        <v>6296</v>
      </c>
      <c r="AM454" s="4" t="s">
        <v>6296</v>
      </c>
      <c r="AN454" s="4" t="s">
        <v>6296</v>
      </c>
      <c r="AO454" s="4" t="s">
        <v>6296</v>
      </c>
      <c r="AP454" s="4" t="s">
        <v>1793</v>
      </c>
      <c r="AQ454" s="4" t="s">
        <v>47</v>
      </c>
    </row>
    <row r="455" spans="1:43" ht="12.6" customHeight="1" x14ac:dyDescent="0.25">
      <c r="A455" s="8" t="s">
        <v>1868</v>
      </c>
      <c r="B455" s="9">
        <v>20151231</v>
      </c>
      <c r="C455" s="12">
        <f>_xll.FDS("SPX","FG_PRICE(12/30/2015)")</f>
        <v>2063.36</v>
      </c>
      <c r="D455" s="12">
        <f>_xll.FDS("SPX","FG_PRICE(12/30/2017)")</f>
        <v>2673.61</v>
      </c>
      <c r="E455" s="15">
        <f>D455/C455-1</f>
        <v>0.2957554668114144</v>
      </c>
      <c r="F455" s="8" t="s">
        <v>1869</v>
      </c>
      <c r="G455" s="8" t="s">
        <v>1870</v>
      </c>
      <c r="H455" s="13">
        <f>_xll.FDS(G455,"FG_PRICE(12/30/2015)")</f>
        <v>7.87</v>
      </c>
      <c r="I455" s="13">
        <f>_xll.FDS(G455,"FG_PRICE(12/31/2017)")</f>
        <v>18.649999999999999</v>
      </c>
      <c r="J455" s="13">
        <f>I455/H455-1</f>
        <v>1.3697585768742058</v>
      </c>
      <c r="K455" s="13">
        <f>J455-E455</f>
        <v>1.0740031100627914</v>
      </c>
      <c r="L455" s="13">
        <f>_xll.FDS(G455,"FF_ROE(ANN_R,12/30/2015)")</f>
        <v>-5.1142506283497644</v>
      </c>
      <c r="M455" s="8" t="s">
        <v>1871</v>
      </c>
      <c r="N455" s="4" t="s">
        <v>1871</v>
      </c>
      <c r="O455" s="4" t="s">
        <v>1872</v>
      </c>
      <c r="P455" s="4" t="s">
        <v>96</v>
      </c>
      <c r="Q455" s="4" t="s">
        <v>72</v>
      </c>
      <c r="R455" s="4" t="s">
        <v>61</v>
      </c>
      <c r="S455" s="4" t="s">
        <v>62</v>
      </c>
      <c r="T455" s="6" t="e">
        <v>#N/A</v>
      </c>
      <c r="U455" s="5">
        <v>51</v>
      </c>
      <c r="V455" s="5">
        <v>44</v>
      </c>
      <c r="W455" s="5">
        <v>52</v>
      </c>
      <c r="X455" s="5">
        <v>60</v>
      </c>
      <c r="Y455" s="5">
        <v>27.27</v>
      </c>
      <c r="Z455" s="5">
        <v>18.79</v>
      </c>
      <c r="AA455" s="5">
        <v>47.27</v>
      </c>
      <c r="AB455" s="5">
        <v>35.76</v>
      </c>
      <c r="AC455" s="6">
        <v>0.4</v>
      </c>
      <c r="AD455" s="6">
        <v>0.35</v>
      </c>
      <c r="AE455" s="6">
        <v>0.25</v>
      </c>
      <c r="AF455" s="4" t="s">
        <v>6296</v>
      </c>
      <c r="AG455" s="4" t="s">
        <v>6296</v>
      </c>
      <c r="AH455" s="4" t="s">
        <v>6296</v>
      </c>
      <c r="AI455" s="4" t="s">
        <v>6296</v>
      </c>
      <c r="AJ455" s="4" t="s">
        <v>6296</v>
      </c>
      <c r="AK455" s="4" t="s">
        <v>6296</v>
      </c>
      <c r="AL455" s="4" t="s">
        <v>6296</v>
      </c>
      <c r="AM455" s="4" t="s">
        <v>6296</v>
      </c>
      <c r="AN455" s="4" t="s">
        <v>6296</v>
      </c>
      <c r="AO455" s="4" t="s">
        <v>6296</v>
      </c>
      <c r="AP455" s="4" t="s">
        <v>1873</v>
      </c>
      <c r="AQ455" s="4" t="s">
        <v>47</v>
      </c>
    </row>
    <row r="456" spans="1:43" ht="12.6" customHeight="1" x14ac:dyDescent="0.25">
      <c r="A456" s="8" t="s">
        <v>2111</v>
      </c>
      <c r="B456" s="9">
        <v>20151231</v>
      </c>
      <c r="C456" s="12">
        <f>_xll.FDS("SPX","FG_PRICE(12/30/2015)")</f>
        <v>2063.36</v>
      </c>
      <c r="D456" s="12">
        <f>_xll.FDS("SPX","FG_PRICE(12/30/2017)")</f>
        <v>2673.61</v>
      </c>
      <c r="E456" s="15">
        <f>D456/C456-1</f>
        <v>0.2957554668114144</v>
      </c>
      <c r="F456" s="8" t="s">
        <v>2112</v>
      </c>
      <c r="G456" s="8" t="s">
        <v>2113</v>
      </c>
      <c r="H456" s="13">
        <f>_xll.FDS(G456,"FG_PRICE(12/30/2015)")</f>
        <v>77.12</v>
      </c>
      <c r="I456" s="13">
        <f>_xll.FDS(G456,"FG_PRICE(12/31/2017)")</f>
        <v>131.97</v>
      </c>
      <c r="J456" s="13">
        <f>I456/H456-1</f>
        <v>0.711229253112033</v>
      </c>
      <c r="K456" s="13">
        <f>J456-E456</f>
        <v>0.4154737863006186</v>
      </c>
      <c r="L456" s="13">
        <f>_xll.FDS(G456,"FF_ROE(ANN_R,12/30/2015)")</f>
        <v>18.178882409852779</v>
      </c>
      <c r="M456" s="8" t="s">
        <v>2114</v>
      </c>
      <c r="N456" s="4" t="s">
        <v>2114</v>
      </c>
      <c r="O456" s="4" t="s">
        <v>2115</v>
      </c>
      <c r="P456" s="4" t="s">
        <v>96</v>
      </c>
      <c r="Q456" s="4" t="s">
        <v>72</v>
      </c>
      <c r="R456" s="4" t="s">
        <v>61</v>
      </c>
      <c r="S456" s="4" t="s">
        <v>62</v>
      </c>
      <c r="T456" s="6" t="e">
        <v>#N/A</v>
      </c>
      <c r="U456" s="5">
        <v>58</v>
      </c>
      <c r="V456" s="5">
        <v>63</v>
      </c>
      <c r="W456" s="5">
        <v>43</v>
      </c>
      <c r="X456" s="5">
        <v>72</v>
      </c>
      <c r="Y456" s="5">
        <v>55.15</v>
      </c>
      <c r="Z456" s="5">
        <v>69.09</v>
      </c>
      <c r="AA456" s="6">
        <v>4.8499999999999996</v>
      </c>
      <c r="AB456" s="5">
        <v>80.61</v>
      </c>
      <c r="AC456" s="6">
        <v>0.4</v>
      </c>
      <c r="AD456" s="6">
        <v>0.35</v>
      </c>
      <c r="AE456" s="6">
        <v>0.25</v>
      </c>
      <c r="AF456" s="4" t="s">
        <v>6296</v>
      </c>
      <c r="AG456" s="4" t="s">
        <v>6296</v>
      </c>
      <c r="AH456" s="4" t="s">
        <v>6296</v>
      </c>
      <c r="AI456" s="4" t="s">
        <v>42</v>
      </c>
      <c r="AJ456" s="4" t="s">
        <v>6296</v>
      </c>
      <c r="AK456" s="4" t="s">
        <v>6296</v>
      </c>
      <c r="AL456" s="4" t="s">
        <v>6296</v>
      </c>
      <c r="AM456" s="4" t="s">
        <v>6296</v>
      </c>
      <c r="AN456" s="4" t="s">
        <v>6296</v>
      </c>
      <c r="AO456" s="4" t="s">
        <v>6296</v>
      </c>
      <c r="AP456" s="4" t="s">
        <v>2116</v>
      </c>
      <c r="AQ456" s="4" t="s">
        <v>47</v>
      </c>
    </row>
    <row r="457" spans="1:43" ht="12.6" customHeight="1" x14ac:dyDescent="0.25">
      <c r="A457" s="8" t="s">
        <v>6520</v>
      </c>
      <c r="B457" s="9">
        <v>20151231</v>
      </c>
      <c r="C457" s="12">
        <f>_xll.FDS("SPX","FG_PRICE(12/30/2015)")</f>
        <v>2063.36</v>
      </c>
      <c r="D457" s="12">
        <f>_xll.FDS("SPX","FG_PRICE(12/30/2017)")</f>
        <v>2673.61</v>
      </c>
      <c r="E457" s="15">
        <f>D457/C457-1</f>
        <v>0.2957554668114144</v>
      </c>
      <c r="F457" s="8" t="s">
        <v>6286</v>
      </c>
      <c r="G457" s="8" t="s">
        <v>6287</v>
      </c>
      <c r="H457" s="13">
        <f>_xll.FDS(G457,"FG_PRICE(12/30/2015)")</f>
        <v>36.68</v>
      </c>
      <c r="I457" s="13">
        <f>_xll.FDS(G457,"FG_PRICE(12/31/2017)")</f>
        <v>53.37</v>
      </c>
      <c r="J457" s="13">
        <f>I457/H457-1</f>
        <v>0.45501635768811344</v>
      </c>
      <c r="K457" s="13">
        <f>J457-E457</f>
        <v>0.15926089087669903</v>
      </c>
      <c r="L457" s="13">
        <f>_xll.FDS(G457,"FF_ROE(ANN_R,12/30/2015)")</f>
        <v>15.596672047684089</v>
      </c>
      <c r="M457" s="8" t="s">
        <v>6288</v>
      </c>
      <c r="N457" s="4" t="s">
        <v>6521</v>
      </c>
      <c r="O457" s="4" t="s">
        <v>6289</v>
      </c>
      <c r="P457" s="4" t="s">
        <v>96</v>
      </c>
      <c r="Q457" s="4" t="s">
        <v>72</v>
      </c>
      <c r="R457" s="4" t="s">
        <v>61</v>
      </c>
      <c r="S457" s="4" t="s">
        <v>62</v>
      </c>
      <c r="T457" s="6" t="e">
        <v>#N/A</v>
      </c>
      <c r="U457" s="5">
        <v>58</v>
      </c>
      <c r="V457" s="5">
        <v>49</v>
      </c>
      <c r="W457" s="5">
        <v>59</v>
      </c>
      <c r="X457" s="5">
        <v>71</v>
      </c>
      <c r="Y457" s="5">
        <v>55.15</v>
      </c>
      <c r="Z457" s="5">
        <v>31.52</v>
      </c>
      <c r="AA457" s="5">
        <v>70.91</v>
      </c>
      <c r="AB457" s="5">
        <v>77.58</v>
      </c>
      <c r="AC457" s="6">
        <v>0.4</v>
      </c>
      <c r="AD457" s="6">
        <v>0.35</v>
      </c>
      <c r="AE457" s="6">
        <v>0.25</v>
      </c>
      <c r="AF457" s="4" t="s">
        <v>6296</v>
      </c>
      <c r="AG457" s="4" t="s">
        <v>6296</v>
      </c>
      <c r="AH457" s="4" t="s">
        <v>6296</v>
      </c>
      <c r="AI457" s="4" t="s">
        <v>6296</v>
      </c>
      <c r="AJ457" s="4" t="s">
        <v>6296</v>
      </c>
      <c r="AK457" s="4" t="s">
        <v>42</v>
      </c>
      <c r="AL457" s="4" t="s">
        <v>6296</v>
      </c>
      <c r="AM457" s="4" t="s">
        <v>6296</v>
      </c>
      <c r="AN457" s="4" t="s">
        <v>6296</v>
      </c>
      <c r="AO457" s="4" t="s">
        <v>6296</v>
      </c>
      <c r="AP457" s="4" t="s">
        <v>6522</v>
      </c>
      <c r="AQ457" s="4" t="s">
        <v>47</v>
      </c>
    </row>
    <row r="458" spans="1:43" ht="12.6" customHeight="1" x14ac:dyDescent="0.25">
      <c r="A458" s="8" t="s">
        <v>2117</v>
      </c>
      <c r="B458" s="9">
        <v>20151231</v>
      </c>
      <c r="C458" s="12">
        <f>_xll.FDS("SPX","FG_PRICE(12/30/2015)")</f>
        <v>2063.36</v>
      </c>
      <c r="D458" s="12">
        <f>_xll.FDS("SPX","FG_PRICE(12/30/2017)")</f>
        <v>2673.61</v>
      </c>
      <c r="E458" s="15">
        <f>D458/C458-1</f>
        <v>0.2957554668114144</v>
      </c>
      <c r="F458" s="8" t="s">
        <v>2118</v>
      </c>
      <c r="G458" s="8" t="s">
        <v>2119</v>
      </c>
      <c r="H458" s="13">
        <f>_xll.FDS(G458,"FG_PRICE(12/30/2015)")</f>
        <v>93.19</v>
      </c>
      <c r="I458" s="13">
        <f>_xll.FDS(G458,"FG_PRICE(12/31/2017)")</f>
        <v>166.85</v>
      </c>
      <c r="J458" s="13">
        <f>I458/H458-1</f>
        <v>0.79042815752763174</v>
      </c>
      <c r="K458" s="13">
        <f>J458-E458</f>
        <v>0.49467269071621733</v>
      </c>
      <c r="L458" s="13">
        <f>_xll.FDS(G458,"FF_ROE(ANN_R,12/30/2015)")</f>
        <v>22.878586127587461</v>
      </c>
      <c r="M458" s="8" t="s">
        <v>2120</v>
      </c>
      <c r="N458" s="4" t="s">
        <v>2120</v>
      </c>
      <c r="O458" s="4" t="s">
        <v>2121</v>
      </c>
      <c r="P458" s="4" t="s">
        <v>96</v>
      </c>
      <c r="Q458" s="4" t="s">
        <v>72</v>
      </c>
      <c r="R458" s="4" t="s">
        <v>61</v>
      </c>
      <c r="S458" s="4" t="s">
        <v>62</v>
      </c>
      <c r="T458" s="6" t="e">
        <v>#N/A</v>
      </c>
      <c r="U458" s="5">
        <v>61</v>
      </c>
      <c r="V458" s="5">
        <v>58</v>
      </c>
      <c r="W458" s="5">
        <v>60</v>
      </c>
      <c r="X458" s="5">
        <v>68</v>
      </c>
      <c r="Y458" s="5">
        <v>66.67</v>
      </c>
      <c r="Z458" s="5">
        <v>60</v>
      </c>
      <c r="AA458" s="5">
        <v>74.55</v>
      </c>
      <c r="AB458" s="5">
        <v>67.27</v>
      </c>
      <c r="AC458" s="6">
        <v>0.4</v>
      </c>
      <c r="AD458" s="6">
        <v>0.35</v>
      </c>
      <c r="AE458" s="6">
        <v>0.25</v>
      </c>
      <c r="AF458" s="4" t="s">
        <v>6296</v>
      </c>
      <c r="AG458" s="4" t="s">
        <v>6296</v>
      </c>
      <c r="AH458" s="4" t="s">
        <v>6296</v>
      </c>
      <c r="AI458" s="4" t="s">
        <v>6296</v>
      </c>
      <c r="AJ458" s="4" t="s">
        <v>6296</v>
      </c>
      <c r="AK458" s="4" t="s">
        <v>6296</v>
      </c>
      <c r="AL458" s="4" t="s">
        <v>6296</v>
      </c>
      <c r="AM458" s="4" t="s">
        <v>42</v>
      </c>
      <c r="AN458" s="4" t="s">
        <v>6296</v>
      </c>
      <c r="AO458" s="4" t="s">
        <v>6296</v>
      </c>
      <c r="AP458" s="4" t="s">
        <v>2122</v>
      </c>
      <c r="AQ458" s="4" t="s">
        <v>47</v>
      </c>
    </row>
    <row r="459" spans="1:43" ht="12.6" customHeight="1" x14ac:dyDescent="0.25">
      <c r="A459" s="8" t="s">
        <v>3569</v>
      </c>
      <c r="B459" s="9">
        <v>20151231</v>
      </c>
      <c r="C459" s="12">
        <f>_xll.FDS("SPX","FG_PRICE(12/30/2015)")</f>
        <v>2063.36</v>
      </c>
      <c r="D459" s="12">
        <f>_xll.FDS("SPX","FG_PRICE(12/30/2017)")</f>
        <v>2673.61</v>
      </c>
      <c r="E459" s="15">
        <f>D459/C459-1</f>
        <v>0.2957554668114144</v>
      </c>
      <c r="F459" s="8" t="s">
        <v>3570</v>
      </c>
      <c r="G459" s="8" t="s">
        <v>3571</v>
      </c>
      <c r="H459" s="13">
        <f>_xll.FDS(G459,"FG_PRICE(12/30/2015)")</f>
        <v>12.8</v>
      </c>
      <c r="I459" s="13" t="e">
        <f>_xll.FDS(G459,"FG_PRICE(12/31/2017)")</f>
        <v>#N/A</v>
      </c>
      <c r="J459" s="13" t="e">
        <f>I459/H459-1</f>
        <v>#N/A</v>
      </c>
      <c r="K459" s="13" t="e">
        <f>J459-E459</f>
        <v>#N/A</v>
      </c>
      <c r="L459" s="13">
        <f>_xll.FDS(G459,"FF_ROE(ANN_R,12/30/2015)")</f>
        <v>-55.352531700141583</v>
      </c>
      <c r="M459" s="8" t="s">
        <v>3572</v>
      </c>
      <c r="N459" s="4" t="s">
        <v>3572</v>
      </c>
      <c r="O459" s="4" t="s">
        <v>3573</v>
      </c>
      <c r="P459" s="4" t="s">
        <v>96</v>
      </c>
      <c r="Q459" s="4" t="s">
        <v>72</v>
      </c>
      <c r="R459" s="4" t="s">
        <v>61</v>
      </c>
      <c r="S459" s="4" t="s">
        <v>62</v>
      </c>
      <c r="T459" s="6" t="e">
        <v>#N/A</v>
      </c>
      <c r="U459" s="5">
        <v>54</v>
      </c>
      <c r="V459" s="5">
        <v>51</v>
      </c>
      <c r="W459" s="5">
        <v>48</v>
      </c>
      <c r="X459" s="5">
        <v>67</v>
      </c>
      <c r="Y459" s="5">
        <v>38.18</v>
      </c>
      <c r="Z459" s="5">
        <v>37.58</v>
      </c>
      <c r="AA459" s="5">
        <v>30.91</v>
      </c>
      <c r="AB459" s="5">
        <v>63.64</v>
      </c>
      <c r="AC459" s="6">
        <v>0.4</v>
      </c>
      <c r="AD459" s="6">
        <v>0.35</v>
      </c>
      <c r="AE459" s="6">
        <v>0.25</v>
      </c>
      <c r="AF459" s="4" t="s">
        <v>6296</v>
      </c>
      <c r="AG459" s="4" t="s">
        <v>6296</v>
      </c>
      <c r="AH459" s="4" t="s">
        <v>6296</v>
      </c>
      <c r="AI459" s="4" t="s">
        <v>6296</v>
      </c>
      <c r="AJ459" s="4" t="s">
        <v>6296</v>
      </c>
      <c r="AK459" s="4" t="s">
        <v>6296</v>
      </c>
      <c r="AL459" s="4" t="s">
        <v>6296</v>
      </c>
      <c r="AM459" s="4" t="s">
        <v>6296</v>
      </c>
      <c r="AN459" s="4" t="s">
        <v>6296</v>
      </c>
      <c r="AO459" s="4" t="s">
        <v>6296</v>
      </c>
      <c r="AP459" s="4" t="s">
        <v>3574</v>
      </c>
      <c r="AQ459" s="4" t="s">
        <v>47</v>
      </c>
    </row>
    <row r="460" spans="1:43" ht="12.6" customHeight="1" x14ac:dyDescent="0.25">
      <c r="A460" s="8" t="s">
        <v>2283</v>
      </c>
      <c r="B460" s="9">
        <v>20151231</v>
      </c>
      <c r="C460" s="12">
        <f>_xll.FDS("SPX","FG_PRICE(12/30/2015)")</f>
        <v>2063.36</v>
      </c>
      <c r="D460" s="12">
        <f>_xll.FDS("SPX","FG_PRICE(12/30/2017)")</f>
        <v>2673.61</v>
      </c>
      <c r="E460" s="15">
        <f>D460/C460-1</f>
        <v>0.2957554668114144</v>
      </c>
      <c r="F460" s="8" t="s">
        <v>2284</v>
      </c>
      <c r="G460" s="8" t="s">
        <v>2285</v>
      </c>
      <c r="H460" s="13">
        <f>_xll.FDS(G460,"FG_PRICE(12/30/2015)")</f>
        <v>19.25</v>
      </c>
      <c r="I460" s="13">
        <f>_xll.FDS(G460,"FG_PRICE(12/31/2017)")</f>
        <v>48.41</v>
      </c>
      <c r="J460" s="13">
        <f>I460/H460-1</f>
        <v>1.5148051948051946</v>
      </c>
      <c r="K460" s="13">
        <f>J460-E460</f>
        <v>1.2190497279937802</v>
      </c>
      <c r="L460" s="13">
        <f>_xll.FDS(G460,"FF_ROE(ANN_R,12/30/2015)")</f>
        <v>-22.83290428306265</v>
      </c>
      <c r="M460" s="8" t="s">
        <v>2286</v>
      </c>
      <c r="N460" s="4" t="s">
        <v>2286</v>
      </c>
      <c r="O460" s="4" t="s">
        <v>2287</v>
      </c>
      <c r="P460" s="4" t="s">
        <v>96</v>
      </c>
      <c r="Q460" s="4" t="s">
        <v>72</v>
      </c>
      <c r="R460" s="4" t="s">
        <v>61</v>
      </c>
      <c r="S460" s="4" t="s">
        <v>62</v>
      </c>
      <c r="T460" s="6" t="e">
        <v>#N/A</v>
      </c>
      <c r="U460" s="5">
        <v>48</v>
      </c>
      <c r="V460" s="5">
        <v>37</v>
      </c>
      <c r="W460" s="5">
        <v>46</v>
      </c>
      <c r="X460" s="5">
        <v>68</v>
      </c>
      <c r="Y460" s="5">
        <v>12.12</v>
      </c>
      <c r="Z460" s="6">
        <v>2.42</v>
      </c>
      <c r="AA460" s="5">
        <v>15.76</v>
      </c>
      <c r="AB460" s="5">
        <v>67.27</v>
      </c>
      <c r="AC460" s="6">
        <v>0.4</v>
      </c>
      <c r="AD460" s="6">
        <v>0.35</v>
      </c>
      <c r="AE460" s="6">
        <v>0.25</v>
      </c>
      <c r="AF460" s="4" t="s">
        <v>6296</v>
      </c>
      <c r="AG460" s="4" t="s">
        <v>6296</v>
      </c>
      <c r="AH460" s="4" t="s">
        <v>6296</v>
      </c>
      <c r="AI460" s="4" t="s">
        <v>6296</v>
      </c>
      <c r="AJ460" s="4" t="s">
        <v>6296</v>
      </c>
      <c r="AK460" s="4" t="s">
        <v>6296</v>
      </c>
      <c r="AL460" s="4" t="s">
        <v>6296</v>
      </c>
      <c r="AM460" s="4" t="s">
        <v>6296</v>
      </c>
      <c r="AN460" s="4" t="s">
        <v>6296</v>
      </c>
      <c r="AO460" s="4" t="s">
        <v>6296</v>
      </c>
      <c r="AP460" s="4" t="s">
        <v>2288</v>
      </c>
      <c r="AQ460" s="4" t="s">
        <v>47</v>
      </c>
    </row>
    <row r="461" spans="1:43" ht="12.6" customHeight="1" x14ac:dyDescent="0.25">
      <c r="A461" s="8" t="s">
        <v>2435</v>
      </c>
      <c r="B461" s="9">
        <v>20151231</v>
      </c>
      <c r="C461" s="12">
        <f>_xll.FDS("SPX","FG_PRICE(12/30/2015)")</f>
        <v>2063.36</v>
      </c>
      <c r="D461" s="12">
        <f>_xll.FDS("SPX","FG_PRICE(12/30/2017)")</f>
        <v>2673.61</v>
      </c>
      <c r="E461" s="15">
        <f>D461/C461-1</f>
        <v>0.2957554668114144</v>
      </c>
      <c r="F461" s="8" t="s">
        <v>2436</v>
      </c>
      <c r="G461" s="8" t="s">
        <v>2437</v>
      </c>
      <c r="H461" s="13">
        <f>_xll.FDS(G461,"FG_PRICE(12/30/2015)")</f>
        <v>52.4</v>
      </c>
      <c r="I461" s="13">
        <f>_xll.FDS(G461,"FG_PRICE(12/31/2017)")</f>
        <v>91.58</v>
      </c>
      <c r="J461" s="13">
        <f>I461/H461-1</f>
        <v>0.74770992366412226</v>
      </c>
      <c r="K461" s="13">
        <f>J461-E461</f>
        <v>0.45195445685270785</v>
      </c>
      <c r="L461" s="13">
        <f>_xll.FDS(G461,"FF_ROE(ANN_R,12/30/2015)")</f>
        <v>18.132595933789251</v>
      </c>
      <c r="M461" s="8" t="s">
        <v>2438</v>
      </c>
      <c r="N461" s="4" t="s">
        <v>2439</v>
      </c>
      <c r="O461" s="4" t="s">
        <v>2440</v>
      </c>
      <c r="P461" s="4" t="s">
        <v>106</v>
      </c>
      <c r="Q461" s="4" t="s">
        <v>72</v>
      </c>
      <c r="R461" s="4" t="s">
        <v>61</v>
      </c>
      <c r="S461" s="4" t="s">
        <v>62</v>
      </c>
      <c r="T461" s="6" t="e">
        <v>#N/A</v>
      </c>
      <c r="U461" s="5">
        <v>57</v>
      </c>
      <c r="V461" s="5">
        <v>56</v>
      </c>
      <c r="W461" s="5">
        <v>51</v>
      </c>
      <c r="X461" s="5">
        <v>68</v>
      </c>
      <c r="Y461" s="5">
        <v>52.73</v>
      </c>
      <c r="Z461" s="5">
        <v>51.52</v>
      </c>
      <c r="AA461" s="5">
        <v>42.42</v>
      </c>
      <c r="AB461" s="5">
        <v>67.27</v>
      </c>
      <c r="AC461" s="6">
        <v>0.4</v>
      </c>
      <c r="AD461" s="6">
        <v>0.35</v>
      </c>
      <c r="AE461" s="6">
        <v>0.25</v>
      </c>
      <c r="AF461" s="4" t="s">
        <v>6296</v>
      </c>
      <c r="AG461" s="4" t="s">
        <v>6296</v>
      </c>
      <c r="AH461" s="4" t="s">
        <v>6296</v>
      </c>
      <c r="AI461" s="4" t="s">
        <v>42</v>
      </c>
      <c r="AJ461" s="4" t="s">
        <v>6296</v>
      </c>
      <c r="AK461" s="4" t="s">
        <v>6296</v>
      </c>
      <c r="AL461" s="4" t="s">
        <v>6296</v>
      </c>
      <c r="AM461" s="4" t="s">
        <v>6296</v>
      </c>
      <c r="AN461" s="4" t="s">
        <v>6296</v>
      </c>
      <c r="AO461" s="4" t="s">
        <v>6296</v>
      </c>
      <c r="AP461" s="4" t="s">
        <v>2441</v>
      </c>
      <c r="AQ461" s="4" t="s">
        <v>47</v>
      </c>
    </row>
    <row r="462" spans="1:43" ht="12.6" customHeight="1" x14ac:dyDescent="0.25">
      <c r="A462" s="8" t="s">
        <v>2571</v>
      </c>
      <c r="B462" s="9">
        <v>20151231</v>
      </c>
      <c r="C462" s="12">
        <f>_xll.FDS("SPX","FG_PRICE(12/30/2015)")</f>
        <v>2063.36</v>
      </c>
      <c r="D462" s="12">
        <f>_xll.FDS("SPX","FG_PRICE(12/30/2017)")</f>
        <v>2673.61</v>
      </c>
      <c r="E462" s="15">
        <f>D462/C462-1</f>
        <v>0.2957554668114144</v>
      </c>
      <c r="F462" s="8" t="s">
        <v>2572</v>
      </c>
      <c r="G462" s="8" t="s">
        <v>2573</v>
      </c>
      <c r="H462" s="13">
        <f>_xll.FDS(G462,"FG_PRICE(12/30/2015)")</f>
        <v>12.891384</v>
      </c>
      <c r="I462" s="13">
        <f>_xll.FDS(G462,"FG_PRICE(12/31/2017)")</f>
        <v>39.340000000000003</v>
      </c>
      <c r="J462" s="13">
        <f>I462/H462-1</f>
        <v>2.0516506218416892</v>
      </c>
      <c r="K462" s="13">
        <f>J462-E462</f>
        <v>1.7558951550302748</v>
      </c>
      <c r="L462" s="13">
        <f>_xll.FDS(G462,"FF_ROE(ANN_R,12/30/2015)")</f>
        <v>19.617404351087771</v>
      </c>
      <c r="M462" s="8" t="s">
        <v>2574</v>
      </c>
      <c r="N462" s="4" t="s">
        <v>2575</v>
      </c>
      <c r="O462" s="4" t="s">
        <v>2576</v>
      </c>
      <c r="P462" s="4" t="s">
        <v>96</v>
      </c>
      <c r="Q462" s="4" t="s">
        <v>72</v>
      </c>
      <c r="R462" s="4" t="s">
        <v>61</v>
      </c>
      <c r="S462" s="4" t="s">
        <v>62</v>
      </c>
      <c r="T462" s="6" t="e">
        <v>#N/A</v>
      </c>
      <c r="U462" s="5">
        <v>59</v>
      </c>
      <c r="V462" s="5">
        <v>55</v>
      </c>
      <c r="W462" s="5">
        <v>55</v>
      </c>
      <c r="X462" s="5">
        <v>71</v>
      </c>
      <c r="Y462" s="5">
        <v>61.21</v>
      </c>
      <c r="Z462" s="5">
        <v>48.48</v>
      </c>
      <c r="AA462" s="5">
        <v>58.79</v>
      </c>
      <c r="AB462" s="5">
        <v>77.58</v>
      </c>
      <c r="AC462" s="6">
        <v>0.4</v>
      </c>
      <c r="AD462" s="6">
        <v>0.35</v>
      </c>
      <c r="AE462" s="6">
        <v>0.25</v>
      </c>
      <c r="AF462" s="4" t="s">
        <v>6296</v>
      </c>
      <c r="AG462" s="4" t="s">
        <v>6296</v>
      </c>
      <c r="AH462" s="4" t="s">
        <v>6296</v>
      </c>
      <c r="AI462" s="4" t="s">
        <v>42</v>
      </c>
      <c r="AJ462" s="4" t="s">
        <v>6296</v>
      </c>
      <c r="AK462" s="4" t="s">
        <v>42</v>
      </c>
      <c r="AL462" s="4" t="s">
        <v>6296</v>
      </c>
      <c r="AM462" s="4" t="s">
        <v>6296</v>
      </c>
      <c r="AN462" s="4" t="s">
        <v>6296</v>
      </c>
      <c r="AO462" s="4" t="s">
        <v>6296</v>
      </c>
      <c r="AP462" s="4" t="s">
        <v>2577</v>
      </c>
      <c r="AQ462" s="4" t="s">
        <v>47</v>
      </c>
    </row>
    <row r="463" spans="1:43" ht="12.6" customHeight="1" x14ac:dyDescent="0.25">
      <c r="A463" s="8" t="s">
        <v>2812</v>
      </c>
      <c r="B463" s="9">
        <v>20151231</v>
      </c>
      <c r="C463" s="12">
        <f>_xll.FDS("SPX","FG_PRICE(12/30/2015)")</f>
        <v>2063.36</v>
      </c>
      <c r="D463" s="12">
        <f>_xll.FDS("SPX","FG_PRICE(12/30/2017)")</f>
        <v>2673.61</v>
      </c>
      <c r="E463" s="15">
        <f>D463/C463-1</f>
        <v>0.2957554668114144</v>
      </c>
      <c r="F463" s="8" t="s">
        <v>2813</v>
      </c>
      <c r="G463" s="8" t="s">
        <v>2814</v>
      </c>
      <c r="H463" s="13">
        <f>_xll.FDS(G463,"FG_PRICE(12/30/2015)")</f>
        <v>8.86</v>
      </c>
      <c r="I463" s="13">
        <f>_xll.FDS(G463,"FG_PRICE(12/31/2017)")</f>
        <v>42.88</v>
      </c>
      <c r="J463" s="13">
        <f>I463/H463-1</f>
        <v>3.839729119638827</v>
      </c>
      <c r="K463" s="13">
        <f>J463-E463</f>
        <v>3.5439736528274128</v>
      </c>
      <c r="L463" s="13" t="e">
        <f>_xll.FDS(G463,"FF_ROE(ANN_R,12/30/2015)")</f>
        <v>#N/A</v>
      </c>
      <c r="M463" s="8" t="s">
        <v>2815</v>
      </c>
      <c r="N463" s="4" t="s">
        <v>2815</v>
      </c>
      <c r="O463" s="4" t="s">
        <v>2816</v>
      </c>
      <c r="P463" s="4" t="s">
        <v>96</v>
      </c>
      <c r="Q463" s="4" t="s">
        <v>72</v>
      </c>
      <c r="R463" s="4" t="s">
        <v>61</v>
      </c>
      <c r="S463" s="4" t="s">
        <v>62</v>
      </c>
      <c r="T463" s="6" t="e">
        <v>#N/A</v>
      </c>
      <c r="U463" s="5">
        <v>71</v>
      </c>
      <c r="V463" s="5">
        <v>91</v>
      </c>
      <c r="W463" s="5">
        <v>50</v>
      </c>
      <c r="X463" s="5">
        <v>66</v>
      </c>
      <c r="Y463" s="5">
        <v>88.48</v>
      </c>
      <c r="Z463" s="5">
        <v>99.39</v>
      </c>
      <c r="AA463" s="5">
        <v>36.97</v>
      </c>
      <c r="AB463" s="5">
        <v>61.21</v>
      </c>
      <c r="AC463" s="6">
        <v>0.4</v>
      </c>
      <c r="AD463" s="6">
        <v>0.35</v>
      </c>
      <c r="AE463" s="6">
        <v>0.25</v>
      </c>
      <c r="AF463" s="4" t="s">
        <v>42</v>
      </c>
      <c r="AG463" s="4" t="s">
        <v>6296</v>
      </c>
      <c r="AH463" s="4" t="s">
        <v>6296</v>
      </c>
      <c r="AI463" s="4" t="s">
        <v>42</v>
      </c>
      <c r="AJ463" s="4" t="s">
        <v>6296</v>
      </c>
      <c r="AK463" s="4" t="s">
        <v>37</v>
      </c>
      <c r="AL463" s="4" t="s">
        <v>6296</v>
      </c>
      <c r="AM463" s="4" t="s">
        <v>6296</v>
      </c>
      <c r="AN463" s="4" t="s">
        <v>6296</v>
      </c>
      <c r="AO463" s="4" t="s">
        <v>37</v>
      </c>
      <c r="AP463" s="4" t="s">
        <v>2817</v>
      </c>
      <c r="AQ463" s="4" t="s">
        <v>47</v>
      </c>
    </row>
    <row r="464" spans="1:43" ht="12.6" customHeight="1" x14ac:dyDescent="0.25">
      <c r="A464" s="8" t="s">
        <v>2914</v>
      </c>
      <c r="B464" s="9">
        <v>20151231</v>
      </c>
      <c r="C464" s="12">
        <f>_xll.FDS("SPX","FG_PRICE(12/30/2015)")</f>
        <v>2063.36</v>
      </c>
      <c r="D464" s="12">
        <f>_xll.FDS("SPX","FG_PRICE(12/30/2017)")</f>
        <v>2673.61</v>
      </c>
      <c r="E464" s="15">
        <f>D464/C464-1</f>
        <v>0.2957554668114144</v>
      </c>
      <c r="F464" s="8" t="s">
        <v>2915</v>
      </c>
      <c r="G464" s="8" t="s">
        <v>2916</v>
      </c>
      <c r="H464" s="13">
        <f>_xll.FDS(G464,"FG_PRICE(12/30/2015)")</f>
        <v>64.569999999999993</v>
      </c>
      <c r="I464" s="13">
        <f>_xll.FDS(G464,"FG_PRICE(12/31/2017)")</f>
        <v>146.4</v>
      </c>
      <c r="J464" s="13">
        <f>I464/H464-1</f>
        <v>1.2673067988229829</v>
      </c>
      <c r="K464" s="13">
        <f>J464-E464</f>
        <v>0.97155133201156851</v>
      </c>
      <c r="L464" s="13">
        <f>_xll.FDS(G464,"FF_ROE(ANN_R,12/30/2015)")</f>
        <v>26.982265612568401</v>
      </c>
      <c r="M464" s="8" t="s">
        <v>2917</v>
      </c>
      <c r="N464" s="4" t="s">
        <v>2917</v>
      </c>
      <c r="O464" s="4" t="s">
        <v>2918</v>
      </c>
      <c r="P464" s="4" t="s">
        <v>106</v>
      </c>
      <c r="Q464" s="4" t="s">
        <v>72</v>
      </c>
      <c r="R464" s="4" t="s">
        <v>61</v>
      </c>
      <c r="S464" s="4" t="s">
        <v>62</v>
      </c>
      <c r="T464" s="6" t="e">
        <v>#N/A</v>
      </c>
      <c r="U464" s="5">
        <v>63</v>
      </c>
      <c r="V464" s="5">
        <v>60</v>
      </c>
      <c r="W464" s="5">
        <v>56</v>
      </c>
      <c r="X464" s="5">
        <v>77</v>
      </c>
      <c r="Y464" s="5">
        <v>75.150000000000006</v>
      </c>
      <c r="Z464" s="5">
        <v>64.239999999999995</v>
      </c>
      <c r="AA464" s="5">
        <v>62.42</v>
      </c>
      <c r="AB464" s="5">
        <v>91.52</v>
      </c>
      <c r="AC464" s="6">
        <v>0.4</v>
      </c>
      <c r="AD464" s="6">
        <v>0.35</v>
      </c>
      <c r="AE464" s="6">
        <v>0.25</v>
      </c>
      <c r="AF464" s="4" t="s">
        <v>6296</v>
      </c>
      <c r="AG464" s="4" t="s">
        <v>6296</v>
      </c>
      <c r="AH464" s="4" t="s">
        <v>6296</v>
      </c>
      <c r="AI464" s="4" t="s">
        <v>6296</v>
      </c>
      <c r="AJ464" s="4" t="s">
        <v>6296</v>
      </c>
      <c r="AK464" s="4" t="s">
        <v>6296</v>
      </c>
      <c r="AL464" s="4" t="s">
        <v>6296</v>
      </c>
      <c r="AM464" s="4" t="s">
        <v>6296</v>
      </c>
      <c r="AN464" s="4" t="s">
        <v>6296</v>
      </c>
      <c r="AO464" s="4" t="s">
        <v>6296</v>
      </c>
      <c r="AP464" s="4" t="s">
        <v>2919</v>
      </c>
      <c r="AQ464" s="4" t="s">
        <v>47</v>
      </c>
    </row>
    <row r="465" spans="1:43" ht="12.6" customHeight="1" x14ac:dyDescent="0.25">
      <c r="A465" s="8" t="s">
        <v>3035</v>
      </c>
      <c r="B465" s="9">
        <v>20151231</v>
      </c>
      <c r="C465" s="12">
        <f>_xll.FDS("SPX","FG_PRICE(12/30/2015)")</f>
        <v>2063.36</v>
      </c>
      <c r="D465" s="12">
        <f>_xll.FDS("SPX","FG_PRICE(12/30/2017)")</f>
        <v>2673.61</v>
      </c>
      <c r="E465" s="15">
        <f>D465/C465-1</f>
        <v>0.2957554668114144</v>
      </c>
      <c r="F465" s="8" t="s">
        <v>3036</v>
      </c>
      <c r="G465" s="8" t="s">
        <v>3037</v>
      </c>
      <c r="H465" s="13">
        <f>_xll.FDS(G465,"FG_PRICE(12/30/2015)")</f>
        <v>39.26</v>
      </c>
      <c r="I465" s="13">
        <f>_xll.FDS(G465,"FG_PRICE(12/31/2017)")</f>
        <v>90.89</v>
      </c>
      <c r="J465" s="13">
        <f>I465/H465-1</f>
        <v>1.3150789607743252</v>
      </c>
      <c r="K465" s="13">
        <f>J465-E465</f>
        <v>1.0193234939629108</v>
      </c>
      <c r="L465" s="13">
        <f>_xll.FDS(G465,"FF_ROE(ANN_R,12/30/2015)")</f>
        <v>11.755345088678419</v>
      </c>
      <c r="M465" s="8" t="s">
        <v>3038</v>
      </c>
      <c r="N465" s="4" t="s">
        <v>3039</v>
      </c>
      <c r="O465" s="4" t="s">
        <v>3040</v>
      </c>
      <c r="P465" s="4" t="s">
        <v>96</v>
      </c>
      <c r="Q465" s="4" t="s">
        <v>72</v>
      </c>
      <c r="R465" s="4" t="s">
        <v>61</v>
      </c>
      <c r="S465" s="4" t="s">
        <v>62</v>
      </c>
      <c r="T465" s="6" t="e">
        <v>#N/A</v>
      </c>
      <c r="U465" s="5">
        <v>57</v>
      </c>
      <c r="V465" s="5">
        <v>52</v>
      </c>
      <c r="W465" s="5">
        <v>60</v>
      </c>
      <c r="X465" s="5">
        <v>60</v>
      </c>
      <c r="Y465" s="5">
        <v>52.73</v>
      </c>
      <c r="Z465" s="5">
        <v>41.82</v>
      </c>
      <c r="AA465" s="5">
        <v>74.55</v>
      </c>
      <c r="AB465" s="5">
        <v>35.76</v>
      </c>
      <c r="AC465" s="6">
        <v>0.4</v>
      </c>
      <c r="AD465" s="6">
        <v>0.35</v>
      </c>
      <c r="AE465" s="6">
        <v>0.25</v>
      </c>
      <c r="AF465" s="4" t="s">
        <v>6296</v>
      </c>
      <c r="AG465" s="4" t="s">
        <v>6296</v>
      </c>
      <c r="AH465" s="4" t="s">
        <v>6296</v>
      </c>
      <c r="AI465" s="4" t="s">
        <v>6296</v>
      </c>
      <c r="AJ465" s="4" t="s">
        <v>6296</v>
      </c>
      <c r="AK465" s="4" t="s">
        <v>6296</v>
      </c>
      <c r="AL465" s="4" t="s">
        <v>6296</v>
      </c>
      <c r="AM465" s="4" t="s">
        <v>6296</v>
      </c>
      <c r="AN465" s="4" t="s">
        <v>6296</v>
      </c>
      <c r="AO465" s="4" t="s">
        <v>6296</v>
      </c>
      <c r="AP465" s="4" t="s">
        <v>3041</v>
      </c>
      <c r="AQ465" s="4" t="s">
        <v>47</v>
      </c>
    </row>
    <row r="466" spans="1:43" ht="12.6" customHeight="1" x14ac:dyDescent="0.25">
      <c r="A466" s="8" t="s">
        <v>3042</v>
      </c>
      <c r="B466" s="9">
        <v>20151231</v>
      </c>
      <c r="C466" s="12">
        <f>_xll.FDS("SPX","FG_PRICE(12/30/2015)")</f>
        <v>2063.36</v>
      </c>
      <c r="D466" s="12">
        <f>_xll.FDS("SPX","FG_PRICE(12/30/2017)")</f>
        <v>2673.61</v>
      </c>
      <c r="E466" s="15">
        <f>D466/C466-1</f>
        <v>0.2957554668114144</v>
      </c>
      <c r="F466" s="8" t="s">
        <v>3043</v>
      </c>
      <c r="G466" s="8" t="s">
        <v>3044</v>
      </c>
      <c r="H466" s="13">
        <f>_xll.FDS(G466,"FG_PRICE(12/30/2015)")</f>
        <v>48.02</v>
      </c>
      <c r="I466" s="13">
        <f>_xll.FDS(G466,"FG_PRICE(12/31/2017)")</f>
        <v>71.08</v>
      </c>
      <c r="J466" s="13">
        <f>I466/H466-1</f>
        <v>0.48021657642648874</v>
      </c>
      <c r="K466" s="13">
        <f>J466-E466</f>
        <v>0.18446110961507434</v>
      </c>
      <c r="L466" s="13">
        <f>_xll.FDS(G466,"FF_ROE(ANN_R,12/30/2015)")</f>
        <v>20.299533146591969</v>
      </c>
      <c r="M466" s="8" t="s">
        <v>3045</v>
      </c>
      <c r="N466" s="4" t="s">
        <v>3045</v>
      </c>
      <c r="O466" s="4" t="s">
        <v>3046</v>
      </c>
      <c r="P466" s="4" t="s">
        <v>106</v>
      </c>
      <c r="Q466" s="4" t="s">
        <v>72</v>
      </c>
      <c r="R466" s="4" t="s">
        <v>61</v>
      </c>
      <c r="S466" s="4" t="s">
        <v>62</v>
      </c>
      <c r="T466" s="6" t="e">
        <v>#N/A</v>
      </c>
      <c r="U466" s="5">
        <v>58</v>
      </c>
      <c r="V466" s="5">
        <v>61</v>
      </c>
      <c r="W466" s="5">
        <v>54</v>
      </c>
      <c r="X466" s="5">
        <v>58</v>
      </c>
      <c r="Y466" s="5">
        <v>55.15</v>
      </c>
      <c r="Z466" s="5">
        <v>66.67</v>
      </c>
      <c r="AA466" s="5">
        <v>54.55</v>
      </c>
      <c r="AB466" s="5">
        <v>29.09</v>
      </c>
      <c r="AC466" s="6">
        <v>0.4</v>
      </c>
      <c r="AD466" s="6">
        <v>0.35</v>
      </c>
      <c r="AE466" s="6">
        <v>0.25</v>
      </c>
      <c r="AF466" s="4" t="s">
        <v>6296</v>
      </c>
      <c r="AG466" s="4" t="s">
        <v>6296</v>
      </c>
      <c r="AH466" s="4" t="s">
        <v>6296</v>
      </c>
      <c r="AI466" s="4" t="s">
        <v>6296</v>
      </c>
      <c r="AJ466" s="4" t="s">
        <v>6296</v>
      </c>
      <c r="AK466" s="4" t="s">
        <v>6296</v>
      </c>
      <c r="AL466" s="4" t="s">
        <v>6296</v>
      </c>
      <c r="AM466" s="4" t="s">
        <v>42</v>
      </c>
      <c r="AN466" s="4" t="s">
        <v>6296</v>
      </c>
      <c r="AO466" s="4" t="s">
        <v>6296</v>
      </c>
      <c r="AP466" s="4" t="s">
        <v>3047</v>
      </c>
      <c r="AQ466" s="4" t="s">
        <v>47</v>
      </c>
    </row>
    <row r="467" spans="1:43" ht="12.6" customHeight="1" x14ac:dyDescent="0.25">
      <c r="A467" s="8" t="s">
        <v>3055</v>
      </c>
      <c r="B467" s="9">
        <v>20151231</v>
      </c>
      <c r="C467" s="12">
        <f>_xll.FDS("SPX","FG_PRICE(12/30/2015)")</f>
        <v>2063.36</v>
      </c>
      <c r="D467" s="12">
        <f>_xll.FDS("SPX","FG_PRICE(12/30/2017)")</f>
        <v>2673.61</v>
      </c>
      <c r="E467" s="15">
        <f>D467/C467-1</f>
        <v>0.2957554668114144</v>
      </c>
      <c r="F467" s="8" t="s">
        <v>3056</v>
      </c>
      <c r="G467" s="8" t="s">
        <v>3057</v>
      </c>
      <c r="H467" s="13">
        <f>_xll.FDS(G467,"FG_PRICE(12/30/2015)")</f>
        <v>98.34</v>
      </c>
      <c r="I467" s="13">
        <f>_xll.FDS(G467,"FG_PRICE(12/31/2017)")</f>
        <v>199.58</v>
      </c>
      <c r="J467" s="13">
        <f>I467/H467-1</f>
        <v>1.0294895261338213</v>
      </c>
      <c r="K467" s="13">
        <f>J467-E467</f>
        <v>0.73373405932240687</v>
      </c>
      <c r="L467" s="13">
        <f>_xll.FDS(G467,"FF_ROE(ANN_R,12/30/2015)")</f>
        <v>17.20782932942527</v>
      </c>
      <c r="M467" s="8" t="s">
        <v>3058</v>
      </c>
      <c r="N467" s="4" t="s">
        <v>3058</v>
      </c>
      <c r="O467" s="4" t="s">
        <v>3059</v>
      </c>
      <c r="P467" s="4" t="s">
        <v>96</v>
      </c>
      <c r="Q467" s="4" t="s">
        <v>72</v>
      </c>
      <c r="R467" s="4" t="s">
        <v>61</v>
      </c>
      <c r="S467" s="4" t="s">
        <v>62</v>
      </c>
      <c r="T467" s="6" t="e">
        <v>#N/A</v>
      </c>
      <c r="U467" s="5">
        <v>62</v>
      </c>
      <c r="V467" s="5">
        <v>62</v>
      </c>
      <c r="W467" s="5">
        <v>61</v>
      </c>
      <c r="X467" s="5">
        <v>64</v>
      </c>
      <c r="Y467" s="5">
        <v>71.52</v>
      </c>
      <c r="Z467" s="5">
        <v>67.88</v>
      </c>
      <c r="AA467" s="5">
        <v>77.58</v>
      </c>
      <c r="AB467" s="5">
        <v>53.33</v>
      </c>
      <c r="AC467" s="6">
        <v>0.4</v>
      </c>
      <c r="AD467" s="6">
        <v>0.35</v>
      </c>
      <c r="AE467" s="6">
        <v>0.25</v>
      </c>
      <c r="AF467" s="4" t="s">
        <v>6296</v>
      </c>
      <c r="AG467" s="4" t="s">
        <v>6296</v>
      </c>
      <c r="AH467" s="4" t="s">
        <v>6296</v>
      </c>
      <c r="AI467" s="4" t="s">
        <v>42</v>
      </c>
      <c r="AJ467" s="4" t="s">
        <v>6296</v>
      </c>
      <c r="AK467" s="4" t="s">
        <v>6296</v>
      </c>
      <c r="AL467" s="4" t="s">
        <v>6296</v>
      </c>
      <c r="AM467" s="4" t="s">
        <v>6296</v>
      </c>
      <c r="AN467" s="4" t="s">
        <v>6296</v>
      </c>
      <c r="AO467" s="4" t="s">
        <v>6296</v>
      </c>
      <c r="AP467" s="4" t="s">
        <v>3060</v>
      </c>
      <c r="AQ467" s="4" t="s">
        <v>47</v>
      </c>
    </row>
    <row r="468" spans="1:43" ht="12.6" customHeight="1" x14ac:dyDescent="0.25">
      <c r="A468" s="8" t="s">
        <v>3687</v>
      </c>
      <c r="B468" s="9">
        <v>20151231</v>
      </c>
      <c r="C468" s="12">
        <f>_xll.FDS("SPX","FG_PRICE(12/30/2015)")</f>
        <v>2063.36</v>
      </c>
      <c r="D468" s="12">
        <f>_xll.FDS("SPX","FG_PRICE(12/30/2017)")</f>
        <v>2673.61</v>
      </c>
      <c r="E468" s="15">
        <f>D468/C468-1</f>
        <v>0.2957554668114144</v>
      </c>
      <c r="F468" s="8" t="s">
        <v>3688</v>
      </c>
      <c r="G468" s="8" t="s">
        <v>3689</v>
      </c>
      <c r="H468" s="13">
        <f>_xll.FDS(G468,"FG_PRICE(12/30/2015)")</f>
        <v>172.42</v>
      </c>
      <c r="I468" s="13">
        <f>_xll.FDS(G468,"FG_PRICE(12/31/2017)")</f>
        <v>174.3</v>
      </c>
      <c r="J468" s="13">
        <f>I468/H468-1</f>
        <v>1.0903607470131194E-2</v>
      </c>
      <c r="K468" s="13">
        <f>J468-E468</f>
        <v>-0.28485185934128321</v>
      </c>
      <c r="L468" s="13">
        <f>_xll.FDS(G468,"FF_ROE(ANN_R,12/30/2015)")</f>
        <v>19.527887063179818</v>
      </c>
      <c r="M468" s="8" t="s">
        <v>3690</v>
      </c>
      <c r="N468" s="4" t="s">
        <v>3690</v>
      </c>
      <c r="O468" s="4" t="s">
        <v>3691</v>
      </c>
      <c r="P468" s="4" t="s">
        <v>96</v>
      </c>
      <c r="Q468" s="4" t="s">
        <v>72</v>
      </c>
      <c r="R468" s="4" t="s">
        <v>61</v>
      </c>
      <c r="S468" s="4" t="s">
        <v>62</v>
      </c>
      <c r="T468" s="6" t="e">
        <v>#N/A</v>
      </c>
      <c r="U468" s="5">
        <v>54</v>
      </c>
      <c r="V468" s="5">
        <v>48</v>
      </c>
      <c r="W468" s="5">
        <v>54</v>
      </c>
      <c r="X468" s="5">
        <v>62</v>
      </c>
      <c r="Y468" s="5">
        <v>38.18</v>
      </c>
      <c r="Z468" s="5">
        <v>27.27</v>
      </c>
      <c r="AA468" s="5">
        <v>54.55</v>
      </c>
      <c r="AB468" s="5">
        <v>44.85</v>
      </c>
      <c r="AC468" s="6">
        <v>0.4</v>
      </c>
      <c r="AD468" s="6">
        <v>0.35</v>
      </c>
      <c r="AE468" s="6">
        <v>0.25</v>
      </c>
      <c r="AF468" s="4" t="s">
        <v>6296</v>
      </c>
      <c r="AG468" s="4" t="s">
        <v>6296</v>
      </c>
      <c r="AH468" s="4" t="s">
        <v>6296</v>
      </c>
      <c r="AI468" s="4" t="s">
        <v>6296</v>
      </c>
      <c r="AJ468" s="4" t="s">
        <v>6296</v>
      </c>
      <c r="AK468" s="4" t="s">
        <v>6296</v>
      </c>
      <c r="AL468" s="4" t="s">
        <v>6296</v>
      </c>
      <c r="AM468" s="4" t="s">
        <v>6296</v>
      </c>
      <c r="AN468" s="4" t="s">
        <v>6296</v>
      </c>
      <c r="AO468" s="4" t="s">
        <v>6296</v>
      </c>
      <c r="AP468" s="4" t="s">
        <v>3692</v>
      </c>
      <c r="AQ468" s="4" t="s">
        <v>47</v>
      </c>
    </row>
    <row r="469" spans="1:43" ht="12.6" customHeight="1" x14ac:dyDescent="0.25">
      <c r="A469" s="8" t="s">
        <v>3582</v>
      </c>
      <c r="B469" s="9">
        <v>20151231</v>
      </c>
      <c r="C469" s="12">
        <f>_xll.FDS("SPX","FG_PRICE(12/30/2015)")</f>
        <v>2063.36</v>
      </c>
      <c r="D469" s="12">
        <f>_xll.FDS("SPX","FG_PRICE(12/30/2017)")</f>
        <v>2673.61</v>
      </c>
      <c r="E469" s="15">
        <f>D469/C469-1</f>
        <v>0.2957554668114144</v>
      </c>
      <c r="F469" s="8" t="s">
        <v>3583</v>
      </c>
      <c r="G469" s="8" t="s">
        <v>3584</v>
      </c>
      <c r="H469" s="13">
        <f>_xll.FDS(G469,"FG_PRICE(12/30/2015)")</f>
        <v>9.44</v>
      </c>
      <c r="I469" s="13">
        <f>_xll.FDS(G469,"FG_PRICE(12/31/2017)")</f>
        <v>31.39</v>
      </c>
      <c r="J469" s="13">
        <f>I469/H469-1</f>
        <v>2.3252118644067798</v>
      </c>
      <c r="K469" s="13">
        <f>J469-E469</f>
        <v>2.0294563975953652</v>
      </c>
      <c r="L469" s="13">
        <f>_xll.FDS(G469,"FF_ROE(ANN_R,12/30/2015)")</f>
        <v>19.59807842249554</v>
      </c>
      <c r="M469" s="8" t="s">
        <v>3585</v>
      </c>
      <c r="N469" s="4" t="s">
        <v>3585</v>
      </c>
      <c r="O469" s="4" t="s">
        <v>3586</v>
      </c>
      <c r="P469" s="4" t="s">
        <v>96</v>
      </c>
      <c r="Q469" s="4" t="s">
        <v>72</v>
      </c>
      <c r="R469" s="4" t="s">
        <v>61</v>
      </c>
      <c r="S469" s="4" t="s">
        <v>62</v>
      </c>
      <c r="T469" s="6" t="e">
        <v>#N/A</v>
      </c>
      <c r="U469" s="5">
        <v>51</v>
      </c>
      <c r="V469" s="5">
        <v>40</v>
      </c>
      <c r="W469" s="5">
        <v>53</v>
      </c>
      <c r="X469" s="5">
        <v>63</v>
      </c>
      <c r="Y469" s="5">
        <v>27.27</v>
      </c>
      <c r="Z469" s="6">
        <v>7.88</v>
      </c>
      <c r="AA469" s="5">
        <v>50.3</v>
      </c>
      <c r="AB469" s="5">
        <v>46.67</v>
      </c>
      <c r="AC469" s="6">
        <v>0.4</v>
      </c>
      <c r="AD469" s="6">
        <v>0.35</v>
      </c>
      <c r="AE469" s="6">
        <v>0.25</v>
      </c>
      <c r="AF469" s="4" t="s">
        <v>6296</v>
      </c>
      <c r="AG469" s="4" t="s">
        <v>6296</v>
      </c>
      <c r="AH469" s="4" t="s">
        <v>6296</v>
      </c>
      <c r="AI469" s="4" t="s">
        <v>6296</v>
      </c>
      <c r="AJ469" s="4" t="s">
        <v>6296</v>
      </c>
      <c r="AK469" s="4" t="s">
        <v>6296</v>
      </c>
      <c r="AL469" s="4" t="s">
        <v>6296</v>
      </c>
      <c r="AM469" s="4" t="s">
        <v>6296</v>
      </c>
      <c r="AN469" s="4" t="s">
        <v>42</v>
      </c>
      <c r="AO469" s="4" t="s">
        <v>6296</v>
      </c>
      <c r="AP469" s="4" t="s">
        <v>3587</v>
      </c>
      <c r="AQ469" s="4" t="s">
        <v>47</v>
      </c>
    </row>
    <row r="470" spans="1:43" ht="12.6" customHeight="1" x14ac:dyDescent="0.25">
      <c r="A470" s="8" t="s">
        <v>5119</v>
      </c>
      <c r="B470" s="9">
        <v>20151231</v>
      </c>
      <c r="C470" s="12">
        <f>_xll.FDS("SPX","FG_PRICE(12/30/2015)")</f>
        <v>2063.36</v>
      </c>
      <c r="D470" s="12">
        <f>_xll.FDS("SPX","FG_PRICE(12/30/2017)")</f>
        <v>2673.61</v>
      </c>
      <c r="E470" s="15">
        <f>D470/C470-1</f>
        <v>0.2957554668114144</v>
      </c>
      <c r="F470" s="8" t="s">
        <v>5120</v>
      </c>
      <c r="G470" s="8" t="s">
        <v>5121</v>
      </c>
      <c r="H470" s="13">
        <f>_xll.FDS(G470,"FG_PRICE(12/30/2015)")</f>
        <v>107.23</v>
      </c>
      <c r="I470" s="13">
        <f>_xll.FDS(G470,"FG_PRICE(12/31/2017)")</f>
        <v>169.69</v>
      </c>
      <c r="J470" s="13">
        <f>I470/H470-1</f>
        <v>0.58248624452112274</v>
      </c>
      <c r="K470" s="13">
        <f>J470-E470</f>
        <v>0.28673077770970834</v>
      </c>
      <c r="L470" s="13">
        <f>_xll.FDS(G470,"FF_ROE(ANN_R,12/30/2015)")</f>
        <v>12.960093133660409</v>
      </c>
      <c r="M470" s="8" t="s">
        <v>5122</v>
      </c>
      <c r="N470" s="4" t="s">
        <v>5123</v>
      </c>
      <c r="O470" s="4" t="s">
        <v>5124</v>
      </c>
      <c r="P470" s="4" t="s">
        <v>96</v>
      </c>
      <c r="Q470" s="4" t="s">
        <v>72</v>
      </c>
      <c r="R470" s="4" t="s">
        <v>61</v>
      </c>
      <c r="S470" s="4" t="s">
        <v>62</v>
      </c>
      <c r="T470" s="6" t="e">
        <v>#N/A</v>
      </c>
      <c r="U470" s="5">
        <v>61</v>
      </c>
      <c r="V470" s="5">
        <v>56</v>
      </c>
      <c r="W470" s="5">
        <v>66</v>
      </c>
      <c r="X470" s="5">
        <v>61</v>
      </c>
      <c r="Y470" s="5">
        <v>66.67</v>
      </c>
      <c r="Z470" s="5">
        <v>51.52</v>
      </c>
      <c r="AA470" s="5">
        <v>85.45</v>
      </c>
      <c r="AB470" s="5">
        <v>39.39</v>
      </c>
      <c r="AC470" s="6">
        <v>0.4</v>
      </c>
      <c r="AD470" s="6">
        <v>0.35</v>
      </c>
      <c r="AE470" s="6">
        <v>0.25</v>
      </c>
      <c r="AF470" s="4" t="s">
        <v>6296</v>
      </c>
      <c r="AG470" s="4" t="s">
        <v>6296</v>
      </c>
      <c r="AH470" s="4" t="s">
        <v>6296</v>
      </c>
      <c r="AI470" s="4" t="s">
        <v>6296</v>
      </c>
      <c r="AJ470" s="4" t="s">
        <v>6296</v>
      </c>
      <c r="AK470" s="4" t="s">
        <v>42</v>
      </c>
      <c r="AL470" s="4" t="s">
        <v>6296</v>
      </c>
      <c r="AM470" s="4" t="s">
        <v>6296</v>
      </c>
      <c r="AN470" s="4" t="s">
        <v>6296</v>
      </c>
      <c r="AO470" s="4" t="s">
        <v>6296</v>
      </c>
      <c r="AP470" s="4" t="s">
        <v>5125</v>
      </c>
      <c r="AQ470" s="4" t="s">
        <v>47</v>
      </c>
    </row>
    <row r="471" spans="1:43" ht="12.6" customHeight="1" x14ac:dyDescent="0.25">
      <c r="A471" s="8" t="s">
        <v>3971</v>
      </c>
      <c r="B471" s="9">
        <v>20151231</v>
      </c>
      <c r="C471" s="12">
        <f>_xll.FDS("SPX","FG_PRICE(12/30/2015)")</f>
        <v>2063.36</v>
      </c>
      <c r="D471" s="12">
        <f>_xll.FDS("SPX","FG_PRICE(12/30/2017)")</f>
        <v>2673.61</v>
      </c>
      <c r="E471" s="15">
        <f>D471/C471-1</f>
        <v>0.2957554668114144</v>
      </c>
      <c r="F471" s="8" t="s">
        <v>3972</v>
      </c>
      <c r="G471" s="8" t="s">
        <v>3973</v>
      </c>
      <c r="H471" s="13">
        <f>_xll.FDS(G471,"FG_PRICE(12/30/2015)")</f>
        <v>18.98</v>
      </c>
      <c r="I471" s="13">
        <f>_xll.FDS(G471,"FG_PRICE(12/31/2017)")</f>
        <v>48.22</v>
      </c>
      <c r="J471" s="13">
        <f>I471/H471-1</f>
        <v>1.5405690200210747</v>
      </c>
      <c r="K471" s="13">
        <f>J471-E471</f>
        <v>1.2448135532096603</v>
      </c>
      <c r="L471" s="13">
        <f>_xll.FDS(G471,"FF_ROE(ANN_R,12/30/2015)")</f>
        <v>12.34509056244042</v>
      </c>
      <c r="M471" s="8" t="s">
        <v>3974</v>
      </c>
      <c r="N471" s="4" t="s">
        <v>3975</v>
      </c>
      <c r="O471" s="4" t="s">
        <v>3976</v>
      </c>
      <c r="P471" s="4" t="s">
        <v>96</v>
      </c>
      <c r="Q471" s="4" t="s">
        <v>72</v>
      </c>
      <c r="R471" s="4" t="s">
        <v>61</v>
      </c>
      <c r="S471" s="4" t="s">
        <v>62</v>
      </c>
      <c r="T471" s="6" t="e">
        <v>#N/A</v>
      </c>
      <c r="U471" s="5">
        <v>53</v>
      </c>
      <c r="V471" s="5">
        <v>55</v>
      </c>
      <c r="W471" s="5">
        <v>42</v>
      </c>
      <c r="X471" s="5">
        <v>65</v>
      </c>
      <c r="Y471" s="5">
        <v>36.36</v>
      </c>
      <c r="Z471" s="5">
        <v>48.48</v>
      </c>
      <c r="AA471" s="6">
        <v>4.24</v>
      </c>
      <c r="AB471" s="5">
        <v>58.18</v>
      </c>
      <c r="AC471" s="6">
        <v>0.4</v>
      </c>
      <c r="AD471" s="6">
        <v>0.35</v>
      </c>
      <c r="AE471" s="6">
        <v>0.25</v>
      </c>
      <c r="AF471" s="4" t="s">
        <v>6296</v>
      </c>
      <c r="AG471" s="4" t="s">
        <v>6296</v>
      </c>
      <c r="AH471" s="4" t="s">
        <v>6296</v>
      </c>
      <c r="AI471" s="4" t="s">
        <v>6296</v>
      </c>
      <c r="AJ471" s="4" t="s">
        <v>6296</v>
      </c>
      <c r="AK471" s="4" t="s">
        <v>42</v>
      </c>
      <c r="AL471" s="4" t="s">
        <v>46</v>
      </c>
      <c r="AM471" s="4" t="s">
        <v>42</v>
      </c>
      <c r="AN471" s="4" t="s">
        <v>6296</v>
      </c>
      <c r="AO471" s="4" t="s">
        <v>6296</v>
      </c>
      <c r="AP471" s="4" t="s">
        <v>3977</v>
      </c>
      <c r="AQ471" s="4" t="s">
        <v>47</v>
      </c>
    </row>
    <row r="472" spans="1:43" ht="12.6" customHeight="1" x14ac:dyDescent="0.25">
      <c r="A472" s="8" t="s">
        <v>4036</v>
      </c>
      <c r="B472" s="9">
        <v>20151231</v>
      </c>
      <c r="C472" s="12">
        <f>_xll.FDS("SPX","FG_PRICE(12/30/2015)")</f>
        <v>2063.36</v>
      </c>
      <c r="D472" s="12">
        <f>_xll.FDS("SPX","FG_PRICE(12/30/2017)")</f>
        <v>2673.61</v>
      </c>
      <c r="E472" s="15">
        <f>D472/C472-1</f>
        <v>0.2957554668114144</v>
      </c>
      <c r="F472" s="8" t="s">
        <v>4037</v>
      </c>
      <c r="G472" s="8" t="s">
        <v>4038</v>
      </c>
      <c r="H472" s="13">
        <f>_xll.FDS(G472,"FG_PRICE(12/30/2015)")</f>
        <v>28.66</v>
      </c>
      <c r="I472" s="13">
        <f>_xll.FDS(G472,"FG_PRICE(12/31/2017)")</f>
        <v>49.15</v>
      </c>
      <c r="J472" s="13">
        <f>I472/H472-1</f>
        <v>0.71493370551290991</v>
      </c>
      <c r="K472" s="13">
        <f>J472-E472</f>
        <v>0.41917823870149551</v>
      </c>
      <c r="L472" s="13">
        <f>_xll.FDS(G472,"FF_ROE(ANN_R,12/30/2015)")</f>
        <v>6.9692366122293956</v>
      </c>
      <c r="M472" s="8" t="s">
        <v>4039</v>
      </c>
      <c r="N472" s="4" t="s">
        <v>4040</v>
      </c>
      <c r="O472" s="4" t="s">
        <v>4041</v>
      </c>
      <c r="P472" s="4" t="s">
        <v>96</v>
      </c>
      <c r="Q472" s="4" t="s">
        <v>72</v>
      </c>
      <c r="R472" s="4" t="s">
        <v>61</v>
      </c>
      <c r="S472" s="4" t="s">
        <v>62</v>
      </c>
      <c r="T472" s="6" t="e">
        <v>#N/A</v>
      </c>
      <c r="U472" s="5">
        <v>60</v>
      </c>
      <c r="V472" s="5">
        <v>51</v>
      </c>
      <c r="W472" s="5">
        <v>57</v>
      </c>
      <c r="X472" s="5">
        <v>77</v>
      </c>
      <c r="Y472" s="5">
        <v>64.239999999999995</v>
      </c>
      <c r="Z472" s="5">
        <v>37.58</v>
      </c>
      <c r="AA472" s="5">
        <v>65.45</v>
      </c>
      <c r="AB472" s="5">
        <v>91.52</v>
      </c>
      <c r="AC472" s="6">
        <v>0.4</v>
      </c>
      <c r="AD472" s="6">
        <v>0.35</v>
      </c>
      <c r="AE472" s="6">
        <v>0.25</v>
      </c>
      <c r="AF472" s="4" t="s">
        <v>6296</v>
      </c>
      <c r="AG472" s="4" t="s">
        <v>6296</v>
      </c>
      <c r="AH472" s="4" t="s">
        <v>6296</v>
      </c>
      <c r="AI472" s="4" t="s">
        <v>42</v>
      </c>
      <c r="AJ472" s="4" t="s">
        <v>6296</v>
      </c>
      <c r="AK472" s="4" t="s">
        <v>6296</v>
      </c>
      <c r="AL472" s="4" t="s">
        <v>6296</v>
      </c>
      <c r="AM472" s="4" t="s">
        <v>6296</v>
      </c>
      <c r="AN472" s="4" t="s">
        <v>6296</v>
      </c>
      <c r="AO472" s="4" t="s">
        <v>6296</v>
      </c>
      <c r="AP472" s="4" t="s">
        <v>4042</v>
      </c>
      <c r="AQ472" s="4" t="s">
        <v>47</v>
      </c>
    </row>
    <row r="473" spans="1:43" ht="12.6" customHeight="1" x14ac:dyDescent="0.25">
      <c r="A473" s="8" t="s">
        <v>4101</v>
      </c>
      <c r="B473" s="9">
        <v>20151231</v>
      </c>
      <c r="C473" s="12">
        <f>_xll.FDS("SPX","FG_PRICE(12/30/2015)")</f>
        <v>2063.36</v>
      </c>
      <c r="D473" s="12">
        <f>_xll.FDS("SPX","FG_PRICE(12/30/2017)")</f>
        <v>2673.61</v>
      </c>
      <c r="E473" s="15">
        <f>D473/C473-1</f>
        <v>0.2957554668114144</v>
      </c>
      <c r="F473" s="8" t="s">
        <v>4102</v>
      </c>
      <c r="G473" s="8" t="s">
        <v>4103</v>
      </c>
      <c r="H473" s="13">
        <f>_xll.FDS(G473,"FG_PRICE(12/30/2015)")</f>
        <v>24.13</v>
      </c>
      <c r="I473" s="13">
        <f>_xll.FDS(G473,"FG_PRICE(12/31/2017)")</f>
        <v>37.46</v>
      </c>
      <c r="J473" s="13">
        <f>I473/H473-1</f>
        <v>0.55242436800663075</v>
      </c>
      <c r="K473" s="13">
        <f>J473-E473</f>
        <v>0.25666890119521635</v>
      </c>
      <c r="L473" s="13">
        <f>_xll.FDS(G473,"FF_ROE(ANN_R,12/30/2015)")</f>
        <v>24.309003334568359</v>
      </c>
      <c r="M473" s="8" t="s">
        <v>4104</v>
      </c>
      <c r="N473" s="4" t="s">
        <v>4105</v>
      </c>
      <c r="O473" s="4" t="s">
        <v>4106</v>
      </c>
      <c r="P473" s="4" t="s">
        <v>96</v>
      </c>
      <c r="Q473" s="4" t="s">
        <v>72</v>
      </c>
      <c r="R473" s="4" t="s">
        <v>61</v>
      </c>
      <c r="S473" s="4" t="s">
        <v>62</v>
      </c>
      <c r="T473" s="6" t="e">
        <v>#N/A</v>
      </c>
      <c r="U473" s="5">
        <v>55</v>
      </c>
      <c r="V473" s="5">
        <v>58</v>
      </c>
      <c r="W473" s="5">
        <v>40</v>
      </c>
      <c r="X473" s="5">
        <v>72</v>
      </c>
      <c r="Y473" s="5">
        <v>41.82</v>
      </c>
      <c r="Z473" s="5">
        <v>60</v>
      </c>
      <c r="AA473" s="6">
        <v>0.61</v>
      </c>
      <c r="AB473" s="5">
        <v>80.61</v>
      </c>
      <c r="AC473" s="6">
        <v>0.4</v>
      </c>
      <c r="AD473" s="6">
        <v>0.35</v>
      </c>
      <c r="AE473" s="6">
        <v>0.25</v>
      </c>
      <c r="AF473" s="4" t="s">
        <v>42</v>
      </c>
      <c r="AG473" s="4" t="s">
        <v>6296</v>
      </c>
      <c r="AH473" s="4" t="s">
        <v>6296</v>
      </c>
      <c r="AI473" s="4" t="s">
        <v>6296</v>
      </c>
      <c r="AJ473" s="4" t="s">
        <v>6296</v>
      </c>
      <c r="AK473" s="4" t="s">
        <v>46</v>
      </c>
      <c r="AL473" s="4" t="s">
        <v>6296</v>
      </c>
      <c r="AM473" s="4" t="s">
        <v>6296</v>
      </c>
      <c r="AN473" s="4" t="s">
        <v>6296</v>
      </c>
      <c r="AO473" s="4" t="s">
        <v>6296</v>
      </c>
      <c r="AP473" s="4" t="s">
        <v>4107</v>
      </c>
      <c r="AQ473" s="4" t="s">
        <v>47</v>
      </c>
    </row>
    <row r="474" spans="1:43" ht="12.6" customHeight="1" x14ac:dyDescent="0.25">
      <c r="A474" s="8" t="s">
        <v>4070</v>
      </c>
      <c r="B474" s="9">
        <v>20151231</v>
      </c>
      <c r="C474" s="12">
        <f>_xll.FDS("SPX","FG_PRICE(12/30/2015)")</f>
        <v>2063.36</v>
      </c>
      <c r="D474" s="12">
        <f>_xll.FDS("SPX","FG_PRICE(12/30/2017)")</f>
        <v>2673.61</v>
      </c>
      <c r="E474" s="15">
        <f>D474/C474-1</f>
        <v>0.2957554668114144</v>
      </c>
      <c r="F474" s="8" t="s">
        <v>4071</v>
      </c>
      <c r="G474" s="8" t="s">
        <v>4072</v>
      </c>
      <c r="H474" s="13">
        <f>_xll.FDS(G474,"FG_PRICE(12/30/2015)")</f>
        <v>36.945</v>
      </c>
      <c r="I474" s="13">
        <f>_xll.FDS(G474,"FG_PRICE(12/31/2017)")</f>
        <v>65.23</v>
      </c>
      <c r="J474" s="13">
        <f>I474/H474-1</f>
        <v>0.76559750981188257</v>
      </c>
      <c r="K474" s="13">
        <f>J474-E474</f>
        <v>0.46984204300046817</v>
      </c>
      <c r="L474" s="13">
        <f>_xll.FDS(G474,"FF_ROE(ANN_R,12/30/2015)")</f>
        <v>46.295292642486089</v>
      </c>
      <c r="M474" s="8" t="s">
        <v>4073</v>
      </c>
      <c r="N474" s="4" t="s">
        <v>4074</v>
      </c>
      <c r="O474" s="4" t="s">
        <v>4075</v>
      </c>
      <c r="P474" s="4" t="s">
        <v>96</v>
      </c>
      <c r="Q474" s="4" t="s">
        <v>72</v>
      </c>
      <c r="R474" s="4" t="s">
        <v>61</v>
      </c>
      <c r="S474" s="4" t="s">
        <v>62</v>
      </c>
      <c r="T474" s="6" t="e">
        <v>#N/A</v>
      </c>
      <c r="U474" s="5">
        <v>52</v>
      </c>
      <c r="V474" s="5">
        <v>42</v>
      </c>
      <c r="W474" s="5">
        <v>50</v>
      </c>
      <c r="X474" s="5">
        <v>72</v>
      </c>
      <c r="Y474" s="5">
        <v>32.119999999999997</v>
      </c>
      <c r="Z474" s="5">
        <v>14.55</v>
      </c>
      <c r="AA474" s="5">
        <v>36.97</v>
      </c>
      <c r="AB474" s="5">
        <v>80.61</v>
      </c>
      <c r="AC474" s="6">
        <v>0.4</v>
      </c>
      <c r="AD474" s="6">
        <v>0.35</v>
      </c>
      <c r="AE474" s="6">
        <v>0.25</v>
      </c>
      <c r="AF474" s="4" t="s">
        <v>6296</v>
      </c>
      <c r="AG474" s="4" t="s">
        <v>6296</v>
      </c>
      <c r="AH474" s="4" t="s">
        <v>6296</v>
      </c>
      <c r="AI474" s="4" t="s">
        <v>6296</v>
      </c>
      <c r="AJ474" s="4" t="s">
        <v>6296</v>
      </c>
      <c r="AK474" s="4" t="s">
        <v>42</v>
      </c>
      <c r="AL474" s="4" t="s">
        <v>6296</v>
      </c>
      <c r="AM474" s="4" t="s">
        <v>6296</v>
      </c>
      <c r="AN474" s="4" t="s">
        <v>6296</v>
      </c>
      <c r="AO474" s="4" t="s">
        <v>6296</v>
      </c>
      <c r="AP474" s="4" t="s">
        <v>4076</v>
      </c>
      <c r="AQ474" s="4" t="s">
        <v>47</v>
      </c>
    </row>
    <row r="475" spans="1:43" ht="12.6" customHeight="1" x14ac:dyDescent="0.25">
      <c r="A475" s="8" t="s">
        <v>4191</v>
      </c>
      <c r="B475" s="9">
        <v>20151231</v>
      </c>
      <c r="C475" s="12">
        <f>_xll.FDS("SPX","FG_PRICE(12/30/2015)")</f>
        <v>2063.36</v>
      </c>
      <c r="D475" s="12">
        <f>_xll.FDS("SPX","FG_PRICE(12/30/2017)")</f>
        <v>2673.61</v>
      </c>
      <c r="E475" s="15">
        <f>D475/C475-1</f>
        <v>0.2957554668114144</v>
      </c>
      <c r="F475" s="8" t="s">
        <v>4192</v>
      </c>
      <c r="G475" s="8" t="s">
        <v>4193</v>
      </c>
      <c r="H475" s="13">
        <f>_xll.FDS(G475,"FG_PRICE(12/30/2015)")</f>
        <v>106.38</v>
      </c>
      <c r="I475" s="13">
        <f>_xll.FDS(G475,"FG_PRICE(12/31/2017)")</f>
        <v>165.85</v>
      </c>
      <c r="J475" s="13">
        <f>I475/H475-1</f>
        <v>0.55903365294228236</v>
      </c>
      <c r="K475" s="13">
        <f>J475-E475</f>
        <v>0.26327818613086795</v>
      </c>
      <c r="L475" s="13">
        <f>_xll.FDS(G475,"FF_ROE(ANN_R,12/30/2015)")</f>
        <v>13.508486859447149</v>
      </c>
      <c r="M475" s="8" t="s">
        <v>4194</v>
      </c>
      <c r="N475" s="4" t="s">
        <v>4195</v>
      </c>
      <c r="O475" s="4" t="s">
        <v>4196</v>
      </c>
      <c r="P475" s="4" t="s">
        <v>96</v>
      </c>
      <c r="Q475" s="4" t="s">
        <v>72</v>
      </c>
      <c r="R475" s="4" t="s">
        <v>61</v>
      </c>
      <c r="S475" s="4" t="s">
        <v>62</v>
      </c>
      <c r="T475" s="6" t="e">
        <v>#N/A</v>
      </c>
      <c r="U475" s="5">
        <v>58</v>
      </c>
      <c r="V475" s="5">
        <v>59</v>
      </c>
      <c r="W475" s="5">
        <v>48</v>
      </c>
      <c r="X475" s="5">
        <v>70</v>
      </c>
      <c r="Y475" s="5">
        <v>55.15</v>
      </c>
      <c r="Z475" s="5">
        <v>61.82</v>
      </c>
      <c r="AA475" s="5">
        <v>30.91</v>
      </c>
      <c r="AB475" s="5">
        <v>75.760000000000005</v>
      </c>
      <c r="AC475" s="6">
        <v>0.4</v>
      </c>
      <c r="AD475" s="6">
        <v>0.35</v>
      </c>
      <c r="AE475" s="6">
        <v>0.25</v>
      </c>
      <c r="AF475" s="4" t="s">
        <v>6296</v>
      </c>
      <c r="AG475" s="4" t="s">
        <v>6296</v>
      </c>
      <c r="AH475" s="4" t="s">
        <v>6296</v>
      </c>
      <c r="AI475" s="4" t="s">
        <v>6296</v>
      </c>
      <c r="AJ475" s="4" t="s">
        <v>6296</v>
      </c>
      <c r="AK475" s="4" t="s">
        <v>6296</v>
      </c>
      <c r="AL475" s="4" t="s">
        <v>6296</v>
      </c>
      <c r="AM475" s="4" t="s">
        <v>6296</v>
      </c>
      <c r="AN475" s="4" t="s">
        <v>6296</v>
      </c>
      <c r="AO475" s="4" t="s">
        <v>6296</v>
      </c>
      <c r="AP475" s="4" t="s">
        <v>4197</v>
      </c>
      <c r="AQ475" s="4" t="s">
        <v>47</v>
      </c>
    </row>
    <row r="476" spans="1:43" ht="12.6" customHeight="1" x14ac:dyDescent="0.25">
      <c r="A476" s="8" t="s">
        <v>4327</v>
      </c>
      <c r="B476" s="9">
        <v>20151231</v>
      </c>
      <c r="C476" s="12">
        <f>_xll.FDS("SPX","FG_PRICE(12/30/2015)")</f>
        <v>2063.36</v>
      </c>
      <c r="D476" s="12">
        <f>_xll.FDS("SPX","FG_PRICE(12/30/2017)")</f>
        <v>2673.61</v>
      </c>
      <c r="E476" s="15">
        <f>D476/C476-1</f>
        <v>0.2957554668114144</v>
      </c>
      <c r="F476" s="8" t="s">
        <v>4328</v>
      </c>
      <c r="G476" s="8" t="s">
        <v>4329</v>
      </c>
      <c r="H476" s="13">
        <f>_xll.FDS(G476,"FG_PRICE(12/30/2015)")</f>
        <v>71.19</v>
      </c>
      <c r="I476" s="13">
        <f>_xll.FDS(G476,"FG_PRICE(12/31/2017)")</f>
        <v>81.430000000000007</v>
      </c>
      <c r="J476" s="13">
        <f>I476/H476-1</f>
        <v>0.14384042702626787</v>
      </c>
      <c r="K476" s="13">
        <f>J476-E476</f>
        <v>-0.15191503978514653</v>
      </c>
      <c r="L476" s="13">
        <f>_xll.FDS(G476,"FF_ROE(ANN_R,12/30/2015)")</f>
        <v>20.64972125284562</v>
      </c>
      <c r="M476" s="8" t="s">
        <v>4330</v>
      </c>
      <c r="N476" s="4" t="s">
        <v>4330</v>
      </c>
      <c r="O476" s="4" t="s">
        <v>4331</v>
      </c>
      <c r="P476" s="4" t="s">
        <v>96</v>
      </c>
      <c r="Q476" s="4" t="s">
        <v>72</v>
      </c>
      <c r="R476" s="4" t="s">
        <v>61</v>
      </c>
      <c r="S476" s="4" t="s">
        <v>62</v>
      </c>
      <c r="T476" s="6" t="e">
        <v>#N/A</v>
      </c>
      <c r="U476" s="5">
        <v>49</v>
      </c>
      <c r="V476" s="5">
        <v>42</v>
      </c>
      <c r="W476" s="5">
        <v>50</v>
      </c>
      <c r="X476" s="5">
        <v>59</v>
      </c>
      <c r="Y476" s="5">
        <v>18.18</v>
      </c>
      <c r="Z476" s="5">
        <v>14.55</v>
      </c>
      <c r="AA476" s="5">
        <v>36.97</v>
      </c>
      <c r="AB476" s="5">
        <v>32.119999999999997</v>
      </c>
      <c r="AC476" s="6">
        <v>0.4</v>
      </c>
      <c r="AD476" s="6">
        <v>0.35</v>
      </c>
      <c r="AE476" s="6">
        <v>0.25</v>
      </c>
      <c r="AF476" s="4" t="s">
        <v>6296</v>
      </c>
      <c r="AG476" s="4" t="s">
        <v>6296</v>
      </c>
      <c r="AH476" s="4" t="s">
        <v>6296</v>
      </c>
      <c r="AI476" s="4" t="s">
        <v>6296</v>
      </c>
      <c r="AJ476" s="4" t="s">
        <v>6296</v>
      </c>
      <c r="AK476" s="4" t="s">
        <v>6296</v>
      </c>
      <c r="AL476" s="4" t="s">
        <v>6296</v>
      </c>
      <c r="AM476" s="4" t="s">
        <v>6296</v>
      </c>
      <c r="AN476" s="4" t="s">
        <v>6296</v>
      </c>
      <c r="AO476" s="4" t="s">
        <v>6296</v>
      </c>
      <c r="AP476" s="4" t="s">
        <v>4332</v>
      </c>
      <c r="AQ476" s="4" t="s">
        <v>47</v>
      </c>
    </row>
    <row r="477" spans="1:43" ht="12.6" customHeight="1" x14ac:dyDescent="0.25">
      <c r="A477" s="8" t="s">
        <v>5113</v>
      </c>
      <c r="B477" s="9">
        <v>20151231</v>
      </c>
      <c r="C477" s="12">
        <f>_xll.FDS("SPX","FG_PRICE(12/30/2015)")</f>
        <v>2063.36</v>
      </c>
      <c r="D477" s="12">
        <f>_xll.FDS("SPX","FG_PRICE(12/30/2017)")</f>
        <v>2673.61</v>
      </c>
      <c r="E477" s="15">
        <f>D477/C477-1</f>
        <v>0.2957554668114144</v>
      </c>
      <c r="F477" s="8" t="s">
        <v>5114</v>
      </c>
      <c r="G477" s="8" t="s">
        <v>5115</v>
      </c>
      <c r="H477" s="13">
        <f>_xll.FDS(G477,"FG_PRICE(12/30/2015)")</f>
        <v>36.869999999999997</v>
      </c>
      <c r="I477" s="13">
        <f>_xll.FDS(G477,"FG_PRICE(12/31/2017)")</f>
        <v>68.2</v>
      </c>
      <c r="J477" s="13">
        <f>I477/H477-1</f>
        <v>0.84974233794412823</v>
      </c>
      <c r="K477" s="13">
        <f>J477-E477</f>
        <v>0.55398687113271383</v>
      </c>
      <c r="L477" s="13">
        <f>_xll.FDS(G477,"FF_ROE(ANN_R,12/30/2015)")</f>
        <v>15.430402930402931</v>
      </c>
      <c r="M477" s="8" t="s">
        <v>5116</v>
      </c>
      <c r="N477" s="4" t="s">
        <v>5116</v>
      </c>
      <c r="O477" s="4" t="s">
        <v>5117</v>
      </c>
      <c r="P477" s="4" t="s">
        <v>96</v>
      </c>
      <c r="Q477" s="4" t="s">
        <v>72</v>
      </c>
      <c r="R477" s="4" t="s">
        <v>61</v>
      </c>
      <c r="S477" s="4" t="s">
        <v>62</v>
      </c>
      <c r="T477" s="6" t="e">
        <v>#N/A</v>
      </c>
      <c r="U477" s="5">
        <v>67</v>
      </c>
      <c r="V477" s="5">
        <v>66</v>
      </c>
      <c r="W477" s="5">
        <v>63</v>
      </c>
      <c r="X477" s="5">
        <v>75</v>
      </c>
      <c r="Y477" s="5">
        <v>82.42</v>
      </c>
      <c r="Z477" s="5">
        <v>74.55</v>
      </c>
      <c r="AA477" s="5">
        <v>80</v>
      </c>
      <c r="AB477" s="5">
        <v>87.88</v>
      </c>
      <c r="AC477" s="6">
        <v>0.4</v>
      </c>
      <c r="AD477" s="6">
        <v>0.35</v>
      </c>
      <c r="AE477" s="6">
        <v>0.25</v>
      </c>
      <c r="AF477" s="4" t="s">
        <v>6296</v>
      </c>
      <c r="AG477" s="4" t="s">
        <v>6296</v>
      </c>
      <c r="AH477" s="4" t="s">
        <v>6296</v>
      </c>
      <c r="AI477" s="4" t="s">
        <v>6296</v>
      </c>
      <c r="AJ477" s="4" t="s">
        <v>6296</v>
      </c>
      <c r="AK477" s="4" t="s">
        <v>6296</v>
      </c>
      <c r="AL477" s="4" t="s">
        <v>6296</v>
      </c>
      <c r="AM477" s="4" t="s">
        <v>6296</v>
      </c>
      <c r="AN477" s="4" t="s">
        <v>6296</v>
      </c>
      <c r="AO477" s="4" t="s">
        <v>6296</v>
      </c>
      <c r="AP477" s="4" t="s">
        <v>5118</v>
      </c>
      <c r="AQ477" s="4" t="s">
        <v>47</v>
      </c>
    </row>
    <row r="478" spans="1:43" ht="12.6" customHeight="1" x14ac:dyDescent="0.25">
      <c r="A478" s="8" t="s">
        <v>4720</v>
      </c>
      <c r="B478" s="9">
        <v>20151231</v>
      </c>
      <c r="C478" s="12">
        <f>_xll.FDS("SPX","FG_PRICE(12/30/2015)")</f>
        <v>2063.36</v>
      </c>
      <c r="D478" s="12">
        <f>_xll.FDS("SPX","FG_PRICE(12/30/2017)")</f>
        <v>2673.61</v>
      </c>
      <c r="E478" s="15">
        <f>D478/C478-1</f>
        <v>0.2957554668114144</v>
      </c>
      <c r="F478" s="8" t="s">
        <v>4721</v>
      </c>
      <c r="G478" s="8" t="s">
        <v>4722</v>
      </c>
      <c r="H478" s="13">
        <f>_xll.FDS(G478,"FG_PRICE(12/30/2015)")</f>
        <v>46.76</v>
      </c>
      <c r="I478" s="13">
        <f>_xll.FDS(G478,"FG_PRICE(12/31/2017)")</f>
        <v>59</v>
      </c>
      <c r="J478" s="13">
        <f>I478/H478-1</f>
        <v>0.26176218990590261</v>
      </c>
      <c r="K478" s="13">
        <f>J478-E478</f>
        <v>-3.3993276905511793E-2</v>
      </c>
      <c r="L478" s="13">
        <f>_xll.FDS(G478,"FF_ROE(ANN_R,12/30/2015)")</f>
        <v>15.98960793575815</v>
      </c>
      <c r="M478" s="8" t="s">
        <v>4723</v>
      </c>
      <c r="N478" s="4" t="s">
        <v>4724</v>
      </c>
      <c r="O478" s="4" t="s">
        <v>4725</v>
      </c>
      <c r="P478" s="4" t="s">
        <v>96</v>
      </c>
      <c r="Q478" s="4" t="s">
        <v>64</v>
      </c>
      <c r="R478" s="4" t="s">
        <v>61</v>
      </c>
      <c r="S478" s="4" t="s">
        <v>62</v>
      </c>
      <c r="T478" s="6" t="e">
        <v>#N/A</v>
      </c>
      <c r="U478" s="5">
        <v>52</v>
      </c>
      <c r="V478" s="5">
        <v>43</v>
      </c>
      <c r="W478" s="5">
        <v>48</v>
      </c>
      <c r="X478" s="5">
        <v>69</v>
      </c>
      <c r="Y478" s="5">
        <v>25.98</v>
      </c>
      <c r="Z478" s="5">
        <v>29.13</v>
      </c>
      <c r="AA478" s="5">
        <v>33.07</v>
      </c>
      <c r="AB478" s="5">
        <v>49.61</v>
      </c>
      <c r="AC478" s="6">
        <v>0.25</v>
      </c>
      <c r="AD478" s="6">
        <v>0.5</v>
      </c>
      <c r="AE478" s="6">
        <v>0.25</v>
      </c>
      <c r="AF478" s="4" t="s">
        <v>6296</v>
      </c>
      <c r="AG478" s="4" t="s">
        <v>6296</v>
      </c>
      <c r="AH478" s="4" t="s">
        <v>6296</v>
      </c>
      <c r="AI478" s="4" t="s">
        <v>42</v>
      </c>
      <c r="AJ478" s="4" t="s">
        <v>6296</v>
      </c>
      <c r="AK478" s="4" t="s">
        <v>42</v>
      </c>
      <c r="AL478" s="4" t="s">
        <v>6296</v>
      </c>
      <c r="AM478" s="4" t="s">
        <v>6296</v>
      </c>
      <c r="AN478" s="4" t="s">
        <v>37</v>
      </c>
      <c r="AO478" s="4" t="s">
        <v>6296</v>
      </c>
      <c r="AP478" s="4" t="s">
        <v>4726</v>
      </c>
      <c r="AQ478" s="4" t="s">
        <v>47</v>
      </c>
    </row>
    <row r="479" spans="1:43" ht="12.6" customHeight="1" x14ac:dyDescent="0.25">
      <c r="A479" s="8" t="s">
        <v>4694</v>
      </c>
      <c r="B479" s="9">
        <v>20151231</v>
      </c>
      <c r="C479" s="12">
        <f>_xll.FDS("SPX","FG_PRICE(12/30/2015)")</f>
        <v>2063.36</v>
      </c>
      <c r="D479" s="12">
        <f>_xll.FDS("SPX","FG_PRICE(12/30/2017)")</f>
        <v>2673.61</v>
      </c>
      <c r="E479" s="15">
        <f>D479/C479-1</f>
        <v>0.2957554668114144</v>
      </c>
      <c r="F479" s="8" t="s">
        <v>4695</v>
      </c>
      <c r="G479" s="8" t="s">
        <v>4696</v>
      </c>
      <c r="H479" s="13">
        <f>_xll.FDS(G479,"FG_PRICE(12/30/2015)")</f>
        <v>5.5</v>
      </c>
      <c r="I479" s="13">
        <f>_xll.FDS(G479,"FG_PRICE(12/31/2017)")</f>
        <v>4.5999999999999996</v>
      </c>
      <c r="J479" s="13">
        <f>I479/H479-1</f>
        <v>-0.16363636363636369</v>
      </c>
      <c r="K479" s="13">
        <f>J479-E479</f>
        <v>-0.45939183044777809</v>
      </c>
      <c r="L479" s="13" t="e">
        <f>_xll.FDS(G479,"FF_ROE(ANN_R,12/30/2015)")</f>
        <v>#N/A</v>
      </c>
      <c r="M479" s="8" t="s">
        <v>4697</v>
      </c>
      <c r="N479" s="4" t="s">
        <v>4698</v>
      </c>
      <c r="O479" s="4" t="s">
        <v>877</v>
      </c>
      <c r="P479" s="4" t="s">
        <v>96</v>
      </c>
      <c r="Q479" s="4" t="s">
        <v>64</v>
      </c>
      <c r="R479" s="4" t="s">
        <v>61</v>
      </c>
      <c r="S479" s="4" t="s">
        <v>62</v>
      </c>
      <c r="T479" s="6" t="e">
        <v>#N/A</v>
      </c>
      <c r="U479" s="5">
        <v>58</v>
      </c>
      <c r="V479" s="5">
        <v>46</v>
      </c>
      <c r="W479" s="5">
        <v>60</v>
      </c>
      <c r="X479" s="5">
        <v>67</v>
      </c>
      <c r="Y479" s="5">
        <v>62.2</v>
      </c>
      <c r="Z479" s="5">
        <v>37.799999999999997</v>
      </c>
      <c r="AA479" s="5">
        <v>76.38</v>
      </c>
      <c r="AB479" s="5">
        <v>37.799999999999997</v>
      </c>
      <c r="AC479" s="6">
        <v>0.25</v>
      </c>
      <c r="AD479" s="6">
        <v>0.5</v>
      </c>
      <c r="AE479" s="6">
        <v>0.25</v>
      </c>
      <c r="AF479" s="4" t="s">
        <v>6296</v>
      </c>
      <c r="AG479" s="4" t="s">
        <v>6296</v>
      </c>
      <c r="AH479" s="4" t="s">
        <v>6296</v>
      </c>
      <c r="AI479" s="4" t="s">
        <v>6296</v>
      </c>
      <c r="AJ479" s="4" t="s">
        <v>6296</v>
      </c>
      <c r="AK479" s="4" t="s">
        <v>42</v>
      </c>
      <c r="AL479" s="4" t="s">
        <v>42</v>
      </c>
      <c r="AM479" s="4" t="s">
        <v>6296</v>
      </c>
      <c r="AN479" s="4" t="s">
        <v>6296</v>
      </c>
      <c r="AO479" s="4" t="s">
        <v>6296</v>
      </c>
      <c r="AP479" s="4" t="s">
        <v>4699</v>
      </c>
      <c r="AQ479" s="4" t="s">
        <v>47</v>
      </c>
    </row>
    <row r="480" spans="1:43" ht="12.6" customHeight="1" x14ac:dyDescent="0.25">
      <c r="A480" s="8" t="s">
        <v>6505</v>
      </c>
      <c r="B480" s="9">
        <v>20151231</v>
      </c>
      <c r="C480" s="12">
        <f>_xll.FDS("SPX","FG_PRICE(12/30/2015)")</f>
        <v>2063.36</v>
      </c>
      <c r="D480" s="12">
        <f>_xll.FDS("SPX","FG_PRICE(12/30/2017)")</f>
        <v>2673.61</v>
      </c>
      <c r="E480" s="15">
        <f>D480/C480-1</f>
        <v>0.2957554668114144</v>
      </c>
      <c r="F480" s="8" t="s">
        <v>6277</v>
      </c>
      <c r="G480" s="8" t="s">
        <v>6278</v>
      </c>
      <c r="H480" s="13">
        <f>_xll.FDS(G480,"FG_PRICE(12/30/2015)")</f>
        <v>203.73811000000001</v>
      </c>
      <c r="I480" s="13">
        <f>_xll.FDS(G480,"FG_PRICE(12/31/2017)")</f>
        <v>335.96</v>
      </c>
      <c r="J480" s="13">
        <f>I480/H480-1</f>
        <v>0.64897966315678479</v>
      </c>
      <c r="K480" s="13">
        <f>J480-E480</f>
        <v>0.35322419634537039</v>
      </c>
      <c r="L480" s="13">
        <f>_xll.FDS(G480,"FF_ROE(ANN_R,12/30/2015)")</f>
        <v>-123.2323232323232</v>
      </c>
      <c r="M480" s="8" t="s">
        <v>6279</v>
      </c>
      <c r="N480" s="4" t="s">
        <v>6280</v>
      </c>
      <c r="O480" s="4" t="s">
        <v>6281</v>
      </c>
      <c r="P480" s="4" t="s">
        <v>106</v>
      </c>
      <c r="Q480" s="4" t="s">
        <v>64</v>
      </c>
      <c r="R480" s="4" t="s">
        <v>61</v>
      </c>
      <c r="S480" s="4" t="s">
        <v>62</v>
      </c>
      <c r="T480" s="6" t="e">
        <v>#N/A</v>
      </c>
      <c r="U480" s="5">
        <v>52</v>
      </c>
      <c r="V480" s="5">
        <v>50</v>
      </c>
      <c r="W480" s="5">
        <v>46</v>
      </c>
      <c r="X480" s="5">
        <v>66</v>
      </c>
      <c r="Y480" s="5">
        <v>25.98</v>
      </c>
      <c r="Z480" s="5">
        <v>44.88</v>
      </c>
      <c r="AA480" s="5">
        <v>25.98</v>
      </c>
      <c r="AB480" s="5">
        <v>33.86</v>
      </c>
      <c r="AC480" s="6">
        <v>0.25</v>
      </c>
      <c r="AD480" s="6">
        <v>0.5</v>
      </c>
      <c r="AE480" s="6">
        <v>0.25</v>
      </c>
      <c r="AF480" s="4" t="s">
        <v>42</v>
      </c>
      <c r="AG480" s="4" t="s">
        <v>6296</v>
      </c>
      <c r="AH480" s="4" t="s">
        <v>6296</v>
      </c>
      <c r="AI480" s="4" t="s">
        <v>6296</v>
      </c>
      <c r="AJ480" s="4" t="s">
        <v>6296</v>
      </c>
      <c r="AK480" s="4" t="s">
        <v>6296</v>
      </c>
      <c r="AL480" s="4" t="s">
        <v>6296</v>
      </c>
      <c r="AM480" s="4" t="s">
        <v>6296</v>
      </c>
      <c r="AN480" s="4" t="s">
        <v>6296</v>
      </c>
      <c r="AO480" s="4" t="s">
        <v>6296</v>
      </c>
      <c r="AP480" s="4" t="s">
        <v>6506</v>
      </c>
      <c r="AQ480" s="4" t="s">
        <v>47</v>
      </c>
    </row>
    <row r="481" spans="1:43" ht="12.6" customHeight="1" x14ac:dyDescent="0.25">
      <c r="A481" s="8" t="s">
        <v>333</v>
      </c>
      <c r="B481" s="9">
        <v>20151231</v>
      </c>
      <c r="C481" s="12">
        <f>_xll.FDS("SPX","FG_PRICE(12/30/2015)")</f>
        <v>2063.36</v>
      </c>
      <c r="D481" s="12">
        <f>_xll.FDS("SPX","FG_PRICE(12/30/2017)")</f>
        <v>2673.61</v>
      </c>
      <c r="E481" s="15">
        <f>D481/C481-1</f>
        <v>0.2957554668114144</v>
      </c>
      <c r="F481" s="8" t="s">
        <v>334</v>
      </c>
      <c r="G481" s="8" t="s">
        <v>335</v>
      </c>
      <c r="H481" s="13">
        <f>_xll.FDS(G481,"FG_PRICE(12/30/2015)")</f>
        <v>28.355</v>
      </c>
      <c r="I481" s="13">
        <f>_xll.FDS(G481,"FG_PRICE(12/31/2017)")</f>
        <v>40.049999999999997</v>
      </c>
      <c r="J481" s="13">
        <f>I481/H481-1</f>
        <v>0.41244930347381392</v>
      </c>
      <c r="K481" s="13">
        <f>J481-E481</f>
        <v>0.11669383666239952</v>
      </c>
      <c r="L481" s="13">
        <f>_xll.FDS(G481,"FF_ROE(ANN_R,12/30/2015)")</f>
        <v>16.208113727576041</v>
      </c>
      <c r="M481" s="8" t="s">
        <v>336</v>
      </c>
      <c r="N481" s="4" t="s">
        <v>337</v>
      </c>
      <c r="O481" s="4" t="s">
        <v>338</v>
      </c>
      <c r="P481" s="4" t="s">
        <v>106</v>
      </c>
      <c r="Q481" s="4" t="s">
        <v>64</v>
      </c>
      <c r="R481" s="4" t="s">
        <v>61</v>
      </c>
      <c r="S481" s="4" t="s">
        <v>62</v>
      </c>
      <c r="T481" s="6" t="e">
        <v>#N/A</v>
      </c>
      <c r="U481" s="5">
        <v>64</v>
      </c>
      <c r="V481" s="5">
        <v>62</v>
      </c>
      <c r="W481" s="5">
        <v>63</v>
      </c>
      <c r="X481" s="5">
        <v>68</v>
      </c>
      <c r="Y481" s="5">
        <v>78.739999999999995</v>
      </c>
      <c r="Z481" s="5">
        <v>77.17</v>
      </c>
      <c r="AA481" s="5">
        <v>81.099999999999994</v>
      </c>
      <c r="AB481" s="5">
        <v>44.09</v>
      </c>
      <c r="AC481" s="6">
        <v>0.25</v>
      </c>
      <c r="AD481" s="6">
        <v>0.5</v>
      </c>
      <c r="AE481" s="6">
        <v>0.25</v>
      </c>
      <c r="AF481" s="4" t="s">
        <v>6296</v>
      </c>
      <c r="AG481" s="4" t="s">
        <v>6296</v>
      </c>
      <c r="AH481" s="4" t="s">
        <v>6296</v>
      </c>
      <c r="AI481" s="4" t="s">
        <v>37</v>
      </c>
      <c r="AJ481" s="4" t="s">
        <v>6296</v>
      </c>
      <c r="AK481" s="4" t="s">
        <v>37</v>
      </c>
      <c r="AL481" s="4" t="s">
        <v>37</v>
      </c>
      <c r="AM481" s="4" t="s">
        <v>42</v>
      </c>
      <c r="AN481" s="4" t="s">
        <v>6296</v>
      </c>
      <c r="AO481" s="4" t="s">
        <v>6296</v>
      </c>
      <c r="AP481" s="4" t="s">
        <v>339</v>
      </c>
      <c r="AQ481" s="4" t="s">
        <v>47</v>
      </c>
    </row>
    <row r="482" spans="1:43" ht="12.6" customHeight="1" x14ac:dyDescent="0.25">
      <c r="A482" s="8" t="s">
        <v>847</v>
      </c>
      <c r="B482" s="9">
        <v>20151231</v>
      </c>
      <c r="C482" s="12">
        <f>_xll.FDS("SPX","FG_PRICE(12/30/2015)")</f>
        <v>2063.36</v>
      </c>
      <c r="D482" s="12">
        <f>_xll.FDS("SPX","FG_PRICE(12/30/2017)")</f>
        <v>2673.61</v>
      </c>
      <c r="E482" s="15">
        <f>D482/C482-1</f>
        <v>0.2957554668114144</v>
      </c>
      <c r="F482" s="8" t="s">
        <v>848</v>
      </c>
      <c r="G482" s="8" t="s">
        <v>849</v>
      </c>
      <c r="H482" s="13">
        <f>_xll.FDS(G482,"FG_PRICE(12/30/2015)")</f>
        <v>31.86</v>
      </c>
      <c r="I482" s="13" t="e">
        <f>_xll.FDS(G482,"FG_PRICE(12/31/2017)")</f>
        <v>#N/A</v>
      </c>
      <c r="J482" s="13" t="e">
        <f>I482/H482-1</f>
        <v>#N/A</v>
      </c>
      <c r="K482" s="13" t="e">
        <f>J482-E482</f>
        <v>#N/A</v>
      </c>
      <c r="L482" s="13" t="e">
        <f>_xll.FDS(G482,"FF_ROE(ANN_R,12/30/2015)")</f>
        <v>#N/A</v>
      </c>
      <c r="M482" s="8" t="s">
        <v>850</v>
      </c>
      <c r="N482" s="4" t="s">
        <v>851</v>
      </c>
      <c r="O482" s="4" t="s">
        <v>47</v>
      </c>
      <c r="P482" s="4" t="s">
        <v>96</v>
      </c>
      <c r="Q482" s="4" t="s">
        <v>64</v>
      </c>
      <c r="R482" s="4" t="s">
        <v>61</v>
      </c>
      <c r="S482" s="4" t="s">
        <v>62</v>
      </c>
      <c r="T482" s="6" t="e">
        <v>#N/A</v>
      </c>
      <c r="U482" s="5">
        <v>48</v>
      </c>
      <c r="V482" s="5">
        <v>39</v>
      </c>
      <c r="W482" s="5">
        <v>45</v>
      </c>
      <c r="X482" s="5">
        <v>61</v>
      </c>
      <c r="Y482" s="5">
        <v>11.81</v>
      </c>
      <c r="Z482" s="6">
        <v>0</v>
      </c>
      <c r="AA482" s="5">
        <v>20.47</v>
      </c>
      <c r="AB482" s="5">
        <v>14.17</v>
      </c>
      <c r="AC482" s="6">
        <v>0.25</v>
      </c>
      <c r="AD482" s="6">
        <v>0.5</v>
      </c>
      <c r="AE482" s="6">
        <v>0.25</v>
      </c>
      <c r="AF482" s="4" t="s">
        <v>6296</v>
      </c>
      <c r="AG482" s="4" t="s">
        <v>6296</v>
      </c>
      <c r="AH482" s="4" t="s">
        <v>6296</v>
      </c>
      <c r="AI482" s="4" t="s">
        <v>37</v>
      </c>
      <c r="AJ482" s="4" t="s">
        <v>6296</v>
      </c>
      <c r="AK482" s="4" t="s">
        <v>37</v>
      </c>
      <c r="AL482" s="4" t="s">
        <v>6296</v>
      </c>
      <c r="AM482" s="4" t="s">
        <v>6296</v>
      </c>
      <c r="AN482" s="4" t="s">
        <v>42</v>
      </c>
      <c r="AO482" s="4" t="s">
        <v>6296</v>
      </c>
      <c r="AP482" s="4" t="s">
        <v>852</v>
      </c>
      <c r="AQ482" s="4" t="s">
        <v>47</v>
      </c>
    </row>
    <row r="483" spans="1:43" ht="12.6" customHeight="1" x14ac:dyDescent="0.25">
      <c r="A483" s="8" t="s">
        <v>5051</v>
      </c>
      <c r="B483" s="9">
        <v>20151231</v>
      </c>
      <c r="C483" s="12">
        <f>_xll.FDS("SPX","FG_PRICE(12/30/2015)")</f>
        <v>2063.36</v>
      </c>
      <c r="D483" s="12">
        <f>_xll.FDS("SPX","FG_PRICE(12/30/2017)")</f>
        <v>2673.61</v>
      </c>
      <c r="E483" s="15">
        <f>D483/C483-1</f>
        <v>0.2957554668114144</v>
      </c>
      <c r="F483" s="8" t="s">
        <v>5052</v>
      </c>
      <c r="G483" s="8" t="s">
        <v>5053</v>
      </c>
      <c r="H483" s="13">
        <f>_xll.FDS(G483,"FG_PRICE(12/30/2015)")</f>
        <v>26.56</v>
      </c>
      <c r="I483" s="13">
        <f>_xll.FDS(G483,"FG_PRICE(12/31/2017)")</f>
        <v>22.38</v>
      </c>
      <c r="J483" s="13">
        <f>I483/H483-1</f>
        <v>-0.15737951807228912</v>
      </c>
      <c r="K483" s="13">
        <f>J483-E483</f>
        <v>-0.45313498488370352</v>
      </c>
      <c r="L483" s="13">
        <f>_xll.FDS(G483,"FF_ROE(ANN_R,12/30/2015)")</f>
        <v>19.29140532293609</v>
      </c>
      <c r="M483" s="8" t="s">
        <v>5054</v>
      </c>
      <c r="N483" s="4" t="s">
        <v>5055</v>
      </c>
      <c r="O483" s="4" t="s">
        <v>5056</v>
      </c>
      <c r="P483" s="4" t="s">
        <v>106</v>
      </c>
      <c r="Q483" s="4" t="s">
        <v>64</v>
      </c>
      <c r="R483" s="4" t="s">
        <v>61</v>
      </c>
      <c r="S483" s="4" t="s">
        <v>62</v>
      </c>
      <c r="T483" s="6" t="e">
        <v>#N/A</v>
      </c>
      <c r="U483" s="5">
        <v>51</v>
      </c>
      <c r="V483" s="5">
        <v>52</v>
      </c>
      <c r="W483" s="5">
        <v>46</v>
      </c>
      <c r="X483" s="5">
        <v>61</v>
      </c>
      <c r="Y483" s="5">
        <v>21.26</v>
      </c>
      <c r="Z483" s="5">
        <v>51.18</v>
      </c>
      <c r="AA483" s="5">
        <v>25.98</v>
      </c>
      <c r="AB483" s="5">
        <v>14.17</v>
      </c>
      <c r="AC483" s="6">
        <v>0.25</v>
      </c>
      <c r="AD483" s="6">
        <v>0.5</v>
      </c>
      <c r="AE483" s="6">
        <v>0.25</v>
      </c>
      <c r="AF483" s="4" t="s">
        <v>6296</v>
      </c>
      <c r="AG483" s="4" t="s">
        <v>6296</v>
      </c>
      <c r="AH483" s="4" t="s">
        <v>6296</v>
      </c>
      <c r="AI483" s="4" t="s">
        <v>42</v>
      </c>
      <c r="AJ483" s="4" t="s">
        <v>6296</v>
      </c>
      <c r="AK483" s="4" t="s">
        <v>6296</v>
      </c>
      <c r="AL483" s="4" t="s">
        <v>6296</v>
      </c>
      <c r="AM483" s="4" t="s">
        <v>6296</v>
      </c>
      <c r="AN483" s="4" t="s">
        <v>37</v>
      </c>
      <c r="AO483" s="4" t="s">
        <v>6296</v>
      </c>
      <c r="AP483" s="4" t="s">
        <v>5057</v>
      </c>
      <c r="AQ483" s="4" t="s">
        <v>47</v>
      </c>
    </row>
    <row r="484" spans="1:43" ht="12.6" customHeight="1" x14ac:dyDescent="0.25">
      <c r="A484" s="8" t="s">
        <v>1464</v>
      </c>
      <c r="B484" s="9">
        <v>20151231</v>
      </c>
      <c r="C484" s="12">
        <f>_xll.FDS("SPX","FG_PRICE(12/30/2015)")</f>
        <v>2063.36</v>
      </c>
      <c r="D484" s="12">
        <f>_xll.FDS("SPX","FG_PRICE(12/30/2017)")</f>
        <v>2673.61</v>
      </c>
      <c r="E484" s="15">
        <f>D484/C484-1</f>
        <v>0.2957554668114144</v>
      </c>
      <c r="F484" s="8" t="s">
        <v>1465</v>
      </c>
      <c r="G484" s="8" t="s">
        <v>1466</v>
      </c>
      <c r="H484" s="13">
        <f>_xll.FDS(G484,"FG_PRICE(12/30/2015)")</f>
        <v>57.48</v>
      </c>
      <c r="I484" s="13">
        <f>_xll.FDS(G484,"FG_PRICE(12/31/2017)")</f>
        <v>47.75</v>
      </c>
      <c r="J484" s="13">
        <f>I484/H484-1</f>
        <v>-0.16927627000695888</v>
      </c>
      <c r="K484" s="13">
        <f>J484-E484</f>
        <v>-0.46503173681837329</v>
      </c>
      <c r="L484" s="13">
        <f>_xll.FDS(G484,"FF_ROE(ANN_R,12/30/2015)")</f>
        <v>63.1882863687335</v>
      </c>
      <c r="M484" s="8" t="s">
        <v>1467</v>
      </c>
      <c r="N484" s="4" t="s">
        <v>1468</v>
      </c>
      <c r="O484" s="4" t="s">
        <v>1469</v>
      </c>
      <c r="P484" s="4" t="s">
        <v>106</v>
      </c>
      <c r="Q484" s="4" t="s">
        <v>64</v>
      </c>
      <c r="R484" s="4" t="s">
        <v>61</v>
      </c>
      <c r="S484" s="4" t="s">
        <v>62</v>
      </c>
      <c r="T484" s="6" t="e">
        <v>#N/A</v>
      </c>
      <c r="U484" s="5">
        <v>45</v>
      </c>
      <c r="V484" s="5">
        <v>40</v>
      </c>
      <c r="W484" s="5">
        <v>44</v>
      </c>
      <c r="X484" s="5">
        <v>51</v>
      </c>
      <c r="Y484" s="6">
        <v>3.15</v>
      </c>
      <c r="Z484" s="6">
        <v>3.15</v>
      </c>
      <c r="AA484" s="5">
        <v>14.96</v>
      </c>
      <c r="AB484" s="6">
        <v>1.57</v>
      </c>
      <c r="AC484" s="6">
        <v>0.25</v>
      </c>
      <c r="AD484" s="6">
        <v>0.5</v>
      </c>
      <c r="AE484" s="6">
        <v>0.25</v>
      </c>
      <c r="AF484" s="4" t="s">
        <v>6296</v>
      </c>
      <c r="AG484" s="4" t="s">
        <v>6296</v>
      </c>
      <c r="AH484" s="4" t="s">
        <v>6296</v>
      </c>
      <c r="AI484" s="4" t="s">
        <v>42</v>
      </c>
      <c r="AJ484" s="4" t="s">
        <v>6296</v>
      </c>
      <c r="AK484" s="4" t="s">
        <v>37</v>
      </c>
      <c r="AL484" s="4" t="s">
        <v>6296</v>
      </c>
      <c r="AM484" s="4" t="s">
        <v>37</v>
      </c>
      <c r="AN484" s="4" t="s">
        <v>6296</v>
      </c>
      <c r="AO484" s="4" t="s">
        <v>6296</v>
      </c>
      <c r="AP484" s="4" t="s">
        <v>1470</v>
      </c>
      <c r="AQ484" s="4" t="s">
        <v>47</v>
      </c>
    </row>
    <row r="485" spans="1:43" ht="12.6" customHeight="1" x14ac:dyDescent="0.25">
      <c r="A485" s="8" t="s">
        <v>1342</v>
      </c>
      <c r="B485" s="9">
        <v>20151231</v>
      </c>
      <c r="C485" s="12">
        <f>_xll.FDS("SPX","FG_PRICE(12/30/2015)")</f>
        <v>2063.36</v>
      </c>
      <c r="D485" s="12">
        <f>_xll.FDS("SPX","FG_PRICE(12/30/2017)")</f>
        <v>2673.61</v>
      </c>
      <c r="E485" s="15">
        <f>D485/C485-1</f>
        <v>0.2957554668114144</v>
      </c>
      <c r="F485" s="8" t="s">
        <v>1343</v>
      </c>
      <c r="G485" s="8" t="s">
        <v>1344</v>
      </c>
      <c r="H485" s="13">
        <f>_xll.FDS(G485,"FG_PRICE(12/30/2015)")</f>
        <v>106.34</v>
      </c>
      <c r="I485" s="13">
        <f>_xll.FDS(G485,"FG_PRICE(12/31/2017)")</f>
        <v>107.51</v>
      </c>
      <c r="J485" s="13">
        <f>I485/H485-1</f>
        <v>1.1002444987775029E-2</v>
      </c>
      <c r="K485" s="13">
        <f>J485-E485</f>
        <v>-0.28475302182363937</v>
      </c>
      <c r="L485" s="13">
        <f>_xll.FDS(G485,"FF_ROE(ANN_R,12/30/2015)")</f>
        <v>18.734284724472801</v>
      </c>
      <c r="M485" s="8" t="s">
        <v>1345</v>
      </c>
      <c r="N485" s="4" t="s">
        <v>1346</v>
      </c>
      <c r="O485" s="4" t="s">
        <v>1347</v>
      </c>
      <c r="P485" s="4" t="s">
        <v>96</v>
      </c>
      <c r="Q485" s="4" t="s">
        <v>64</v>
      </c>
      <c r="R485" s="4" t="s">
        <v>61</v>
      </c>
      <c r="S485" s="4" t="s">
        <v>62</v>
      </c>
      <c r="T485" s="6" t="e">
        <v>#N/A</v>
      </c>
      <c r="U485" s="5">
        <v>65</v>
      </c>
      <c r="V485" s="5">
        <v>59</v>
      </c>
      <c r="W485" s="5">
        <v>63</v>
      </c>
      <c r="X485" s="5">
        <v>75</v>
      </c>
      <c r="Y485" s="5">
        <v>82.68</v>
      </c>
      <c r="Z485" s="5">
        <v>73.23</v>
      </c>
      <c r="AA485" s="5">
        <v>81.099999999999994</v>
      </c>
      <c r="AB485" s="5">
        <v>70.87</v>
      </c>
      <c r="AC485" s="6">
        <v>0.25</v>
      </c>
      <c r="AD485" s="6">
        <v>0.5</v>
      </c>
      <c r="AE485" s="6">
        <v>0.25</v>
      </c>
      <c r="AF485" s="4" t="s">
        <v>6296</v>
      </c>
      <c r="AG485" s="4" t="s">
        <v>42</v>
      </c>
      <c r="AH485" s="4" t="s">
        <v>6296</v>
      </c>
      <c r="AI485" s="4" t="s">
        <v>37</v>
      </c>
      <c r="AJ485" s="4" t="s">
        <v>46</v>
      </c>
      <c r="AK485" s="4" t="s">
        <v>37</v>
      </c>
      <c r="AL485" s="4" t="s">
        <v>6296</v>
      </c>
      <c r="AM485" s="4" t="s">
        <v>37</v>
      </c>
      <c r="AN485" s="4" t="s">
        <v>6296</v>
      </c>
      <c r="AO485" s="4" t="s">
        <v>6296</v>
      </c>
      <c r="AP485" s="4" t="s">
        <v>1348</v>
      </c>
      <c r="AQ485" s="4" t="s">
        <v>47</v>
      </c>
    </row>
    <row r="486" spans="1:43" ht="12.6" customHeight="1" x14ac:dyDescent="0.25">
      <c r="A486" s="8" t="s">
        <v>4583</v>
      </c>
      <c r="B486" s="9">
        <v>20151231</v>
      </c>
      <c r="C486" s="12">
        <f>_xll.FDS("SPX","FG_PRICE(12/30/2015)")</f>
        <v>2063.36</v>
      </c>
      <c r="D486" s="12">
        <f>_xll.FDS("SPX","FG_PRICE(12/30/2017)")</f>
        <v>2673.61</v>
      </c>
      <c r="E486" s="15">
        <f>D486/C486-1</f>
        <v>0.2957554668114144</v>
      </c>
      <c r="F486" s="8" t="s">
        <v>4584</v>
      </c>
      <c r="G486" s="8" t="s">
        <v>4585</v>
      </c>
      <c r="H486" s="13">
        <f>_xll.FDS(G486,"FG_PRICE(12/30/2015)")</f>
        <v>26.17</v>
      </c>
      <c r="I486" s="13" t="e">
        <f>_xll.FDS(G486,"FG_PRICE(12/31/2017)")</f>
        <v>#N/A</v>
      </c>
      <c r="J486" s="13" t="e">
        <f>I486/H486-1</f>
        <v>#N/A</v>
      </c>
      <c r="K486" s="13" t="e">
        <f>J486-E486</f>
        <v>#N/A</v>
      </c>
      <c r="L486" s="13">
        <f>_xll.FDS(G486,"FF_ROE(ANN_R,12/30/2015)")</f>
        <v>-24.177713778799539</v>
      </c>
      <c r="M486" s="8" t="s">
        <v>4586</v>
      </c>
      <c r="N486" s="4" t="s">
        <v>4587</v>
      </c>
      <c r="O486" s="4" t="s">
        <v>47</v>
      </c>
      <c r="P486" s="4" t="s">
        <v>106</v>
      </c>
      <c r="Q486" s="4" t="s">
        <v>64</v>
      </c>
      <c r="R486" s="4" t="s">
        <v>61</v>
      </c>
      <c r="S486" s="4" t="s">
        <v>62</v>
      </c>
      <c r="T486" s="6" t="e">
        <v>#N/A</v>
      </c>
      <c r="U486" s="5">
        <v>59</v>
      </c>
      <c r="V486" s="5">
        <v>40</v>
      </c>
      <c r="W486" s="5">
        <v>60</v>
      </c>
      <c r="X486" s="5">
        <v>76</v>
      </c>
      <c r="Y486" s="5">
        <v>63.78</v>
      </c>
      <c r="Z486" s="6">
        <v>3.15</v>
      </c>
      <c r="AA486" s="5">
        <v>76.38</v>
      </c>
      <c r="AB486" s="5">
        <v>77.17</v>
      </c>
      <c r="AC486" s="6">
        <v>0.25</v>
      </c>
      <c r="AD486" s="6">
        <v>0.5</v>
      </c>
      <c r="AE486" s="6">
        <v>0.25</v>
      </c>
      <c r="AF486" s="4" t="s">
        <v>6296</v>
      </c>
      <c r="AG486" s="4" t="s">
        <v>6296</v>
      </c>
      <c r="AH486" s="4" t="s">
        <v>6296</v>
      </c>
      <c r="AI486" s="4" t="s">
        <v>37</v>
      </c>
      <c r="AJ486" s="4" t="s">
        <v>6296</v>
      </c>
      <c r="AK486" s="4" t="s">
        <v>6296</v>
      </c>
      <c r="AL486" s="4" t="s">
        <v>6296</v>
      </c>
      <c r="AM486" s="4" t="s">
        <v>37</v>
      </c>
      <c r="AN486" s="4" t="s">
        <v>6296</v>
      </c>
      <c r="AO486" s="4" t="s">
        <v>6296</v>
      </c>
      <c r="AP486" s="4" t="s">
        <v>4588</v>
      </c>
      <c r="AQ486" s="4" t="s">
        <v>47</v>
      </c>
    </row>
    <row r="487" spans="1:43" ht="12.6" customHeight="1" x14ac:dyDescent="0.25">
      <c r="A487" s="8" t="s">
        <v>5707</v>
      </c>
      <c r="B487" s="9">
        <v>20151231</v>
      </c>
      <c r="C487" s="12">
        <f>_xll.FDS("SPX","FG_PRICE(12/30/2015)")</f>
        <v>2063.36</v>
      </c>
      <c r="D487" s="12">
        <f>_xll.FDS("SPX","FG_PRICE(12/30/2017)")</f>
        <v>2673.61</v>
      </c>
      <c r="E487" s="15">
        <f>D487/C487-1</f>
        <v>0.2957554668114144</v>
      </c>
      <c r="F487" s="8" t="s">
        <v>5708</v>
      </c>
      <c r="G487" s="8" t="s">
        <v>5709</v>
      </c>
      <c r="H487" s="13">
        <f>_xll.FDS(G487,"FG_PRICE(12/30/2015)")</f>
        <v>27.3</v>
      </c>
      <c r="I487" s="13">
        <f>_xll.FDS(G487,"FG_PRICE(12/31/2017)")</f>
        <v>34.53</v>
      </c>
      <c r="J487" s="13">
        <f>I487/H487-1</f>
        <v>0.26483516483516478</v>
      </c>
      <c r="K487" s="13">
        <f>J487-E487</f>
        <v>-3.092030197624962E-2</v>
      </c>
      <c r="L487" s="13">
        <f>_xll.FDS(G487,"FF_ROE(ANN_R,12/30/2015)")</f>
        <v>48.345747445002587</v>
      </c>
      <c r="M487" s="8" t="s">
        <v>5710</v>
      </c>
      <c r="N487" s="4" t="s">
        <v>5711</v>
      </c>
      <c r="O487" s="4" t="s">
        <v>5712</v>
      </c>
      <c r="P487" s="4" t="s">
        <v>106</v>
      </c>
      <c r="Q487" s="4" t="s">
        <v>64</v>
      </c>
      <c r="R487" s="4" t="s">
        <v>61</v>
      </c>
      <c r="S487" s="4" t="s">
        <v>62</v>
      </c>
      <c r="T487" s="6" t="e">
        <v>#N/A</v>
      </c>
      <c r="U487" s="5">
        <v>42</v>
      </c>
      <c r="V487" s="5">
        <v>49</v>
      </c>
      <c r="W487" s="5">
        <v>36</v>
      </c>
      <c r="X487" s="5">
        <v>46</v>
      </c>
      <c r="Y487" s="6">
        <v>0</v>
      </c>
      <c r="Z487" s="5">
        <v>42.52</v>
      </c>
      <c r="AA487" s="6">
        <v>0</v>
      </c>
      <c r="AB487" s="6">
        <v>0.79</v>
      </c>
      <c r="AC487" s="6">
        <v>0.25</v>
      </c>
      <c r="AD487" s="6">
        <v>0.5</v>
      </c>
      <c r="AE487" s="6">
        <v>0.25</v>
      </c>
      <c r="AF487" s="4" t="s">
        <v>6296</v>
      </c>
      <c r="AG487" s="4" t="s">
        <v>6296</v>
      </c>
      <c r="AH487" s="4" t="s">
        <v>6296</v>
      </c>
      <c r="AI487" s="4" t="s">
        <v>42</v>
      </c>
      <c r="AJ487" s="4" t="s">
        <v>6296</v>
      </c>
      <c r="AK487" s="4" t="s">
        <v>37</v>
      </c>
      <c r="AL487" s="4" t="s">
        <v>46</v>
      </c>
      <c r="AM487" s="4" t="s">
        <v>45</v>
      </c>
      <c r="AN487" s="4" t="s">
        <v>46</v>
      </c>
      <c r="AO487" s="4" t="s">
        <v>6296</v>
      </c>
      <c r="AP487" s="4" t="s">
        <v>5713</v>
      </c>
      <c r="AQ487" s="4" t="s">
        <v>47</v>
      </c>
    </row>
    <row r="488" spans="1:43" ht="12.6" customHeight="1" x14ac:dyDescent="0.25">
      <c r="A488" s="8" t="s">
        <v>6248</v>
      </c>
      <c r="B488" s="9">
        <v>20151231</v>
      </c>
      <c r="C488" s="12">
        <f>_xll.FDS("SPX","FG_PRICE(12/30/2015)")</f>
        <v>2063.36</v>
      </c>
      <c r="D488" s="12">
        <f>_xll.FDS("SPX","FG_PRICE(12/30/2017)")</f>
        <v>2673.61</v>
      </c>
      <c r="E488" s="15">
        <f>D488/C488-1</f>
        <v>0.2957554668114144</v>
      </c>
      <c r="F488" s="8" t="s">
        <v>6249</v>
      </c>
      <c r="G488" s="8" t="s">
        <v>6250</v>
      </c>
      <c r="H488" s="13">
        <f>_xll.FDS(G488,"FG_PRICE(12/30/2015)")</f>
        <v>16.350000000000001</v>
      </c>
      <c r="I488" s="13">
        <f>_xll.FDS(G488,"FG_PRICE(12/31/2017)")</f>
        <v>11.59</v>
      </c>
      <c r="J488" s="13">
        <f>I488/H488-1</f>
        <v>-0.2911314984709481</v>
      </c>
      <c r="K488" s="13">
        <f>J488-E488</f>
        <v>-0.5868869652823625</v>
      </c>
      <c r="L488" s="13">
        <f>_xll.FDS(G488,"FF_ROE(ANN_R,12/30/2015)")</f>
        <v>19.131581205369969</v>
      </c>
      <c r="M488" s="8" t="s">
        <v>6251</v>
      </c>
      <c r="N488" s="4" t="s">
        <v>6252</v>
      </c>
      <c r="O488" s="4" t="s">
        <v>6253</v>
      </c>
      <c r="P488" s="4" t="s">
        <v>96</v>
      </c>
      <c r="Q488" s="4" t="s">
        <v>64</v>
      </c>
      <c r="R488" s="4" t="s">
        <v>61</v>
      </c>
      <c r="S488" s="4" t="s">
        <v>62</v>
      </c>
      <c r="T488" s="6" t="e">
        <v>#N/A</v>
      </c>
      <c r="U488" s="5">
        <v>55</v>
      </c>
      <c r="V488" s="5">
        <v>42</v>
      </c>
      <c r="W488" s="5">
        <v>50</v>
      </c>
      <c r="X488" s="5">
        <v>79</v>
      </c>
      <c r="Y488" s="5">
        <v>44.09</v>
      </c>
      <c r="Z488" s="5">
        <v>20.47</v>
      </c>
      <c r="AA488" s="5">
        <v>44.09</v>
      </c>
      <c r="AB488" s="5">
        <v>85.04</v>
      </c>
      <c r="AC488" s="6">
        <v>0.25</v>
      </c>
      <c r="AD488" s="6">
        <v>0.5</v>
      </c>
      <c r="AE488" s="6">
        <v>0.25</v>
      </c>
      <c r="AF488" s="4" t="s">
        <v>6296</v>
      </c>
      <c r="AG488" s="4" t="s">
        <v>6296</v>
      </c>
      <c r="AH488" s="4" t="s">
        <v>6296</v>
      </c>
      <c r="AI488" s="4" t="s">
        <v>42</v>
      </c>
      <c r="AJ488" s="4" t="s">
        <v>6296</v>
      </c>
      <c r="AK488" s="4" t="s">
        <v>6296</v>
      </c>
      <c r="AL488" s="4" t="s">
        <v>6296</v>
      </c>
      <c r="AM488" s="4" t="s">
        <v>6296</v>
      </c>
      <c r="AN488" s="4" t="s">
        <v>6296</v>
      </c>
      <c r="AO488" s="4" t="s">
        <v>6296</v>
      </c>
      <c r="AP488" s="4" t="s">
        <v>6254</v>
      </c>
      <c r="AQ488" s="4" t="s">
        <v>47</v>
      </c>
    </row>
    <row r="489" spans="1:43" ht="12.6" customHeight="1" x14ac:dyDescent="0.25">
      <c r="A489" s="8" t="s">
        <v>2167</v>
      </c>
      <c r="B489" s="9">
        <v>20151231</v>
      </c>
      <c r="C489" s="12">
        <f>_xll.FDS("SPX","FG_PRICE(12/30/2015)")</f>
        <v>2063.36</v>
      </c>
      <c r="D489" s="12">
        <f>_xll.FDS("SPX","FG_PRICE(12/30/2017)")</f>
        <v>2673.61</v>
      </c>
      <c r="E489" s="15">
        <f>D489/C489-1</f>
        <v>0.2957554668114144</v>
      </c>
      <c r="F489" s="8" t="s">
        <v>2168</v>
      </c>
      <c r="G489" s="8" t="s">
        <v>2169</v>
      </c>
      <c r="H489" s="13">
        <f>_xll.FDS(G489,"FG_PRICE(12/30/2015)")</f>
        <v>23.55</v>
      </c>
      <c r="I489" s="13">
        <f>_xll.FDS(G489,"FG_PRICE(12/31/2017)")</f>
        <v>20.16</v>
      </c>
      <c r="J489" s="13">
        <f>I489/H489-1</f>
        <v>-0.14394904458598723</v>
      </c>
      <c r="K489" s="13">
        <f>J489-E489</f>
        <v>-0.43970451139740163</v>
      </c>
      <c r="L489" s="13">
        <f>_xll.FDS(G489,"FF_ROE(ANN_R,12/30/2015)")</f>
        <v>22.029320096964099</v>
      </c>
      <c r="M489" s="8" t="s">
        <v>2170</v>
      </c>
      <c r="N489" s="4" t="s">
        <v>2171</v>
      </c>
      <c r="O489" s="4" t="s">
        <v>2172</v>
      </c>
      <c r="P489" s="4" t="s">
        <v>96</v>
      </c>
      <c r="Q489" s="4" t="s">
        <v>64</v>
      </c>
      <c r="R489" s="4" t="s">
        <v>61</v>
      </c>
      <c r="S489" s="4" t="s">
        <v>62</v>
      </c>
      <c r="T489" s="6" t="e">
        <v>#N/A</v>
      </c>
      <c r="U489" s="5">
        <v>62</v>
      </c>
      <c r="V489" s="5">
        <v>55</v>
      </c>
      <c r="W489" s="5">
        <v>59</v>
      </c>
      <c r="X489" s="5">
        <v>75</v>
      </c>
      <c r="Y489" s="5">
        <v>74.8</v>
      </c>
      <c r="Z489" s="5">
        <v>63.78</v>
      </c>
      <c r="AA489" s="5">
        <v>74.02</v>
      </c>
      <c r="AB489" s="5">
        <v>70.87</v>
      </c>
      <c r="AC489" s="6">
        <v>0.25</v>
      </c>
      <c r="AD489" s="6">
        <v>0.5</v>
      </c>
      <c r="AE489" s="6">
        <v>0.25</v>
      </c>
      <c r="AF489" s="4" t="s">
        <v>6296</v>
      </c>
      <c r="AG489" s="4" t="s">
        <v>6296</v>
      </c>
      <c r="AH489" s="4" t="s">
        <v>6296</v>
      </c>
      <c r="AI489" s="4" t="s">
        <v>6296</v>
      </c>
      <c r="AJ489" s="4" t="s">
        <v>6296</v>
      </c>
      <c r="AK489" s="4" t="s">
        <v>6296</v>
      </c>
      <c r="AL489" s="4" t="s">
        <v>6296</v>
      </c>
      <c r="AM489" s="4" t="s">
        <v>37</v>
      </c>
      <c r="AN489" s="4" t="s">
        <v>6296</v>
      </c>
      <c r="AO489" s="4" t="s">
        <v>6296</v>
      </c>
      <c r="AP489" s="4" t="s">
        <v>2173</v>
      </c>
      <c r="AQ489" s="4" t="s">
        <v>47</v>
      </c>
    </row>
    <row r="490" spans="1:43" ht="12.6" customHeight="1" x14ac:dyDescent="0.25">
      <c r="A490" s="8" t="s">
        <v>4374</v>
      </c>
      <c r="B490" s="9">
        <v>20151231</v>
      </c>
      <c r="C490" s="12">
        <f>_xll.FDS("SPX","FG_PRICE(12/30/2015)")</f>
        <v>2063.36</v>
      </c>
      <c r="D490" s="12">
        <f>_xll.FDS("SPX","FG_PRICE(12/30/2017)")</f>
        <v>2673.61</v>
      </c>
      <c r="E490" s="15">
        <f>D490/C490-1</f>
        <v>0.2957554668114144</v>
      </c>
      <c r="F490" s="8" t="s">
        <v>4375</v>
      </c>
      <c r="G490" s="8" t="s">
        <v>4376</v>
      </c>
      <c r="H490" s="13">
        <f>_xll.FDS(G490,"FG_PRICE(12/30/2015)")</f>
        <v>45.21</v>
      </c>
      <c r="I490" s="13">
        <f>_xll.FDS(G490,"FG_PRICE(12/31/2017)")</f>
        <v>65.75</v>
      </c>
      <c r="J490" s="13">
        <f>I490/H490-1</f>
        <v>0.4543242645432426</v>
      </c>
      <c r="K490" s="13">
        <f>J490-E490</f>
        <v>0.15856879773182819</v>
      </c>
      <c r="L490" s="13">
        <f>_xll.FDS(G490,"FF_ROE(ANN_R,12/30/2015)")</f>
        <v>15.81092823096535</v>
      </c>
      <c r="M490" s="8" t="s">
        <v>4377</v>
      </c>
      <c r="N490" s="4" t="s">
        <v>4378</v>
      </c>
      <c r="O490" s="4" t="s">
        <v>4379</v>
      </c>
      <c r="P490" s="4" t="s">
        <v>96</v>
      </c>
      <c r="Q490" s="4" t="s">
        <v>64</v>
      </c>
      <c r="R490" s="4" t="s">
        <v>61</v>
      </c>
      <c r="S490" s="4" t="s">
        <v>62</v>
      </c>
      <c r="T490" s="6" t="e">
        <v>#N/A</v>
      </c>
      <c r="U490" s="5">
        <v>68</v>
      </c>
      <c r="V490" s="5">
        <v>74</v>
      </c>
      <c r="W490" s="5">
        <v>58</v>
      </c>
      <c r="X490" s="5">
        <v>83</v>
      </c>
      <c r="Y490" s="5">
        <v>85.83</v>
      </c>
      <c r="Z490" s="5">
        <v>91.34</v>
      </c>
      <c r="AA490" s="5">
        <v>70.08</v>
      </c>
      <c r="AB490" s="5">
        <v>94.49</v>
      </c>
      <c r="AC490" s="6">
        <v>0.25</v>
      </c>
      <c r="AD490" s="6">
        <v>0.5</v>
      </c>
      <c r="AE490" s="6">
        <v>0.25</v>
      </c>
      <c r="AF490" s="4" t="s">
        <v>6296</v>
      </c>
      <c r="AG490" s="4" t="s">
        <v>6296</v>
      </c>
      <c r="AH490" s="4" t="s">
        <v>6296</v>
      </c>
      <c r="AI490" s="4" t="s">
        <v>6296</v>
      </c>
      <c r="AJ490" s="4" t="s">
        <v>6296</v>
      </c>
      <c r="AK490" s="4" t="s">
        <v>6296</v>
      </c>
      <c r="AL490" s="4" t="s">
        <v>6296</v>
      </c>
      <c r="AM490" s="4" t="s">
        <v>6296</v>
      </c>
      <c r="AN490" s="4" t="s">
        <v>6296</v>
      </c>
      <c r="AO490" s="4" t="s">
        <v>6296</v>
      </c>
      <c r="AP490" s="4" t="s">
        <v>4380</v>
      </c>
      <c r="AQ490" s="4" t="s">
        <v>47</v>
      </c>
    </row>
    <row r="491" spans="1:43" ht="12.6" customHeight="1" x14ac:dyDescent="0.25">
      <c r="A491" s="8" t="s">
        <v>6026</v>
      </c>
      <c r="B491" s="9">
        <v>20151231</v>
      </c>
      <c r="C491" s="12">
        <f>_xll.FDS("SPX","FG_PRICE(12/30/2015)")</f>
        <v>2063.36</v>
      </c>
      <c r="D491" s="12">
        <f>_xll.FDS("SPX","FG_PRICE(12/30/2017)")</f>
        <v>2673.61</v>
      </c>
      <c r="E491" s="15">
        <f>D491/C491-1</f>
        <v>0.2957554668114144</v>
      </c>
      <c r="F491" s="8" t="s">
        <v>6027</v>
      </c>
      <c r="G491" s="8" t="s">
        <v>6028</v>
      </c>
      <c r="H491" s="13">
        <f>_xll.FDS(G491,"FG_PRICE(12/30/2015)")</f>
        <v>60.07</v>
      </c>
      <c r="I491" s="13">
        <f>_xll.FDS(G491,"FG_PRICE(12/31/2017)")</f>
        <v>74.239999999999995</v>
      </c>
      <c r="J491" s="13">
        <f>I491/H491-1</f>
        <v>0.2358914599633759</v>
      </c>
      <c r="K491" s="13">
        <f>J491-E491</f>
        <v>-5.9864006848038498E-2</v>
      </c>
      <c r="L491" s="13">
        <f>_xll.FDS(G491,"FF_ROE(ANN_R,12/30/2015)")</f>
        <v>26.485207990756429</v>
      </c>
      <c r="M491" s="8" t="s">
        <v>6029</v>
      </c>
      <c r="N491" s="4" t="s">
        <v>6030</v>
      </c>
      <c r="O491" s="4" t="s">
        <v>6031</v>
      </c>
      <c r="P491" s="4" t="s">
        <v>106</v>
      </c>
      <c r="Q491" s="4" t="s">
        <v>64</v>
      </c>
      <c r="R491" s="4" t="s">
        <v>61</v>
      </c>
      <c r="S491" s="4" t="s">
        <v>62</v>
      </c>
      <c r="T491" s="6" t="e">
        <v>#N/A</v>
      </c>
      <c r="U491" s="5">
        <v>53</v>
      </c>
      <c r="V491" s="5">
        <v>39</v>
      </c>
      <c r="W491" s="5">
        <v>53</v>
      </c>
      <c r="X491" s="5">
        <v>67</v>
      </c>
      <c r="Y491" s="5">
        <v>28.35</v>
      </c>
      <c r="Z491" s="6">
        <v>0</v>
      </c>
      <c r="AA491" s="5">
        <v>55.91</v>
      </c>
      <c r="AB491" s="5">
        <v>37.799999999999997</v>
      </c>
      <c r="AC491" s="6">
        <v>0.25</v>
      </c>
      <c r="AD491" s="6">
        <v>0.5</v>
      </c>
      <c r="AE491" s="6">
        <v>0.25</v>
      </c>
      <c r="AF491" s="4" t="s">
        <v>6296</v>
      </c>
      <c r="AG491" s="4" t="s">
        <v>6296</v>
      </c>
      <c r="AH491" s="4" t="s">
        <v>6296</v>
      </c>
      <c r="AI491" s="4" t="s">
        <v>6296</v>
      </c>
      <c r="AJ491" s="4" t="s">
        <v>6296</v>
      </c>
      <c r="AK491" s="4" t="s">
        <v>6296</v>
      </c>
      <c r="AL491" s="4" t="s">
        <v>6296</v>
      </c>
      <c r="AM491" s="4" t="s">
        <v>6296</v>
      </c>
      <c r="AN491" s="4" t="s">
        <v>6296</v>
      </c>
      <c r="AO491" s="4" t="s">
        <v>6296</v>
      </c>
      <c r="AP491" s="4" t="s">
        <v>6032</v>
      </c>
      <c r="AQ491" s="4" t="s">
        <v>47</v>
      </c>
    </row>
    <row r="492" spans="1:43" ht="12.6" customHeight="1" x14ac:dyDescent="0.25">
      <c r="A492" s="8" t="s">
        <v>4499</v>
      </c>
      <c r="B492" s="9">
        <v>20151231</v>
      </c>
      <c r="C492" s="12">
        <f>_xll.FDS("SPX","FG_PRICE(12/30/2015)")</f>
        <v>2063.36</v>
      </c>
      <c r="D492" s="12">
        <f>_xll.FDS("SPX","FG_PRICE(12/30/2017)")</f>
        <v>2673.61</v>
      </c>
      <c r="E492" s="15">
        <f>D492/C492-1</f>
        <v>0.2957554668114144</v>
      </c>
      <c r="F492" s="8" t="s">
        <v>4500</v>
      </c>
      <c r="G492" s="8" t="s">
        <v>4501</v>
      </c>
      <c r="H492" s="13">
        <f>_xll.FDS(G492,"FG_PRICE(12/30/2015)")</f>
        <v>51.61</v>
      </c>
      <c r="I492" s="13">
        <f>_xll.FDS(G492,"FG_PRICE(12/31/2017)")</f>
        <v>85.05</v>
      </c>
      <c r="J492" s="13">
        <f>I492/H492-1</f>
        <v>0.64793644642511139</v>
      </c>
      <c r="K492" s="13">
        <f>J492-E492</f>
        <v>0.35218097961369699</v>
      </c>
      <c r="L492" s="13">
        <f>_xll.FDS(G492,"FF_ROE(ANN_R,12/30/2015)")</f>
        <v>-5.1045105928881176</v>
      </c>
      <c r="M492" s="8" t="s">
        <v>4502</v>
      </c>
      <c r="N492" s="4" t="s">
        <v>4503</v>
      </c>
      <c r="O492" s="4" t="s">
        <v>4504</v>
      </c>
      <c r="P492" s="4" t="s">
        <v>106</v>
      </c>
      <c r="Q492" s="4" t="s">
        <v>64</v>
      </c>
      <c r="R492" s="4" t="s">
        <v>61</v>
      </c>
      <c r="S492" s="4" t="s">
        <v>62</v>
      </c>
      <c r="T492" s="6" t="e">
        <v>#N/A</v>
      </c>
      <c r="U492" s="5">
        <v>49</v>
      </c>
      <c r="V492" s="5">
        <v>42</v>
      </c>
      <c r="W492" s="5">
        <v>40</v>
      </c>
      <c r="X492" s="5">
        <v>75</v>
      </c>
      <c r="Y492" s="5">
        <v>14.96</v>
      </c>
      <c r="Z492" s="5">
        <v>20.47</v>
      </c>
      <c r="AA492" s="6">
        <v>3.15</v>
      </c>
      <c r="AB492" s="5">
        <v>70.87</v>
      </c>
      <c r="AC492" s="6">
        <v>0.25</v>
      </c>
      <c r="AD492" s="6">
        <v>0.5</v>
      </c>
      <c r="AE492" s="6">
        <v>0.25</v>
      </c>
      <c r="AF492" s="4" t="s">
        <v>6296</v>
      </c>
      <c r="AG492" s="4" t="s">
        <v>6296</v>
      </c>
      <c r="AH492" s="4" t="s">
        <v>6296</v>
      </c>
      <c r="AI492" s="4" t="s">
        <v>6296</v>
      </c>
      <c r="AJ492" s="4" t="s">
        <v>6296</v>
      </c>
      <c r="AK492" s="4" t="s">
        <v>6296</v>
      </c>
      <c r="AL492" s="4" t="s">
        <v>6296</v>
      </c>
      <c r="AM492" s="4" t="s">
        <v>6296</v>
      </c>
      <c r="AN492" s="4" t="s">
        <v>6296</v>
      </c>
      <c r="AO492" s="4" t="s">
        <v>6296</v>
      </c>
      <c r="AP492" s="4" t="s">
        <v>4505</v>
      </c>
      <c r="AQ492" s="4" t="s">
        <v>47</v>
      </c>
    </row>
    <row r="493" spans="1:43" ht="12.6" customHeight="1" x14ac:dyDescent="0.25">
      <c r="A493" s="8" t="s">
        <v>6004</v>
      </c>
      <c r="B493" s="9">
        <v>20151231</v>
      </c>
      <c r="C493" s="12">
        <f>_xll.FDS("SPX","FG_PRICE(12/30/2015)")</f>
        <v>2063.36</v>
      </c>
      <c r="D493" s="12">
        <f>_xll.FDS("SPX","FG_PRICE(12/30/2017)")</f>
        <v>2673.61</v>
      </c>
      <c r="E493" s="15">
        <f>D493/C493-1</f>
        <v>0.2957554668114144</v>
      </c>
      <c r="F493" s="8" t="s">
        <v>6005</v>
      </c>
      <c r="G493" s="8" t="s">
        <v>6006</v>
      </c>
      <c r="H493" s="13">
        <f>_xll.FDS(G493,"FG_PRICE(12/30/2015)")</f>
        <v>52.09</v>
      </c>
      <c r="I493" s="13">
        <f>_xll.FDS(G493,"FG_PRICE(12/31/2017)")</f>
        <v>85.16</v>
      </c>
      <c r="J493" s="13">
        <f>I493/H493-1</f>
        <v>0.634862737569591</v>
      </c>
      <c r="K493" s="13">
        <f>J493-E493</f>
        <v>0.33910727075817659</v>
      </c>
      <c r="L493" s="13">
        <f>_xll.FDS(G493,"FF_ROE(ANN_R,12/30/2015)")</f>
        <v>-5.1045105928881176</v>
      </c>
      <c r="M493" s="8" t="s">
        <v>6007</v>
      </c>
      <c r="N493" s="4" t="s">
        <v>4503</v>
      </c>
      <c r="O493" s="4" t="s">
        <v>4504</v>
      </c>
      <c r="P493" s="4" t="s">
        <v>106</v>
      </c>
      <c r="Q493" s="4" t="s">
        <v>64</v>
      </c>
      <c r="R493" s="4" t="s">
        <v>61</v>
      </c>
      <c r="S493" s="4" t="s">
        <v>62</v>
      </c>
      <c r="T493" s="6" t="e">
        <v>#N/A</v>
      </c>
      <c r="U493" s="5">
        <v>49</v>
      </c>
      <c r="V493" s="5">
        <v>42</v>
      </c>
      <c r="W493" s="5">
        <v>40</v>
      </c>
      <c r="X493" s="5">
        <v>75</v>
      </c>
      <c r="Y493" s="5">
        <v>14.96</v>
      </c>
      <c r="Z493" s="5">
        <v>20.47</v>
      </c>
      <c r="AA493" s="6">
        <v>3.15</v>
      </c>
      <c r="AB493" s="5">
        <v>70.87</v>
      </c>
      <c r="AC493" s="6">
        <v>0.25</v>
      </c>
      <c r="AD493" s="6">
        <v>0.5</v>
      </c>
      <c r="AE493" s="6">
        <v>0.25</v>
      </c>
      <c r="AF493" s="4" t="s">
        <v>6296</v>
      </c>
      <c r="AG493" s="4" t="s">
        <v>6296</v>
      </c>
      <c r="AH493" s="4" t="s">
        <v>6296</v>
      </c>
      <c r="AI493" s="4" t="s">
        <v>6296</v>
      </c>
      <c r="AJ493" s="4" t="s">
        <v>6296</v>
      </c>
      <c r="AK493" s="4" t="s">
        <v>6296</v>
      </c>
      <c r="AL493" s="4" t="s">
        <v>6296</v>
      </c>
      <c r="AM493" s="4" t="s">
        <v>6296</v>
      </c>
      <c r="AN493" s="4" t="s">
        <v>6296</v>
      </c>
      <c r="AO493" s="4" t="s">
        <v>6296</v>
      </c>
      <c r="AP493" s="4" t="s">
        <v>4505</v>
      </c>
      <c r="AQ493" s="4" t="s">
        <v>47</v>
      </c>
    </row>
    <row r="494" spans="1:43" ht="12.6" customHeight="1" x14ac:dyDescent="0.25">
      <c r="A494" s="8" t="s">
        <v>6523</v>
      </c>
      <c r="B494" s="9">
        <v>20151231</v>
      </c>
      <c r="C494" s="12">
        <f>_xll.FDS("SPX","FG_PRICE(12/30/2015)")</f>
        <v>2063.36</v>
      </c>
      <c r="D494" s="12">
        <f>_xll.FDS("SPX","FG_PRICE(12/30/2017)")</f>
        <v>2673.61</v>
      </c>
      <c r="E494" s="15">
        <f>D494/C494-1</f>
        <v>0.2957554668114144</v>
      </c>
      <c r="F494" s="8" t="s">
        <v>6524</v>
      </c>
      <c r="G494" s="8" t="s">
        <v>6525</v>
      </c>
      <c r="H494" s="13">
        <f>_xll.FDS(G494,"FG_PRICE(12/30/2015)")</f>
        <v>39.29</v>
      </c>
      <c r="I494" s="13" t="e">
        <f>_xll.FDS(G494,"FG_PRICE(12/31/2017)")</f>
        <v>#N/A</v>
      </c>
      <c r="J494" s="13" t="e">
        <f>I494/H494-1</f>
        <v>#N/A</v>
      </c>
      <c r="K494" s="13" t="e">
        <f>J494-E494</f>
        <v>#N/A</v>
      </c>
      <c r="L494" s="13">
        <f>_xll.FDS(G494,"FF_ROE(ANN_R,12/30/2015)")</f>
        <v>1.3972290906236511</v>
      </c>
      <c r="M494" s="8" t="s">
        <v>6526</v>
      </c>
      <c r="N494" s="4" t="s">
        <v>6295</v>
      </c>
      <c r="O494" s="4" t="s">
        <v>6527</v>
      </c>
      <c r="P494" s="4" t="s">
        <v>106</v>
      </c>
      <c r="Q494" s="4" t="s">
        <v>64</v>
      </c>
      <c r="R494" s="4" t="s">
        <v>61</v>
      </c>
      <c r="S494" s="4" t="s">
        <v>62</v>
      </c>
      <c r="T494" s="6" t="e">
        <v>#N/A</v>
      </c>
      <c r="U494" s="5">
        <v>47</v>
      </c>
      <c r="V494" s="5">
        <v>40</v>
      </c>
      <c r="W494" s="5">
        <v>43</v>
      </c>
      <c r="X494" s="5">
        <v>61</v>
      </c>
      <c r="Y494" s="6">
        <v>7.09</v>
      </c>
      <c r="Z494" s="6">
        <v>3.15</v>
      </c>
      <c r="AA494" s="5">
        <v>11.81</v>
      </c>
      <c r="AB494" s="5">
        <v>14.17</v>
      </c>
      <c r="AC494" s="6">
        <v>0.25</v>
      </c>
      <c r="AD494" s="6">
        <v>0.5</v>
      </c>
      <c r="AE494" s="6">
        <v>0.25</v>
      </c>
      <c r="AF494" s="4" t="s">
        <v>6296</v>
      </c>
      <c r="AG494" s="4" t="s">
        <v>6296</v>
      </c>
      <c r="AH494" s="4" t="s">
        <v>6296</v>
      </c>
      <c r="AI494" s="4" t="s">
        <v>6296</v>
      </c>
      <c r="AJ494" s="4" t="s">
        <v>6296</v>
      </c>
      <c r="AK494" s="4" t="s">
        <v>6296</v>
      </c>
      <c r="AL494" s="4" t="s">
        <v>6296</v>
      </c>
      <c r="AM494" s="4" t="s">
        <v>6296</v>
      </c>
      <c r="AN494" s="4" t="s">
        <v>6296</v>
      </c>
      <c r="AO494" s="4" t="s">
        <v>6296</v>
      </c>
      <c r="AP494" s="4" t="s">
        <v>6528</v>
      </c>
      <c r="AQ494" s="4" t="s">
        <v>47</v>
      </c>
    </row>
    <row r="495" spans="1:43" ht="12.6" customHeight="1" x14ac:dyDescent="0.25">
      <c r="A495" s="8" t="s">
        <v>2683</v>
      </c>
      <c r="B495" s="9">
        <v>20151231</v>
      </c>
      <c r="C495" s="12">
        <f>_xll.FDS("SPX","FG_PRICE(12/30/2015)")</f>
        <v>2063.36</v>
      </c>
      <c r="D495" s="12">
        <f>_xll.FDS("SPX","FG_PRICE(12/30/2017)")</f>
        <v>2673.61</v>
      </c>
      <c r="E495" s="15">
        <f>D495/C495-1</f>
        <v>0.2957554668114144</v>
      </c>
      <c r="F495" s="8" t="s">
        <v>2684</v>
      </c>
      <c r="G495" s="8" t="s">
        <v>2685</v>
      </c>
      <c r="H495" s="13">
        <f>_xll.FDS(G495,"FG_PRICE(12/30/2015)")</f>
        <v>43.35</v>
      </c>
      <c r="I495" s="13">
        <f>_xll.FDS(G495,"FG_PRICE(12/31/2017)")</f>
        <v>66.05</v>
      </c>
      <c r="J495" s="13">
        <f>I495/H495-1</f>
        <v>0.5236447520184544</v>
      </c>
      <c r="K495" s="13">
        <f>J495-E495</f>
        <v>0.22788928520703999</v>
      </c>
      <c r="L495" s="13">
        <f>_xll.FDS(G495,"FF_ROE(ANN_R,12/30/2015)")</f>
        <v>14.84034191446497</v>
      </c>
      <c r="M495" s="8" t="s">
        <v>2686</v>
      </c>
      <c r="N495" s="4" t="s">
        <v>2686</v>
      </c>
      <c r="O495" s="4" t="s">
        <v>2687</v>
      </c>
      <c r="P495" s="4" t="s">
        <v>96</v>
      </c>
      <c r="Q495" s="4" t="s">
        <v>64</v>
      </c>
      <c r="R495" s="4" t="s">
        <v>61</v>
      </c>
      <c r="S495" s="4" t="s">
        <v>62</v>
      </c>
      <c r="T495" s="6" t="e">
        <v>#N/A</v>
      </c>
      <c r="U495" s="5">
        <v>57</v>
      </c>
      <c r="V495" s="5">
        <v>65</v>
      </c>
      <c r="W495" s="5">
        <v>45</v>
      </c>
      <c r="X495" s="5">
        <v>74</v>
      </c>
      <c r="Y495" s="5">
        <v>58.27</v>
      </c>
      <c r="Z495" s="5">
        <v>82.68</v>
      </c>
      <c r="AA495" s="5">
        <v>20.47</v>
      </c>
      <c r="AB495" s="5">
        <v>65.349999999999994</v>
      </c>
      <c r="AC495" s="6">
        <v>0.25</v>
      </c>
      <c r="AD495" s="6">
        <v>0.5</v>
      </c>
      <c r="AE495" s="6">
        <v>0.25</v>
      </c>
      <c r="AF495" s="4" t="s">
        <v>6296</v>
      </c>
      <c r="AG495" s="4" t="s">
        <v>6296</v>
      </c>
      <c r="AH495" s="4" t="s">
        <v>6296</v>
      </c>
      <c r="AI495" s="4" t="s">
        <v>6296</v>
      </c>
      <c r="AJ495" s="4" t="s">
        <v>6296</v>
      </c>
      <c r="AK495" s="4" t="s">
        <v>6296</v>
      </c>
      <c r="AL495" s="4" t="s">
        <v>6296</v>
      </c>
      <c r="AM495" s="4" t="s">
        <v>6296</v>
      </c>
      <c r="AN495" s="4" t="s">
        <v>6296</v>
      </c>
      <c r="AO495" s="4" t="s">
        <v>6296</v>
      </c>
      <c r="AP495" s="4" t="s">
        <v>2688</v>
      </c>
      <c r="AQ495" s="4" t="s">
        <v>47</v>
      </c>
    </row>
    <row r="496" spans="1:43" ht="12.6" customHeight="1" x14ac:dyDescent="0.25">
      <c r="A496" s="8" t="s">
        <v>4647</v>
      </c>
      <c r="B496" s="9">
        <v>20151231</v>
      </c>
      <c r="C496" s="12">
        <f>_xll.FDS("SPX","FG_PRICE(12/30/2015)")</f>
        <v>2063.36</v>
      </c>
      <c r="D496" s="12">
        <f>_xll.FDS("SPX","FG_PRICE(12/30/2017)")</f>
        <v>2673.61</v>
      </c>
      <c r="E496" s="15">
        <f>D496/C496-1</f>
        <v>0.2957554668114144</v>
      </c>
      <c r="F496" s="8" t="s">
        <v>4648</v>
      </c>
      <c r="G496" s="8" t="s">
        <v>4649</v>
      </c>
      <c r="H496" s="13">
        <f>_xll.FDS(G496,"FG_PRICE(12/30/2015)")</f>
        <v>81.180000000000007</v>
      </c>
      <c r="I496" s="13">
        <f>_xll.FDS(G496,"FG_PRICE(12/31/2017)")</f>
        <v>96.97</v>
      </c>
      <c r="J496" s="13">
        <f>I496/H496-1</f>
        <v>0.1945060359694506</v>
      </c>
      <c r="K496" s="13">
        <f>J496-E496</f>
        <v>-0.10124943084196381</v>
      </c>
      <c r="L496" s="13">
        <f>_xll.FDS(G496,"FF_ROE(ANN_R,12/30/2015)")</f>
        <v>11.65169491714623</v>
      </c>
      <c r="M496" s="8" t="s">
        <v>4650</v>
      </c>
      <c r="N496" s="4" t="s">
        <v>4651</v>
      </c>
      <c r="O496" s="4" t="s">
        <v>4652</v>
      </c>
      <c r="P496" s="4" t="s">
        <v>106</v>
      </c>
      <c r="Q496" s="4" t="s">
        <v>64</v>
      </c>
      <c r="R496" s="4" t="s">
        <v>61</v>
      </c>
      <c r="S496" s="4" t="s">
        <v>62</v>
      </c>
      <c r="T496" s="6" t="e">
        <v>#N/A</v>
      </c>
      <c r="U496" s="5">
        <v>61</v>
      </c>
      <c r="V496" s="5">
        <v>44</v>
      </c>
      <c r="W496" s="5">
        <v>63</v>
      </c>
      <c r="X496" s="5">
        <v>74</v>
      </c>
      <c r="Y496" s="5">
        <v>71.650000000000006</v>
      </c>
      <c r="Z496" s="5">
        <v>30.71</v>
      </c>
      <c r="AA496" s="5">
        <v>81.099999999999994</v>
      </c>
      <c r="AB496" s="5">
        <v>65.349999999999994</v>
      </c>
      <c r="AC496" s="6">
        <v>0.25</v>
      </c>
      <c r="AD496" s="6">
        <v>0.5</v>
      </c>
      <c r="AE496" s="6">
        <v>0.25</v>
      </c>
      <c r="AF496" s="4" t="s">
        <v>6296</v>
      </c>
      <c r="AG496" s="4" t="s">
        <v>6296</v>
      </c>
      <c r="AH496" s="4" t="s">
        <v>6296</v>
      </c>
      <c r="AI496" s="4" t="s">
        <v>6296</v>
      </c>
      <c r="AJ496" s="4" t="s">
        <v>6296</v>
      </c>
      <c r="AK496" s="4" t="s">
        <v>6296</v>
      </c>
      <c r="AL496" s="4" t="s">
        <v>6296</v>
      </c>
      <c r="AM496" s="4" t="s">
        <v>42</v>
      </c>
      <c r="AN496" s="4" t="s">
        <v>6296</v>
      </c>
      <c r="AO496" s="4" t="s">
        <v>6296</v>
      </c>
      <c r="AP496" s="4" t="s">
        <v>4653</v>
      </c>
      <c r="AQ496" s="4" t="s">
        <v>47</v>
      </c>
    </row>
    <row r="497" spans="1:43" ht="12.6" customHeight="1" x14ac:dyDescent="0.25">
      <c r="A497" s="8" t="s">
        <v>5700</v>
      </c>
      <c r="B497" s="9">
        <v>20151231</v>
      </c>
      <c r="C497" s="12">
        <f>_xll.FDS("SPX","FG_PRICE(12/30/2015)")</f>
        <v>2063.36</v>
      </c>
      <c r="D497" s="12">
        <f>_xll.FDS("SPX","FG_PRICE(12/30/2017)")</f>
        <v>2673.61</v>
      </c>
      <c r="E497" s="15">
        <f>D497/C497-1</f>
        <v>0.2957554668114144</v>
      </c>
      <c r="F497" s="8" t="s">
        <v>5701</v>
      </c>
      <c r="G497" s="8" t="s">
        <v>5702</v>
      </c>
      <c r="H497" s="13">
        <f>_xll.FDS(G497,"FG_PRICE(12/30/2015)")</f>
        <v>13.52</v>
      </c>
      <c r="I497" s="13">
        <f>_xll.FDS(G497,"FG_PRICE(12/31/2017)")</f>
        <v>16.21</v>
      </c>
      <c r="J497" s="13">
        <f>I497/H497-1</f>
        <v>0.19896449704142016</v>
      </c>
      <c r="K497" s="13">
        <f>J497-E497</f>
        <v>-9.679096976999424E-2</v>
      </c>
      <c r="L497" s="13">
        <f>_xll.FDS(G497,"FF_ROE(ANN_R,12/30/2015)")</f>
        <v>2.3624544157285561</v>
      </c>
      <c r="M497" s="8" t="s">
        <v>5703</v>
      </c>
      <c r="N497" s="4" t="s">
        <v>5704</v>
      </c>
      <c r="O497" s="4" t="s">
        <v>5705</v>
      </c>
      <c r="P497" s="4" t="s">
        <v>106</v>
      </c>
      <c r="Q497" s="4" t="s">
        <v>64</v>
      </c>
      <c r="R497" s="4" t="s">
        <v>61</v>
      </c>
      <c r="S497" s="4" t="s">
        <v>62</v>
      </c>
      <c r="T497" s="6" t="e">
        <v>#N/A</v>
      </c>
      <c r="U497" s="5">
        <v>43</v>
      </c>
      <c r="V497" s="5">
        <v>52</v>
      </c>
      <c r="W497" s="5">
        <v>39</v>
      </c>
      <c r="X497" s="5">
        <v>41</v>
      </c>
      <c r="Y497" s="6">
        <v>0.79</v>
      </c>
      <c r="Z497" s="5">
        <v>51.18</v>
      </c>
      <c r="AA497" s="6">
        <v>1.57</v>
      </c>
      <c r="AB497" s="6">
        <v>0</v>
      </c>
      <c r="AC497" s="6">
        <v>0.25</v>
      </c>
      <c r="AD497" s="6">
        <v>0.5</v>
      </c>
      <c r="AE497" s="6">
        <v>0.25</v>
      </c>
      <c r="AF497" s="4" t="s">
        <v>6296</v>
      </c>
      <c r="AG497" s="4" t="s">
        <v>6296</v>
      </c>
      <c r="AH497" s="4" t="s">
        <v>6296</v>
      </c>
      <c r="AI497" s="4" t="s">
        <v>6296</v>
      </c>
      <c r="AJ497" s="4" t="s">
        <v>6296</v>
      </c>
      <c r="AK497" s="4" t="s">
        <v>37</v>
      </c>
      <c r="AL497" s="4" t="s">
        <v>46</v>
      </c>
      <c r="AM497" s="4" t="s">
        <v>248</v>
      </c>
      <c r="AN497" s="4" t="s">
        <v>46</v>
      </c>
      <c r="AO497" s="4" t="s">
        <v>6296</v>
      </c>
      <c r="AP497" s="4" t="s">
        <v>5706</v>
      </c>
      <c r="AQ497" s="4" t="s">
        <v>47</v>
      </c>
    </row>
    <row r="498" spans="1:43" ht="12.6" customHeight="1" x14ac:dyDescent="0.25">
      <c r="A498" s="8" t="s">
        <v>2838</v>
      </c>
      <c r="B498" s="9">
        <v>20151231</v>
      </c>
      <c r="C498" s="12">
        <f>_xll.FDS("SPX","FG_PRICE(12/30/2015)")</f>
        <v>2063.36</v>
      </c>
      <c r="D498" s="12">
        <f>_xll.FDS("SPX","FG_PRICE(12/30/2017)")</f>
        <v>2673.61</v>
      </c>
      <c r="E498" s="15">
        <f>D498/C498-1</f>
        <v>0.2957554668114144</v>
      </c>
      <c r="F498" s="8" t="s">
        <v>2839</v>
      </c>
      <c r="G498" s="8" t="s">
        <v>2840</v>
      </c>
      <c r="H498" s="13">
        <f>_xll.FDS(G498,"FG_PRICE(12/30/2015)")</f>
        <v>13.6</v>
      </c>
      <c r="I498" s="13">
        <f>_xll.FDS(G498,"FG_PRICE(12/31/2017)")</f>
        <v>18.5</v>
      </c>
      <c r="J498" s="13">
        <f>I498/H498-1</f>
        <v>0.36029411764705888</v>
      </c>
      <c r="K498" s="13">
        <f>J498-E498</f>
        <v>6.4538650835644473E-2</v>
      </c>
      <c r="L498" s="13">
        <f>_xll.FDS(G498,"FF_ROE(ANN_R,12/30/2015)")</f>
        <v>4.3834013706015282</v>
      </c>
      <c r="M498" s="8" t="s">
        <v>2841</v>
      </c>
      <c r="N498" s="4" t="s">
        <v>2842</v>
      </c>
      <c r="O498" s="4" t="s">
        <v>2843</v>
      </c>
      <c r="P498" s="4" t="s">
        <v>96</v>
      </c>
      <c r="Q498" s="4" t="s">
        <v>64</v>
      </c>
      <c r="R498" s="4" t="s">
        <v>61</v>
      </c>
      <c r="S498" s="4" t="s">
        <v>62</v>
      </c>
      <c r="T498" s="6" t="e">
        <v>#N/A</v>
      </c>
      <c r="U498" s="5">
        <v>61</v>
      </c>
      <c r="V498" s="5">
        <v>58</v>
      </c>
      <c r="W498" s="5">
        <v>58</v>
      </c>
      <c r="X498" s="5">
        <v>73</v>
      </c>
      <c r="Y498" s="5">
        <v>71.650000000000006</v>
      </c>
      <c r="Z498" s="5">
        <v>70.08</v>
      </c>
      <c r="AA498" s="5">
        <v>70.08</v>
      </c>
      <c r="AB498" s="5">
        <v>62.2</v>
      </c>
      <c r="AC498" s="6">
        <v>0.25</v>
      </c>
      <c r="AD498" s="6">
        <v>0.5</v>
      </c>
      <c r="AE498" s="6">
        <v>0.25</v>
      </c>
      <c r="AF498" s="4" t="s">
        <v>6296</v>
      </c>
      <c r="AG498" s="4" t="s">
        <v>6296</v>
      </c>
      <c r="AH498" s="4" t="s">
        <v>6296</v>
      </c>
      <c r="AI498" s="4" t="s">
        <v>37</v>
      </c>
      <c r="AJ498" s="4" t="s">
        <v>6296</v>
      </c>
      <c r="AK498" s="4" t="s">
        <v>42</v>
      </c>
      <c r="AL498" s="4" t="s">
        <v>6296</v>
      </c>
      <c r="AM498" s="4" t="s">
        <v>6296</v>
      </c>
      <c r="AN498" s="4" t="s">
        <v>6296</v>
      </c>
      <c r="AO498" s="4" t="s">
        <v>6296</v>
      </c>
      <c r="AP498" s="4" t="s">
        <v>2844</v>
      </c>
      <c r="AQ498" s="4" t="s">
        <v>47</v>
      </c>
    </row>
    <row r="499" spans="1:43" ht="12.6" customHeight="1" x14ac:dyDescent="0.25">
      <c r="A499" s="8" t="s">
        <v>1376</v>
      </c>
      <c r="B499" s="9">
        <v>20151231</v>
      </c>
      <c r="C499" s="12">
        <f>_xll.FDS("SPX","FG_PRICE(12/30/2015)")</f>
        <v>2063.36</v>
      </c>
      <c r="D499" s="12">
        <f>_xll.FDS("SPX","FG_PRICE(12/30/2017)")</f>
        <v>2673.61</v>
      </c>
      <c r="E499" s="15">
        <f>D499/C499-1</f>
        <v>0.2957554668114144</v>
      </c>
      <c r="F499" s="8" t="s">
        <v>1377</v>
      </c>
      <c r="G499" s="8" t="s">
        <v>1378</v>
      </c>
      <c r="H499" s="13">
        <f>_xll.FDS(G499,"FG_PRICE(12/30/2015)")</f>
        <v>76.63</v>
      </c>
      <c r="I499" s="13">
        <f>_xll.FDS(G499,"FG_PRICE(12/31/2017)")</f>
        <v>72.83</v>
      </c>
      <c r="J499" s="13">
        <f>I499/H499-1</f>
        <v>-4.95889338379224E-2</v>
      </c>
      <c r="K499" s="13">
        <f>J499-E499</f>
        <v>-0.3453444006493368</v>
      </c>
      <c r="L499" s="13">
        <f>_xll.FDS(G499,"FF_ROE(ANN_R,12/30/2015)")</f>
        <v>33.691934581182757</v>
      </c>
      <c r="M499" s="8" t="s">
        <v>1379</v>
      </c>
      <c r="N499" s="4" t="s">
        <v>1380</v>
      </c>
      <c r="O499" s="4" t="s">
        <v>1381</v>
      </c>
      <c r="P499" s="4" t="s">
        <v>96</v>
      </c>
      <c r="Q499" s="4" t="s">
        <v>64</v>
      </c>
      <c r="R499" s="4" t="s">
        <v>61</v>
      </c>
      <c r="S499" s="4" t="s">
        <v>62</v>
      </c>
      <c r="T499" s="6" t="e">
        <v>#N/A</v>
      </c>
      <c r="U499" s="5">
        <v>55</v>
      </c>
      <c r="V499" s="5">
        <v>52</v>
      </c>
      <c r="W499" s="5">
        <v>53</v>
      </c>
      <c r="X499" s="5">
        <v>64</v>
      </c>
      <c r="Y499" s="5">
        <v>44.09</v>
      </c>
      <c r="Z499" s="5">
        <v>51.18</v>
      </c>
      <c r="AA499" s="5">
        <v>55.91</v>
      </c>
      <c r="AB499" s="5">
        <v>26.77</v>
      </c>
      <c r="AC499" s="6">
        <v>0.25</v>
      </c>
      <c r="AD499" s="6">
        <v>0.5</v>
      </c>
      <c r="AE499" s="6">
        <v>0.25</v>
      </c>
      <c r="AF499" s="4" t="s">
        <v>6296</v>
      </c>
      <c r="AG499" s="4" t="s">
        <v>6296</v>
      </c>
      <c r="AH499" s="4" t="s">
        <v>6296</v>
      </c>
      <c r="AI499" s="4" t="s">
        <v>6296</v>
      </c>
      <c r="AJ499" s="4" t="s">
        <v>6296</v>
      </c>
      <c r="AK499" s="4" t="s">
        <v>6296</v>
      </c>
      <c r="AL499" s="4" t="s">
        <v>6296</v>
      </c>
      <c r="AM499" s="4" t="s">
        <v>6296</v>
      </c>
      <c r="AN499" s="4" t="s">
        <v>42</v>
      </c>
      <c r="AO499" s="4" t="s">
        <v>6296</v>
      </c>
      <c r="AP499" s="4" t="s">
        <v>1382</v>
      </c>
      <c r="AQ499" s="4" t="s">
        <v>47</v>
      </c>
    </row>
    <row r="500" spans="1:43" ht="12.6" customHeight="1" x14ac:dyDescent="0.25">
      <c r="A500" s="8" t="s">
        <v>3886</v>
      </c>
      <c r="B500" s="9">
        <v>20151231</v>
      </c>
      <c r="C500" s="12">
        <f>_xll.FDS("SPX","FG_PRICE(12/30/2015)")</f>
        <v>2063.36</v>
      </c>
      <c r="D500" s="12">
        <f>_xll.FDS("SPX","FG_PRICE(12/30/2017)")</f>
        <v>2673.61</v>
      </c>
      <c r="E500" s="15">
        <f>D500/C500-1</f>
        <v>0.2957554668114144</v>
      </c>
      <c r="F500" s="8" t="s">
        <v>3887</v>
      </c>
      <c r="G500" s="8" t="s">
        <v>3888</v>
      </c>
      <c r="H500" s="13">
        <f>_xll.FDS(G500,"FG_PRICE(12/30/2015)")</f>
        <v>18.850000000000001</v>
      </c>
      <c r="I500" s="13">
        <f>_xll.FDS(G500,"FG_PRICE(12/31/2017)")</f>
        <v>23.01</v>
      </c>
      <c r="J500" s="13">
        <f>I500/H500-1</f>
        <v>0.22068965517241379</v>
      </c>
      <c r="K500" s="13">
        <f>J500-E500</f>
        <v>-7.5065811639000612E-2</v>
      </c>
      <c r="L500" s="13" t="e">
        <f>_xll.FDS(G500,"FF_ROE(ANN_R,12/30/2015)")</f>
        <v>#N/A</v>
      </c>
      <c r="M500" s="8" t="s">
        <v>3889</v>
      </c>
      <c r="N500" s="4" t="s">
        <v>3890</v>
      </c>
      <c r="O500" s="4" t="s">
        <v>3891</v>
      </c>
      <c r="P500" s="4" t="s">
        <v>96</v>
      </c>
      <c r="Q500" s="4" t="s">
        <v>64</v>
      </c>
      <c r="R500" s="4" t="s">
        <v>61</v>
      </c>
      <c r="S500" s="4" t="s">
        <v>62</v>
      </c>
      <c r="T500" s="6" t="e">
        <v>#N/A</v>
      </c>
      <c r="U500" s="5">
        <v>53</v>
      </c>
      <c r="V500" s="5">
        <v>40</v>
      </c>
      <c r="W500" s="5">
        <v>49</v>
      </c>
      <c r="X500" s="5">
        <v>74</v>
      </c>
      <c r="Y500" s="5">
        <v>28.35</v>
      </c>
      <c r="Z500" s="6">
        <v>3.15</v>
      </c>
      <c r="AA500" s="5">
        <v>39.369999999999997</v>
      </c>
      <c r="AB500" s="5">
        <v>65.349999999999994</v>
      </c>
      <c r="AC500" s="6">
        <v>0.25</v>
      </c>
      <c r="AD500" s="6">
        <v>0.5</v>
      </c>
      <c r="AE500" s="6">
        <v>0.25</v>
      </c>
      <c r="AF500" s="4" t="s">
        <v>6296</v>
      </c>
      <c r="AG500" s="4" t="s">
        <v>6296</v>
      </c>
      <c r="AH500" s="4" t="s">
        <v>6296</v>
      </c>
      <c r="AI500" s="4" t="s">
        <v>6296</v>
      </c>
      <c r="AJ500" s="4" t="s">
        <v>6296</v>
      </c>
      <c r="AK500" s="4" t="s">
        <v>42</v>
      </c>
      <c r="AL500" s="4" t="s">
        <v>6296</v>
      </c>
      <c r="AM500" s="4" t="s">
        <v>6296</v>
      </c>
      <c r="AN500" s="4" t="s">
        <v>6296</v>
      </c>
      <c r="AO500" s="4" t="s">
        <v>6296</v>
      </c>
      <c r="AP500" s="4" t="s">
        <v>3892</v>
      </c>
      <c r="AQ500" s="4" t="s">
        <v>47</v>
      </c>
    </row>
    <row r="501" spans="1:43" ht="12.6" customHeight="1" x14ac:dyDescent="0.25">
      <c r="A501" s="8" t="s">
        <v>5834</v>
      </c>
      <c r="B501" s="9">
        <v>20151231</v>
      </c>
      <c r="C501" s="12">
        <f>_xll.FDS("SPX","FG_PRICE(12/30/2015)")</f>
        <v>2063.36</v>
      </c>
      <c r="D501" s="12">
        <f>_xll.FDS("SPX","FG_PRICE(12/30/2017)")</f>
        <v>2673.61</v>
      </c>
      <c r="E501" s="15">
        <f>D501/C501-1</f>
        <v>0.2957554668114144</v>
      </c>
      <c r="F501" s="8" t="s">
        <v>5835</v>
      </c>
      <c r="G501" s="8" t="s">
        <v>5836</v>
      </c>
      <c r="H501" s="13">
        <f>_xll.FDS(G501,"FG_PRICE(12/30/2015)")</f>
        <v>4.07</v>
      </c>
      <c r="I501" s="13">
        <f>_xll.FDS(G501,"FG_PRICE(12/31/2017)")</f>
        <v>5.36</v>
      </c>
      <c r="J501" s="13">
        <f>I501/H501-1</f>
        <v>0.31695331695331697</v>
      </c>
      <c r="K501" s="13">
        <f>J501-E501</f>
        <v>2.1197850141902563E-2</v>
      </c>
      <c r="L501" s="13">
        <f>_xll.FDS(G501,"FF_ROE(ANN_R,12/30/2015)")</f>
        <v>24.324073085495311</v>
      </c>
      <c r="M501" s="8" t="s">
        <v>5837</v>
      </c>
      <c r="N501" s="4" t="s">
        <v>5838</v>
      </c>
      <c r="O501" s="4" t="s">
        <v>5444</v>
      </c>
      <c r="P501" s="4" t="s">
        <v>106</v>
      </c>
      <c r="Q501" s="4" t="s">
        <v>64</v>
      </c>
      <c r="R501" s="4" t="s">
        <v>61</v>
      </c>
      <c r="S501" s="4" t="s">
        <v>62</v>
      </c>
      <c r="T501" s="6" t="e">
        <v>#N/A</v>
      </c>
      <c r="U501" s="5">
        <v>48</v>
      </c>
      <c r="V501" s="5">
        <v>51</v>
      </c>
      <c r="W501" s="5">
        <v>40</v>
      </c>
      <c r="X501" s="5">
        <v>62</v>
      </c>
      <c r="Y501" s="5">
        <v>11.81</v>
      </c>
      <c r="Z501" s="5">
        <v>48.03</v>
      </c>
      <c r="AA501" s="6">
        <v>3.15</v>
      </c>
      <c r="AB501" s="5">
        <v>18.11</v>
      </c>
      <c r="AC501" s="6">
        <v>0.25</v>
      </c>
      <c r="AD501" s="6">
        <v>0.5</v>
      </c>
      <c r="AE501" s="6">
        <v>0.25</v>
      </c>
      <c r="AF501" s="4" t="s">
        <v>6296</v>
      </c>
      <c r="AG501" s="4" t="s">
        <v>6296</v>
      </c>
      <c r="AH501" s="4" t="s">
        <v>6296</v>
      </c>
      <c r="AI501" s="4" t="s">
        <v>42</v>
      </c>
      <c r="AJ501" s="4" t="s">
        <v>6296</v>
      </c>
      <c r="AK501" s="4" t="s">
        <v>37</v>
      </c>
      <c r="AL501" s="4" t="s">
        <v>6296</v>
      </c>
      <c r="AM501" s="4" t="s">
        <v>37</v>
      </c>
      <c r="AN501" s="4" t="s">
        <v>6296</v>
      </c>
      <c r="AO501" s="4" t="s">
        <v>6296</v>
      </c>
      <c r="AP501" s="4" t="s">
        <v>5839</v>
      </c>
      <c r="AQ501" s="4" t="s">
        <v>47</v>
      </c>
    </row>
    <row r="502" spans="1:43" ht="12.6" customHeight="1" x14ac:dyDescent="0.25">
      <c r="A502" s="8" t="s">
        <v>5043</v>
      </c>
      <c r="B502" s="9">
        <v>20151231</v>
      </c>
      <c r="C502" s="12">
        <f>_xll.FDS("SPX","FG_PRICE(12/30/2015)")</f>
        <v>2063.36</v>
      </c>
      <c r="D502" s="12">
        <f>_xll.FDS("SPX","FG_PRICE(12/30/2017)")</f>
        <v>2673.61</v>
      </c>
      <c r="E502" s="15">
        <f>D502/C502-1</f>
        <v>0.2957554668114144</v>
      </c>
      <c r="F502" s="8" t="s">
        <v>5044</v>
      </c>
      <c r="G502" s="8" t="s">
        <v>5045</v>
      </c>
      <c r="H502" s="13">
        <f>_xll.FDS(G502,"FG_PRICE(12/30/2015)")</f>
        <v>54.65</v>
      </c>
      <c r="I502" s="13">
        <f>_xll.FDS(G502,"FG_PRICE(12/31/2017)")</f>
        <v>85.38</v>
      </c>
      <c r="J502" s="13">
        <f>I502/H502-1</f>
        <v>0.56230558096980787</v>
      </c>
      <c r="K502" s="13">
        <f>J502-E502</f>
        <v>0.26655011415839347</v>
      </c>
      <c r="L502" s="13">
        <f>_xll.FDS(G502,"FF_ROE(ANN_R,12/30/2015)")</f>
        <v>31.32459176492554</v>
      </c>
      <c r="M502" s="8" t="s">
        <v>5046</v>
      </c>
      <c r="N502" s="4" t="s">
        <v>5047</v>
      </c>
      <c r="O502" s="4" t="s">
        <v>5048</v>
      </c>
      <c r="P502" s="4" t="s">
        <v>96</v>
      </c>
      <c r="Q502" s="4" t="s">
        <v>64</v>
      </c>
      <c r="R502" s="4" t="s">
        <v>61</v>
      </c>
      <c r="S502" s="4" t="s">
        <v>62</v>
      </c>
      <c r="T502" s="6" t="e">
        <v>#N/A</v>
      </c>
      <c r="U502" s="5">
        <v>54</v>
      </c>
      <c r="V502" s="5">
        <v>55</v>
      </c>
      <c r="W502" s="5">
        <v>44</v>
      </c>
      <c r="X502" s="5">
        <v>75</v>
      </c>
      <c r="Y502" s="5">
        <v>37.799999999999997</v>
      </c>
      <c r="Z502" s="5">
        <v>63.78</v>
      </c>
      <c r="AA502" s="5">
        <v>14.96</v>
      </c>
      <c r="AB502" s="5">
        <v>70.87</v>
      </c>
      <c r="AC502" s="6">
        <v>0.25</v>
      </c>
      <c r="AD502" s="6">
        <v>0.5</v>
      </c>
      <c r="AE502" s="6">
        <v>0.25</v>
      </c>
      <c r="AF502" s="4" t="s">
        <v>6296</v>
      </c>
      <c r="AG502" s="4" t="s">
        <v>6296</v>
      </c>
      <c r="AH502" s="4" t="s">
        <v>6296</v>
      </c>
      <c r="AI502" s="4" t="s">
        <v>6296</v>
      </c>
      <c r="AJ502" s="4" t="s">
        <v>6296</v>
      </c>
      <c r="AK502" s="4" t="s">
        <v>6296</v>
      </c>
      <c r="AL502" s="4" t="s">
        <v>6296</v>
      </c>
      <c r="AM502" s="4" t="s">
        <v>6296</v>
      </c>
      <c r="AN502" s="4" t="s">
        <v>6296</v>
      </c>
      <c r="AO502" s="4" t="s">
        <v>6296</v>
      </c>
      <c r="AP502" s="4" t="s">
        <v>5049</v>
      </c>
      <c r="AQ502" s="4" t="s">
        <v>47</v>
      </c>
    </row>
    <row r="503" spans="1:43" ht="12.6" customHeight="1" x14ac:dyDescent="0.25">
      <c r="A503" s="8" t="s">
        <v>3872</v>
      </c>
      <c r="B503" s="9">
        <v>20151231</v>
      </c>
      <c r="C503" s="12">
        <f>_xll.FDS("SPX","FG_PRICE(12/30/2015)")</f>
        <v>2063.36</v>
      </c>
      <c r="D503" s="12">
        <f>_xll.FDS("SPX","FG_PRICE(12/30/2017)")</f>
        <v>2673.61</v>
      </c>
      <c r="E503" s="15">
        <f>D503/C503-1</f>
        <v>0.2957554668114144</v>
      </c>
      <c r="F503" s="8" t="s">
        <v>3873</v>
      </c>
      <c r="G503" s="8" t="s">
        <v>3874</v>
      </c>
      <c r="H503" s="13">
        <f>_xll.FDS(G503,"FG_PRICE(12/30/2015)")</f>
        <v>18.989999999999998</v>
      </c>
      <c r="I503" s="13">
        <f>_xll.FDS(G503,"FG_PRICE(12/31/2017)")</f>
        <v>15.63</v>
      </c>
      <c r="J503" s="13">
        <f>I503/H503-1</f>
        <v>-0.17693522906793036</v>
      </c>
      <c r="K503" s="13">
        <f>J503-E503</f>
        <v>-0.47269069587934476</v>
      </c>
      <c r="L503" s="13">
        <f>_xll.FDS(G503,"FF_ROE(ANN_R,12/30/2015)")</f>
        <v>1.9339334936642949</v>
      </c>
      <c r="M503" s="8" t="s">
        <v>3875</v>
      </c>
      <c r="N503" s="4" t="s">
        <v>3876</v>
      </c>
      <c r="O503" s="4" t="s">
        <v>3877</v>
      </c>
      <c r="P503" s="4" t="s">
        <v>96</v>
      </c>
      <c r="Q503" s="4" t="s">
        <v>64</v>
      </c>
      <c r="R503" s="4" t="s">
        <v>61</v>
      </c>
      <c r="S503" s="4" t="s">
        <v>62</v>
      </c>
      <c r="T503" s="6" t="e">
        <v>#N/A</v>
      </c>
      <c r="U503" s="5">
        <v>55</v>
      </c>
      <c r="V503" s="5">
        <v>40</v>
      </c>
      <c r="W503" s="5">
        <v>52</v>
      </c>
      <c r="X503" s="5">
        <v>75</v>
      </c>
      <c r="Y503" s="5">
        <v>44.09</v>
      </c>
      <c r="Z503" s="6">
        <v>3.15</v>
      </c>
      <c r="AA503" s="5">
        <v>51.97</v>
      </c>
      <c r="AB503" s="5">
        <v>70.87</v>
      </c>
      <c r="AC503" s="6">
        <v>0.25</v>
      </c>
      <c r="AD503" s="6">
        <v>0.5</v>
      </c>
      <c r="AE503" s="6">
        <v>0.25</v>
      </c>
      <c r="AF503" s="4" t="s">
        <v>6296</v>
      </c>
      <c r="AG503" s="4" t="s">
        <v>6296</v>
      </c>
      <c r="AH503" s="4" t="s">
        <v>6296</v>
      </c>
      <c r="AI503" s="4" t="s">
        <v>6296</v>
      </c>
      <c r="AJ503" s="4" t="s">
        <v>6296</v>
      </c>
      <c r="AK503" s="4" t="s">
        <v>6296</v>
      </c>
      <c r="AL503" s="4" t="s">
        <v>6296</v>
      </c>
      <c r="AM503" s="4" t="s">
        <v>6296</v>
      </c>
      <c r="AN503" s="4" t="s">
        <v>6296</v>
      </c>
      <c r="AO503" s="4" t="s">
        <v>6296</v>
      </c>
      <c r="AP503" s="4" t="s">
        <v>3878</v>
      </c>
      <c r="AQ503" s="4" t="s">
        <v>47</v>
      </c>
    </row>
    <row r="504" spans="1:43" ht="12.6" customHeight="1" x14ac:dyDescent="0.25">
      <c r="A504" s="8" t="s">
        <v>5613</v>
      </c>
      <c r="B504" s="9">
        <v>20151231</v>
      </c>
      <c r="C504" s="12">
        <f>_xll.FDS("SPX","FG_PRICE(12/30/2015)")</f>
        <v>2063.36</v>
      </c>
      <c r="D504" s="12">
        <f>_xll.FDS("SPX","FG_PRICE(12/30/2017)")</f>
        <v>2673.61</v>
      </c>
      <c r="E504" s="15">
        <f>D504/C504-1</f>
        <v>0.2957554668114144</v>
      </c>
      <c r="F504" s="8" t="s">
        <v>5614</v>
      </c>
      <c r="G504" s="8" t="s">
        <v>5615</v>
      </c>
      <c r="H504" s="13">
        <f>_xll.FDS(G504,"FG_PRICE(12/30/2015)")</f>
        <v>34</v>
      </c>
      <c r="I504" s="13" t="e">
        <f>_xll.FDS(G504,"FG_PRICE(12/31/2017)")</f>
        <v>#N/A</v>
      </c>
      <c r="J504" s="13" t="e">
        <f>I504/H504-1</f>
        <v>#N/A</v>
      </c>
      <c r="K504" s="13" t="e">
        <f>J504-E504</f>
        <v>#N/A</v>
      </c>
      <c r="L504" s="13">
        <f>_xll.FDS(G504,"FF_ROE(ANN_R,12/30/2015)")</f>
        <v>491.32529247709078</v>
      </c>
      <c r="M504" s="8" t="s">
        <v>5616</v>
      </c>
      <c r="N504" s="4" t="s">
        <v>5617</v>
      </c>
      <c r="O504" s="4" t="s">
        <v>47</v>
      </c>
      <c r="P504" s="4" t="s">
        <v>106</v>
      </c>
      <c r="Q504" s="4" t="s">
        <v>64</v>
      </c>
      <c r="R504" s="4" t="s">
        <v>61</v>
      </c>
      <c r="S504" s="4" t="s">
        <v>62</v>
      </c>
      <c r="T504" s="6" t="e">
        <v>#N/A</v>
      </c>
      <c r="U504" s="5">
        <v>51</v>
      </c>
      <c r="V504" s="5">
        <v>40</v>
      </c>
      <c r="W504" s="5">
        <v>42</v>
      </c>
      <c r="X504" s="5">
        <v>81</v>
      </c>
      <c r="Y504" s="5">
        <v>21.26</v>
      </c>
      <c r="Z504" s="6">
        <v>3.15</v>
      </c>
      <c r="AA504" s="6">
        <v>8.66</v>
      </c>
      <c r="AB504" s="5">
        <v>87.4</v>
      </c>
      <c r="AC504" s="6">
        <v>0.25</v>
      </c>
      <c r="AD504" s="6">
        <v>0.5</v>
      </c>
      <c r="AE504" s="6">
        <v>0.25</v>
      </c>
      <c r="AF504" s="4" t="s">
        <v>6296</v>
      </c>
      <c r="AG504" s="4" t="s">
        <v>6296</v>
      </c>
      <c r="AH504" s="4" t="s">
        <v>6296</v>
      </c>
      <c r="AI504" s="4" t="s">
        <v>6296</v>
      </c>
      <c r="AJ504" s="4" t="s">
        <v>6296</v>
      </c>
      <c r="AK504" s="4" t="s">
        <v>6296</v>
      </c>
      <c r="AL504" s="4" t="s">
        <v>6296</v>
      </c>
      <c r="AM504" s="4" t="s">
        <v>6296</v>
      </c>
      <c r="AN504" s="4" t="s">
        <v>6296</v>
      </c>
      <c r="AO504" s="4" t="s">
        <v>6296</v>
      </c>
      <c r="AP504" s="4" t="s">
        <v>5618</v>
      </c>
      <c r="AQ504" s="4" t="s">
        <v>47</v>
      </c>
    </row>
    <row r="505" spans="1:43" ht="12.6" customHeight="1" x14ac:dyDescent="0.25">
      <c r="A505" s="8" t="s">
        <v>6241</v>
      </c>
      <c r="B505" s="9">
        <v>20151231</v>
      </c>
      <c r="C505" s="12">
        <f>_xll.FDS("SPX","FG_PRICE(12/30/2015)")</f>
        <v>2063.36</v>
      </c>
      <c r="D505" s="12">
        <f>_xll.FDS("SPX","FG_PRICE(12/30/2017)")</f>
        <v>2673.61</v>
      </c>
      <c r="E505" s="15">
        <f>D505/C505-1</f>
        <v>0.2957554668114144</v>
      </c>
      <c r="F505" s="8" t="s">
        <v>6242</v>
      </c>
      <c r="G505" s="8" t="s">
        <v>6243</v>
      </c>
      <c r="H505" s="13">
        <f>_xll.FDS(G505,"FG_PRICE(12/30/2015)")</f>
        <v>16.465754</v>
      </c>
      <c r="I505" s="13">
        <f>_xll.FDS(G505,"FG_PRICE(12/31/2017)")</f>
        <v>14.08</v>
      </c>
      <c r="J505" s="13">
        <f>I505/H505-1</f>
        <v>-0.14489187680078297</v>
      </c>
      <c r="K505" s="13">
        <f>J505-E505</f>
        <v>-0.44064734361219737</v>
      </c>
      <c r="L505" s="13">
        <f>_xll.FDS(G505,"FF_ROE(ANN_R,12/30/2015)")</f>
        <v>35.715159955965113</v>
      </c>
      <c r="M505" s="8" t="s">
        <v>6244</v>
      </c>
      <c r="N505" s="4" t="s">
        <v>6245</v>
      </c>
      <c r="O505" s="4" t="s">
        <v>6246</v>
      </c>
      <c r="P505" s="4" t="s">
        <v>96</v>
      </c>
      <c r="Q505" s="4" t="s">
        <v>64</v>
      </c>
      <c r="R505" s="4" t="s">
        <v>61</v>
      </c>
      <c r="S505" s="4" t="s">
        <v>62</v>
      </c>
      <c r="T505" s="6" t="e">
        <v>#N/A</v>
      </c>
      <c r="U505" s="5">
        <v>54</v>
      </c>
      <c r="V505" s="5">
        <v>45</v>
      </c>
      <c r="W505" s="5">
        <v>51</v>
      </c>
      <c r="X505" s="5">
        <v>70</v>
      </c>
      <c r="Y505" s="5">
        <v>37.799999999999997</v>
      </c>
      <c r="Z505" s="5">
        <v>36.22</v>
      </c>
      <c r="AA505" s="5">
        <v>47.24</v>
      </c>
      <c r="AB505" s="5">
        <v>55.12</v>
      </c>
      <c r="AC505" s="6">
        <v>0.25</v>
      </c>
      <c r="AD505" s="6">
        <v>0.5</v>
      </c>
      <c r="AE505" s="6">
        <v>0.25</v>
      </c>
      <c r="AF505" s="4" t="s">
        <v>6296</v>
      </c>
      <c r="AG505" s="4" t="s">
        <v>6296</v>
      </c>
      <c r="AH505" s="4" t="s">
        <v>6296</v>
      </c>
      <c r="AI505" s="4" t="s">
        <v>42</v>
      </c>
      <c r="AJ505" s="4" t="s">
        <v>6296</v>
      </c>
      <c r="AK505" s="4" t="s">
        <v>37</v>
      </c>
      <c r="AL505" s="4" t="s">
        <v>6296</v>
      </c>
      <c r="AM505" s="4" t="s">
        <v>42</v>
      </c>
      <c r="AN505" s="4" t="s">
        <v>37</v>
      </c>
      <c r="AO505" s="4" t="s">
        <v>6296</v>
      </c>
      <c r="AP505" s="4" t="s">
        <v>6247</v>
      </c>
      <c r="AQ505" s="4" t="s">
        <v>47</v>
      </c>
    </row>
    <row r="506" spans="1:43" ht="12.6" customHeight="1" x14ac:dyDescent="0.25">
      <c r="A506" s="8" t="s">
        <v>5911</v>
      </c>
      <c r="B506" s="9">
        <v>20151231</v>
      </c>
      <c r="C506" s="12">
        <f>_xll.FDS("SPX","FG_PRICE(12/30/2015)")</f>
        <v>2063.36</v>
      </c>
      <c r="D506" s="12">
        <f>_xll.FDS("SPX","FG_PRICE(12/30/2017)")</f>
        <v>2673.61</v>
      </c>
      <c r="E506" s="15">
        <f>D506/C506-1</f>
        <v>0.2957554668114144</v>
      </c>
      <c r="F506" s="8" t="s">
        <v>5912</v>
      </c>
      <c r="G506" s="8" t="s">
        <v>5913</v>
      </c>
      <c r="H506" s="13">
        <f>_xll.FDS(G506,"FG_PRICE(12/30/2015)")</f>
        <v>15.51</v>
      </c>
      <c r="I506" s="13">
        <f>_xll.FDS(G506,"FG_PRICE(12/31/2017)")</f>
        <v>18.45</v>
      </c>
      <c r="J506" s="13">
        <f>I506/H506-1</f>
        <v>0.1895551257253385</v>
      </c>
      <c r="K506" s="13">
        <f>J506-E506</f>
        <v>-0.1062003410860759</v>
      </c>
      <c r="L506" s="13">
        <f>_xll.FDS(G506,"FF_ROE(ANN_R,12/30/2015)")</f>
        <v>2.519311442210328</v>
      </c>
      <c r="M506" s="8" t="s">
        <v>5914</v>
      </c>
      <c r="N506" s="4" t="s">
        <v>5915</v>
      </c>
      <c r="O506" s="4" t="s">
        <v>5916</v>
      </c>
      <c r="P506" s="4" t="s">
        <v>96</v>
      </c>
      <c r="Q506" s="4" t="s">
        <v>64</v>
      </c>
      <c r="R506" s="4" t="s">
        <v>61</v>
      </c>
      <c r="S506" s="4" t="s">
        <v>62</v>
      </c>
      <c r="T506" s="6" t="e">
        <v>#N/A</v>
      </c>
      <c r="U506" s="5">
        <v>62</v>
      </c>
      <c r="V506" s="5">
        <v>55</v>
      </c>
      <c r="W506" s="5">
        <v>58</v>
      </c>
      <c r="X506" s="5">
        <v>76</v>
      </c>
      <c r="Y506" s="5">
        <v>74.8</v>
      </c>
      <c r="Z506" s="5">
        <v>63.78</v>
      </c>
      <c r="AA506" s="5">
        <v>70.08</v>
      </c>
      <c r="AB506" s="5">
        <v>77.17</v>
      </c>
      <c r="AC506" s="6">
        <v>0.25</v>
      </c>
      <c r="AD506" s="6">
        <v>0.5</v>
      </c>
      <c r="AE506" s="6">
        <v>0.25</v>
      </c>
      <c r="AF506" s="4" t="s">
        <v>6296</v>
      </c>
      <c r="AG506" s="4" t="s">
        <v>6296</v>
      </c>
      <c r="AH506" s="4" t="s">
        <v>6296</v>
      </c>
      <c r="AI506" s="4" t="s">
        <v>6296</v>
      </c>
      <c r="AJ506" s="4" t="s">
        <v>6296</v>
      </c>
      <c r="AK506" s="4" t="s">
        <v>6296</v>
      </c>
      <c r="AL506" s="4" t="s">
        <v>6296</v>
      </c>
      <c r="AM506" s="4" t="s">
        <v>6296</v>
      </c>
      <c r="AN506" s="4" t="s">
        <v>6296</v>
      </c>
      <c r="AO506" s="4" t="s">
        <v>6296</v>
      </c>
      <c r="AP506" s="4" t="s">
        <v>5917</v>
      </c>
      <c r="AQ506" s="4" t="s">
        <v>47</v>
      </c>
    </row>
    <row r="507" spans="1:43" ht="12.6" customHeight="1" x14ac:dyDescent="0.25">
      <c r="A507" s="8" t="s">
        <v>4004</v>
      </c>
      <c r="B507" s="9">
        <v>20151231</v>
      </c>
      <c r="C507" s="12">
        <f>_xll.FDS("SPX","FG_PRICE(12/30/2015)")</f>
        <v>2063.36</v>
      </c>
      <c r="D507" s="12">
        <f>_xll.FDS("SPX","FG_PRICE(12/30/2017)")</f>
        <v>2673.61</v>
      </c>
      <c r="E507" s="15">
        <f>D507/C507-1</f>
        <v>0.2957554668114144</v>
      </c>
      <c r="F507" s="8" t="s">
        <v>4005</v>
      </c>
      <c r="G507" s="8" t="s">
        <v>4006</v>
      </c>
      <c r="H507" s="13">
        <f>_xll.FDS(G507,"FG_PRICE(12/30/2015)")</f>
        <v>53.28</v>
      </c>
      <c r="I507" s="13">
        <f>_xll.FDS(G507,"FG_PRICE(12/31/2017)")</f>
        <v>54.79</v>
      </c>
      <c r="J507" s="13">
        <f>I507/H507-1</f>
        <v>2.8340840840840764E-2</v>
      </c>
      <c r="K507" s="13">
        <f>J507-E507</f>
        <v>-0.26741462597057364</v>
      </c>
      <c r="L507" s="13">
        <f>_xll.FDS(G507,"FF_ROE(ANN_R,12/30/2015)")</f>
        <v>12.602571276251201</v>
      </c>
      <c r="M507" s="8" t="s">
        <v>4007</v>
      </c>
      <c r="N507" s="4" t="s">
        <v>4007</v>
      </c>
      <c r="O507" s="4" t="s">
        <v>4008</v>
      </c>
      <c r="P507" s="4" t="s">
        <v>108</v>
      </c>
      <c r="Q507" s="4" t="s">
        <v>64</v>
      </c>
      <c r="R507" s="4" t="s">
        <v>61</v>
      </c>
      <c r="S507" s="4" t="s">
        <v>62</v>
      </c>
      <c r="T507" s="6" t="e">
        <v>#N/A</v>
      </c>
      <c r="U507" s="5">
        <v>63</v>
      </c>
      <c r="V507" s="5">
        <v>54</v>
      </c>
      <c r="W507" s="5">
        <v>65</v>
      </c>
      <c r="X507" s="5">
        <v>70</v>
      </c>
      <c r="Y507" s="5">
        <v>76.38</v>
      </c>
      <c r="Z507" s="5">
        <v>59.84</v>
      </c>
      <c r="AA507" s="5">
        <v>86.61</v>
      </c>
      <c r="AB507" s="5">
        <v>55.12</v>
      </c>
      <c r="AC507" s="6">
        <v>0.25</v>
      </c>
      <c r="AD507" s="6">
        <v>0.5</v>
      </c>
      <c r="AE507" s="6">
        <v>0.25</v>
      </c>
      <c r="AF507" s="4" t="s">
        <v>6296</v>
      </c>
      <c r="AG507" s="4" t="s">
        <v>6296</v>
      </c>
      <c r="AH507" s="4" t="s">
        <v>6296</v>
      </c>
      <c r="AI507" s="4" t="s">
        <v>37</v>
      </c>
      <c r="AJ507" s="4" t="s">
        <v>6296</v>
      </c>
      <c r="AK507" s="4" t="s">
        <v>42</v>
      </c>
      <c r="AL507" s="4" t="s">
        <v>6296</v>
      </c>
      <c r="AM507" s="4" t="s">
        <v>42</v>
      </c>
      <c r="AN507" s="4" t="s">
        <v>6296</v>
      </c>
      <c r="AO507" s="4" t="s">
        <v>6296</v>
      </c>
      <c r="AP507" s="4" t="s">
        <v>4009</v>
      </c>
      <c r="AQ507" s="4" t="s">
        <v>47</v>
      </c>
    </row>
    <row r="508" spans="1:43" ht="12.6" customHeight="1" x14ac:dyDescent="0.25">
      <c r="A508" s="8" t="s">
        <v>5359</v>
      </c>
      <c r="B508" s="9">
        <v>20151231</v>
      </c>
      <c r="C508" s="12">
        <f>_xll.FDS("SPX","FG_PRICE(12/30/2015)")</f>
        <v>2063.36</v>
      </c>
      <c r="D508" s="12">
        <f>_xll.FDS("SPX","FG_PRICE(12/30/2017)")</f>
        <v>2673.61</v>
      </c>
      <c r="E508" s="15">
        <f>D508/C508-1</f>
        <v>0.2957554668114144</v>
      </c>
      <c r="F508" s="8" t="s">
        <v>5360</v>
      </c>
      <c r="G508" s="8" t="s">
        <v>5361</v>
      </c>
      <c r="H508" s="13">
        <f>_xll.FDS(G508,"FG_PRICE(12/30/2015)")</f>
        <v>185.77</v>
      </c>
      <c r="I508" s="13" t="e">
        <f>_xll.FDS(G508,"FG_PRICE(12/31/2017)")</f>
        <v>#N/A</v>
      </c>
      <c r="J508" s="13" t="e">
        <f>I508/H508-1</f>
        <v>#N/A</v>
      </c>
      <c r="K508" s="13" t="e">
        <f>J508-E508</f>
        <v>#N/A</v>
      </c>
      <c r="L508" s="13">
        <f>_xll.FDS(G508,"FF_ROE(ANN_R,12/30/2015)")</f>
        <v>26.91896228938219</v>
      </c>
      <c r="M508" s="8" t="s">
        <v>5362</v>
      </c>
      <c r="N508" s="4" t="s">
        <v>5362</v>
      </c>
      <c r="O508" s="4" t="s">
        <v>47</v>
      </c>
      <c r="P508" s="4" t="s">
        <v>96</v>
      </c>
      <c r="Q508" s="4" t="s">
        <v>64</v>
      </c>
      <c r="R508" s="4" t="s">
        <v>61</v>
      </c>
      <c r="S508" s="4" t="s">
        <v>62</v>
      </c>
      <c r="T508" s="6" t="e">
        <v>#N/A</v>
      </c>
      <c r="U508" s="5">
        <v>55</v>
      </c>
      <c r="V508" s="5">
        <v>56</v>
      </c>
      <c r="W508" s="5">
        <v>47</v>
      </c>
      <c r="X508" s="5">
        <v>69</v>
      </c>
      <c r="Y508" s="5">
        <v>44.09</v>
      </c>
      <c r="Z508" s="5">
        <v>68.5</v>
      </c>
      <c r="AA508" s="5">
        <v>28.35</v>
      </c>
      <c r="AB508" s="5">
        <v>49.61</v>
      </c>
      <c r="AC508" s="6">
        <v>0.25</v>
      </c>
      <c r="AD508" s="6">
        <v>0.5</v>
      </c>
      <c r="AE508" s="6">
        <v>0.25</v>
      </c>
      <c r="AF508" s="4" t="s">
        <v>6296</v>
      </c>
      <c r="AG508" s="4" t="s">
        <v>6296</v>
      </c>
      <c r="AH508" s="4" t="s">
        <v>6296</v>
      </c>
      <c r="AI508" s="4" t="s">
        <v>42</v>
      </c>
      <c r="AJ508" s="4" t="s">
        <v>6296</v>
      </c>
      <c r="AK508" s="4" t="s">
        <v>37</v>
      </c>
      <c r="AL508" s="4" t="s">
        <v>6296</v>
      </c>
      <c r="AM508" s="4" t="s">
        <v>42</v>
      </c>
      <c r="AN508" s="4" t="s">
        <v>37</v>
      </c>
      <c r="AO508" s="4" t="s">
        <v>6296</v>
      </c>
      <c r="AP508" s="4" t="s">
        <v>5363</v>
      </c>
      <c r="AQ508" s="4" t="s">
        <v>47</v>
      </c>
    </row>
    <row r="509" spans="1:43" ht="12.6" customHeight="1" x14ac:dyDescent="0.25">
      <c r="A509" s="8" t="s">
        <v>5364</v>
      </c>
      <c r="B509" s="9">
        <v>20151231</v>
      </c>
      <c r="C509" s="12">
        <f>_xll.FDS("SPX","FG_PRICE(12/30/2015)")</f>
        <v>2063.36</v>
      </c>
      <c r="D509" s="12">
        <f>_xll.FDS("SPX","FG_PRICE(12/30/2017)")</f>
        <v>2673.61</v>
      </c>
      <c r="E509" s="15">
        <f>D509/C509-1</f>
        <v>0.2957554668114144</v>
      </c>
      <c r="F509" s="8" t="s">
        <v>5365</v>
      </c>
      <c r="G509" s="8" t="s">
        <v>5366</v>
      </c>
      <c r="H509" s="13">
        <f>_xll.FDS(G509,"FG_PRICE(12/30/2015)")</f>
        <v>64.44</v>
      </c>
      <c r="I509" s="13">
        <f>_xll.FDS(G509,"FG_PRICE(12/31/2017)")</f>
        <v>91.47</v>
      </c>
      <c r="J509" s="13">
        <f>I509/H509-1</f>
        <v>0.41945996275605224</v>
      </c>
      <c r="K509" s="13">
        <f>J509-E509</f>
        <v>0.12370449594463784</v>
      </c>
      <c r="L509" s="13">
        <f>_xll.FDS(G509,"FF_ROE(ANN_R,12/30/2015)")</f>
        <v>14.26995218830452</v>
      </c>
      <c r="M509" s="8" t="s">
        <v>5367</v>
      </c>
      <c r="N509" s="4" t="s">
        <v>5367</v>
      </c>
      <c r="O509" s="4" t="s">
        <v>5368</v>
      </c>
      <c r="P509" s="4" t="s">
        <v>96</v>
      </c>
      <c r="Q509" s="4" t="s">
        <v>64</v>
      </c>
      <c r="R509" s="4" t="s">
        <v>61</v>
      </c>
      <c r="S509" s="4" t="s">
        <v>62</v>
      </c>
      <c r="T509" s="6" t="e">
        <v>#N/A</v>
      </c>
      <c r="U509" s="5">
        <v>59</v>
      </c>
      <c r="V509" s="5">
        <v>51</v>
      </c>
      <c r="W509" s="5">
        <v>59</v>
      </c>
      <c r="X509" s="5">
        <v>68</v>
      </c>
      <c r="Y509" s="5">
        <v>63.78</v>
      </c>
      <c r="Z509" s="5">
        <v>48.03</v>
      </c>
      <c r="AA509" s="5">
        <v>74.02</v>
      </c>
      <c r="AB509" s="5">
        <v>44.09</v>
      </c>
      <c r="AC509" s="6">
        <v>0.25</v>
      </c>
      <c r="AD509" s="6">
        <v>0.5</v>
      </c>
      <c r="AE509" s="6">
        <v>0.25</v>
      </c>
      <c r="AF509" s="4" t="s">
        <v>6296</v>
      </c>
      <c r="AG509" s="4" t="s">
        <v>6296</v>
      </c>
      <c r="AH509" s="4" t="s">
        <v>6296</v>
      </c>
      <c r="AI509" s="4" t="s">
        <v>42</v>
      </c>
      <c r="AJ509" s="4" t="s">
        <v>6296</v>
      </c>
      <c r="AK509" s="4" t="s">
        <v>37</v>
      </c>
      <c r="AL509" s="4" t="s">
        <v>6296</v>
      </c>
      <c r="AM509" s="4" t="s">
        <v>37</v>
      </c>
      <c r="AN509" s="4" t="s">
        <v>6296</v>
      </c>
      <c r="AO509" s="4" t="s">
        <v>6296</v>
      </c>
      <c r="AP509" s="4" t="s">
        <v>5369</v>
      </c>
      <c r="AQ509" s="4" t="s">
        <v>47</v>
      </c>
    </row>
    <row r="510" spans="1:43" ht="12.6" customHeight="1" x14ac:dyDescent="0.25">
      <c r="A510" s="8" t="s">
        <v>4713</v>
      </c>
      <c r="B510" s="9">
        <v>20151231</v>
      </c>
      <c r="C510" s="12">
        <f>_xll.FDS("SPX","FG_PRICE(12/30/2015)")</f>
        <v>2063.36</v>
      </c>
      <c r="D510" s="12">
        <f>_xll.FDS("SPX","FG_PRICE(12/30/2017)")</f>
        <v>2673.61</v>
      </c>
      <c r="E510" s="15">
        <f>D510/C510-1</f>
        <v>0.2957554668114144</v>
      </c>
      <c r="F510" s="8" t="s">
        <v>4714</v>
      </c>
      <c r="G510" s="8" t="s">
        <v>4715</v>
      </c>
      <c r="H510" s="13">
        <f>_xll.FDS(G510,"FG_PRICE(12/30/2015)")</f>
        <v>40.86</v>
      </c>
      <c r="I510" s="13">
        <f>_xll.FDS(G510,"FG_PRICE(12/31/2017)")</f>
        <v>30.81</v>
      </c>
      <c r="J510" s="13">
        <f>I510/H510-1</f>
        <v>-0.24596182085168872</v>
      </c>
      <c r="K510" s="13">
        <f>J510-E510</f>
        <v>-0.54171728766310312</v>
      </c>
      <c r="L510" s="13">
        <f>_xll.FDS(G510,"FF_ROE(ANN_R,12/30/2015)")</f>
        <v>52.969546644618987</v>
      </c>
      <c r="M510" s="8" t="s">
        <v>4716</v>
      </c>
      <c r="N510" s="4" t="s">
        <v>4717</v>
      </c>
      <c r="O510" s="4" t="s">
        <v>4718</v>
      </c>
      <c r="P510" s="4" t="s">
        <v>106</v>
      </c>
      <c r="Q510" s="4" t="s">
        <v>64</v>
      </c>
      <c r="R510" s="4" t="s">
        <v>61</v>
      </c>
      <c r="S510" s="4" t="s">
        <v>62</v>
      </c>
      <c r="T510" s="6" t="e">
        <v>#N/A</v>
      </c>
      <c r="U510" s="5">
        <v>54</v>
      </c>
      <c r="V510" s="5">
        <v>52</v>
      </c>
      <c r="W510" s="5">
        <v>50</v>
      </c>
      <c r="X510" s="5">
        <v>65</v>
      </c>
      <c r="Y510" s="5">
        <v>37.799999999999997</v>
      </c>
      <c r="Z510" s="5">
        <v>51.18</v>
      </c>
      <c r="AA510" s="5">
        <v>44.09</v>
      </c>
      <c r="AB510" s="5">
        <v>29.92</v>
      </c>
      <c r="AC510" s="6">
        <v>0.25</v>
      </c>
      <c r="AD510" s="6">
        <v>0.5</v>
      </c>
      <c r="AE510" s="6">
        <v>0.25</v>
      </c>
      <c r="AF510" s="4" t="s">
        <v>6296</v>
      </c>
      <c r="AG510" s="4" t="s">
        <v>6296</v>
      </c>
      <c r="AH510" s="4" t="s">
        <v>6296</v>
      </c>
      <c r="AI510" s="4" t="s">
        <v>37</v>
      </c>
      <c r="AJ510" s="4" t="s">
        <v>6296</v>
      </c>
      <c r="AK510" s="4" t="s">
        <v>37</v>
      </c>
      <c r="AL510" s="4" t="s">
        <v>6296</v>
      </c>
      <c r="AM510" s="4" t="s">
        <v>6296</v>
      </c>
      <c r="AN510" s="4" t="s">
        <v>6296</v>
      </c>
      <c r="AO510" s="4" t="s">
        <v>6296</v>
      </c>
      <c r="AP510" s="4" t="s">
        <v>4719</v>
      </c>
      <c r="AQ510" s="4" t="s">
        <v>47</v>
      </c>
    </row>
    <row r="511" spans="1:43" ht="12.6" customHeight="1" x14ac:dyDescent="0.25">
      <c r="A511" s="8" t="s">
        <v>6555</v>
      </c>
      <c r="B511" s="9">
        <v>20151231</v>
      </c>
      <c r="C511" s="12">
        <f>_xll.FDS("SPX","FG_PRICE(12/30/2015)")</f>
        <v>2063.36</v>
      </c>
      <c r="D511" s="12">
        <f>_xll.FDS("SPX","FG_PRICE(12/30/2017)")</f>
        <v>2673.61</v>
      </c>
      <c r="E511" s="15">
        <f>D511/C511-1</f>
        <v>0.2957554668114144</v>
      </c>
      <c r="F511" s="8" t="s">
        <v>6556</v>
      </c>
      <c r="G511" s="8" t="s">
        <v>6557</v>
      </c>
      <c r="H511" s="13">
        <f>_xll.FDS(G511,"FG_PRICE(12/30/2015)")</f>
        <v>0.92710000000000004</v>
      </c>
      <c r="I511" s="13" t="e">
        <f>_xll.FDS(G511,"FG_PRICE(12/31/2017)")</f>
        <v>#N/A</v>
      </c>
      <c r="J511" s="13" t="e">
        <f>I511/H511-1</f>
        <v>#N/A</v>
      </c>
      <c r="K511" s="13" t="e">
        <f>J511-E511</f>
        <v>#N/A</v>
      </c>
      <c r="L511" s="13">
        <f>_xll.FDS(G511,"FF_ROE(ANN_R,12/30/2015)")</f>
        <v>-28.47720573478421</v>
      </c>
      <c r="M511" s="8" t="s">
        <v>6558</v>
      </c>
      <c r="N511" s="4" t="s">
        <v>6228</v>
      </c>
      <c r="O511" s="4" t="s">
        <v>6229</v>
      </c>
      <c r="P511" s="4" t="s">
        <v>96</v>
      </c>
      <c r="Q511" s="4" t="s">
        <v>56</v>
      </c>
      <c r="R511" s="4" t="s">
        <v>61</v>
      </c>
      <c r="S511" s="4" t="s">
        <v>62</v>
      </c>
      <c r="T511" s="6" t="e">
        <v>#N/A</v>
      </c>
      <c r="U511" s="5">
        <v>55</v>
      </c>
      <c r="V511" s="5">
        <v>43</v>
      </c>
      <c r="W511" s="5">
        <v>59</v>
      </c>
      <c r="X511" s="5">
        <v>65</v>
      </c>
      <c r="Y511" s="5">
        <v>44.62</v>
      </c>
      <c r="Z511" s="5">
        <v>19.89</v>
      </c>
      <c r="AA511" s="5">
        <v>54.3</v>
      </c>
      <c r="AB511" s="5">
        <v>64.52</v>
      </c>
      <c r="AC511" s="6">
        <v>0.35</v>
      </c>
      <c r="AD511" s="6">
        <v>0.4</v>
      </c>
      <c r="AE511" s="6">
        <v>0.25</v>
      </c>
      <c r="AF511" s="4" t="s">
        <v>37</v>
      </c>
      <c r="AG511" s="4" t="s">
        <v>6296</v>
      </c>
      <c r="AH511" s="4" t="s">
        <v>6296</v>
      </c>
      <c r="AI511" s="4" t="s">
        <v>37</v>
      </c>
      <c r="AJ511" s="4" t="s">
        <v>6296</v>
      </c>
      <c r="AK511" s="4" t="s">
        <v>6296</v>
      </c>
      <c r="AL511" s="4" t="s">
        <v>6296</v>
      </c>
      <c r="AM511" s="4" t="s">
        <v>46</v>
      </c>
      <c r="AN511" s="4" t="s">
        <v>6296</v>
      </c>
      <c r="AO511" s="4" t="s">
        <v>6296</v>
      </c>
      <c r="AP511" s="4" t="s">
        <v>6559</v>
      </c>
      <c r="AQ511" s="4" t="s">
        <v>47</v>
      </c>
    </row>
    <row r="512" spans="1:43" ht="12.6" customHeight="1" x14ac:dyDescent="0.25">
      <c r="A512" s="8" t="s">
        <v>6427</v>
      </c>
      <c r="B512" s="9">
        <v>20151231</v>
      </c>
      <c r="C512" s="12">
        <f>_xll.FDS("SPX","FG_PRICE(12/30/2015)")</f>
        <v>2063.36</v>
      </c>
      <c r="D512" s="12">
        <f>_xll.FDS("SPX","FG_PRICE(12/30/2017)")</f>
        <v>2673.61</v>
      </c>
      <c r="E512" s="15">
        <f>D512/C512-1</f>
        <v>0.2957554668114144</v>
      </c>
      <c r="F512" s="8" t="s">
        <v>6428</v>
      </c>
      <c r="G512" s="8" t="s">
        <v>6429</v>
      </c>
      <c r="H512" s="13">
        <f>_xll.FDS(G512,"FG_PRICE(12/30/2015)")</f>
        <v>1.0500000000000001E-2</v>
      </c>
      <c r="I512" s="13" t="e">
        <f>_xll.FDS(G512,"FG_PRICE(12/31/2017)")</f>
        <v>#N/A</v>
      </c>
      <c r="J512" s="13" t="e">
        <f>I512/H512-1</f>
        <v>#N/A</v>
      </c>
      <c r="K512" s="13" t="e">
        <f>J512-E512</f>
        <v>#N/A</v>
      </c>
      <c r="L512" s="13">
        <f>_xll.FDS(G512,"FF_ROE(ANN_R,12/30/2015)")</f>
        <v>-24.791114921714669</v>
      </c>
      <c r="M512" s="8" t="s">
        <v>6430</v>
      </c>
      <c r="N512" s="4" t="s">
        <v>5319</v>
      </c>
      <c r="O512" s="4" t="s">
        <v>6431</v>
      </c>
      <c r="P512" s="4" t="s">
        <v>320</v>
      </c>
      <c r="Q512" s="4" t="s">
        <v>56</v>
      </c>
      <c r="R512" s="4" t="s">
        <v>61</v>
      </c>
      <c r="S512" s="4" t="s">
        <v>62</v>
      </c>
      <c r="T512" s="6" t="e">
        <v>#N/A</v>
      </c>
      <c r="U512" s="5">
        <v>47</v>
      </c>
      <c r="V512" s="5">
        <v>34</v>
      </c>
      <c r="W512" s="5">
        <v>47</v>
      </c>
      <c r="X512" s="5">
        <v>63</v>
      </c>
      <c r="Y512" s="6">
        <v>9.14</v>
      </c>
      <c r="Z512" s="6">
        <v>0</v>
      </c>
      <c r="AA512" s="5">
        <v>10.220000000000001</v>
      </c>
      <c r="AB512" s="5">
        <v>53.76</v>
      </c>
      <c r="AC512" s="6">
        <v>0.35</v>
      </c>
      <c r="AD512" s="6">
        <v>0.4</v>
      </c>
      <c r="AE512" s="6">
        <v>0.25</v>
      </c>
      <c r="AF512" s="4" t="s">
        <v>46</v>
      </c>
      <c r="AG512" s="4" t="s">
        <v>6296</v>
      </c>
      <c r="AH512" s="4" t="s">
        <v>6296</v>
      </c>
      <c r="AI512" s="4" t="s">
        <v>248</v>
      </c>
      <c r="AJ512" s="4" t="s">
        <v>6296</v>
      </c>
      <c r="AK512" s="4" t="s">
        <v>6296</v>
      </c>
      <c r="AL512" s="4" t="s">
        <v>42</v>
      </c>
      <c r="AM512" s="4" t="s">
        <v>46</v>
      </c>
      <c r="AN512" s="4" t="s">
        <v>42</v>
      </c>
      <c r="AO512" s="4" t="s">
        <v>6296</v>
      </c>
      <c r="AP512" s="4" t="s">
        <v>6432</v>
      </c>
      <c r="AQ512" s="4" t="s">
        <v>47</v>
      </c>
    </row>
    <row r="513" spans="1:43" ht="12.6" customHeight="1" x14ac:dyDescent="0.25">
      <c r="A513" s="8" t="s">
        <v>327</v>
      </c>
      <c r="B513" s="9">
        <v>20151231</v>
      </c>
      <c r="C513" s="12">
        <f>_xll.FDS("SPX","FG_PRICE(12/30/2015)")</f>
        <v>2063.36</v>
      </c>
      <c r="D513" s="12">
        <f>_xll.FDS("SPX","FG_PRICE(12/30/2017)")</f>
        <v>2673.61</v>
      </c>
      <c r="E513" s="15">
        <f>D513/C513-1</f>
        <v>0.2957554668114144</v>
      </c>
      <c r="F513" s="8" t="s">
        <v>328</v>
      </c>
      <c r="G513" s="8" t="s">
        <v>329</v>
      </c>
      <c r="H513" s="13">
        <f>_xll.FDS(G513,"FG_PRICE(12/30/2015)")</f>
        <v>44.81</v>
      </c>
      <c r="I513" s="13">
        <f>_xll.FDS(G513,"FG_PRICE(12/31/2017)")</f>
        <v>42.22</v>
      </c>
      <c r="J513" s="13">
        <f>I513/H513-1</f>
        <v>-5.7799598303950095E-2</v>
      </c>
      <c r="K513" s="13">
        <f>J513-E513</f>
        <v>-0.3535550651153645</v>
      </c>
      <c r="L513" s="13">
        <f>_xll.FDS(G513,"FF_ROE(ANN_R,12/30/2015)")</f>
        <v>-12.8596228068697</v>
      </c>
      <c r="M513" s="8" t="s">
        <v>330</v>
      </c>
      <c r="N513" s="4" t="s">
        <v>330</v>
      </c>
      <c r="O513" s="4" t="s">
        <v>331</v>
      </c>
      <c r="P513" s="4" t="s">
        <v>96</v>
      </c>
      <c r="Q513" s="4" t="s">
        <v>56</v>
      </c>
      <c r="R513" s="4" t="s">
        <v>61</v>
      </c>
      <c r="S513" s="4" t="s">
        <v>62</v>
      </c>
      <c r="T513" s="6" t="e">
        <v>#N/A</v>
      </c>
      <c r="U513" s="5">
        <v>58</v>
      </c>
      <c r="V513" s="5">
        <v>45</v>
      </c>
      <c r="W513" s="5">
        <v>68</v>
      </c>
      <c r="X513" s="5">
        <v>59</v>
      </c>
      <c r="Y513" s="5">
        <v>60.22</v>
      </c>
      <c r="Z513" s="5">
        <v>30.11</v>
      </c>
      <c r="AA513" s="5">
        <v>74.73</v>
      </c>
      <c r="AB513" s="5">
        <v>37.630000000000003</v>
      </c>
      <c r="AC513" s="6">
        <v>0.35</v>
      </c>
      <c r="AD513" s="6">
        <v>0.4</v>
      </c>
      <c r="AE513" s="6">
        <v>0.25</v>
      </c>
      <c r="AF513" s="4" t="s">
        <v>37</v>
      </c>
      <c r="AG513" s="4" t="s">
        <v>6296</v>
      </c>
      <c r="AH513" s="4" t="s">
        <v>6296</v>
      </c>
      <c r="AI513" s="4" t="s">
        <v>42</v>
      </c>
      <c r="AJ513" s="4" t="s">
        <v>6296</v>
      </c>
      <c r="AK513" s="4" t="s">
        <v>37</v>
      </c>
      <c r="AL513" s="4" t="s">
        <v>6296</v>
      </c>
      <c r="AM513" s="4" t="s">
        <v>42</v>
      </c>
      <c r="AN513" s="4" t="s">
        <v>6296</v>
      </c>
      <c r="AO513" s="4" t="s">
        <v>6296</v>
      </c>
      <c r="AP513" s="4" t="s">
        <v>332</v>
      </c>
      <c r="AQ513" s="4" t="s">
        <v>47</v>
      </c>
    </row>
    <row r="514" spans="1:43" ht="12.6" customHeight="1" x14ac:dyDescent="0.25">
      <c r="A514" s="8" t="s">
        <v>288</v>
      </c>
      <c r="B514" s="9">
        <v>20151231</v>
      </c>
      <c r="C514" s="12">
        <f>_xll.FDS("SPX","FG_PRICE(12/30/2015)")</f>
        <v>2063.36</v>
      </c>
      <c r="D514" s="12">
        <f>_xll.FDS("SPX","FG_PRICE(12/30/2017)")</f>
        <v>2673.61</v>
      </c>
      <c r="E514" s="15">
        <f>D514/C514-1</f>
        <v>0.2957554668114144</v>
      </c>
      <c r="F514" s="8" t="s">
        <v>289</v>
      </c>
      <c r="G514" s="8" t="s">
        <v>290</v>
      </c>
      <c r="H514" s="13">
        <f>_xll.FDS(G514,"FG_PRICE(12/30/2015)")</f>
        <v>48.38</v>
      </c>
      <c r="I514" s="13">
        <f>_xll.FDS(G514,"FG_PRICE(12/31/2017)")</f>
        <v>53.64</v>
      </c>
      <c r="J514" s="13">
        <f>I514/H514-1</f>
        <v>0.10872261264985528</v>
      </c>
      <c r="K514" s="13">
        <f>J514-E514</f>
        <v>-0.18703285416155913</v>
      </c>
      <c r="L514" s="13">
        <f>_xll.FDS(G514,"FF_ROE(ANN_R,12/30/2015)")</f>
        <v>-8.4363426482612667</v>
      </c>
      <c r="M514" s="8" t="s">
        <v>291</v>
      </c>
      <c r="N514" s="4" t="s">
        <v>291</v>
      </c>
      <c r="O514" s="4" t="s">
        <v>292</v>
      </c>
      <c r="P514" s="4" t="s">
        <v>96</v>
      </c>
      <c r="Q514" s="4" t="s">
        <v>56</v>
      </c>
      <c r="R514" s="4" t="s">
        <v>61</v>
      </c>
      <c r="S514" s="4" t="s">
        <v>62</v>
      </c>
      <c r="T514" s="6" t="e">
        <v>#N/A</v>
      </c>
      <c r="U514" s="5">
        <v>51</v>
      </c>
      <c r="V514" s="5">
        <v>44</v>
      </c>
      <c r="W514" s="5">
        <v>58</v>
      </c>
      <c r="X514" s="5">
        <v>50</v>
      </c>
      <c r="Y514" s="5">
        <v>25.27</v>
      </c>
      <c r="Z514" s="5">
        <v>26.88</v>
      </c>
      <c r="AA514" s="5">
        <v>52.15</v>
      </c>
      <c r="AB514" s="6">
        <v>9.68</v>
      </c>
      <c r="AC514" s="6">
        <v>0.35</v>
      </c>
      <c r="AD514" s="6">
        <v>0.4</v>
      </c>
      <c r="AE514" s="6">
        <v>0.25</v>
      </c>
      <c r="AF514" s="4" t="s">
        <v>37</v>
      </c>
      <c r="AG514" s="4" t="s">
        <v>6296</v>
      </c>
      <c r="AH514" s="4" t="s">
        <v>6296</v>
      </c>
      <c r="AI514" s="4" t="s">
        <v>42</v>
      </c>
      <c r="AJ514" s="4" t="s">
        <v>6296</v>
      </c>
      <c r="AK514" s="4" t="s">
        <v>6296</v>
      </c>
      <c r="AL514" s="4" t="s">
        <v>6296</v>
      </c>
      <c r="AM514" s="4" t="s">
        <v>46</v>
      </c>
      <c r="AN514" s="4" t="s">
        <v>42</v>
      </c>
      <c r="AO514" s="4" t="s">
        <v>6296</v>
      </c>
      <c r="AP514" s="4" t="s">
        <v>293</v>
      </c>
      <c r="AQ514" s="4" t="s">
        <v>47</v>
      </c>
    </row>
    <row r="515" spans="1:43" ht="12.6" customHeight="1" x14ac:dyDescent="0.25">
      <c r="A515" s="8" t="s">
        <v>5807</v>
      </c>
      <c r="B515" s="9">
        <v>20151231</v>
      </c>
      <c r="C515" s="12">
        <f>_xll.FDS("SPX","FG_PRICE(12/30/2015)")</f>
        <v>2063.36</v>
      </c>
      <c r="D515" s="12">
        <f>_xll.FDS("SPX","FG_PRICE(12/30/2017)")</f>
        <v>2673.61</v>
      </c>
      <c r="E515" s="15">
        <f>D515/C515-1</f>
        <v>0.2957554668114144</v>
      </c>
      <c r="F515" s="8" t="s">
        <v>5808</v>
      </c>
      <c r="G515" s="8" t="s">
        <v>5809</v>
      </c>
      <c r="H515" s="13">
        <f>_xll.FDS(G515,"FG_PRICE(12/30/2015)")</f>
        <v>21.51</v>
      </c>
      <c r="I515" s="13">
        <f>_xll.FDS(G515,"FG_PRICE(12/31/2017)")</f>
        <v>19</v>
      </c>
      <c r="J515" s="13">
        <f>I515/H515-1</f>
        <v>-0.11668991166899123</v>
      </c>
      <c r="K515" s="13">
        <f>J515-E515</f>
        <v>-0.41244537848040563</v>
      </c>
      <c r="L515" s="13">
        <f>_xll.FDS(G515,"FF_ROE(ANN_R,12/30/2015)")</f>
        <v>16.821320463772231</v>
      </c>
      <c r="M515" s="8" t="s">
        <v>5810</v>
      </c>
      <c r="N515" s="4" t="s">
        <v>5810</v>
      </c>
      <c r="O515" s="4" t="s">
        <v>5811</v>
      </c>
      <c r="P515" s="4" t="s">
        <v>96</v>
      </c>
      <c r="Q515" s="4" t="s">
        <v>56</v>
      </c>
      <c r="R515" s="4" t="s">
        <v>61</v>
      </c>
      <c r="S515" s="4" t="s">
        <v>62</v>
      </c>
      <c r="T515" s="6" t="e">
        <v>#N/A</v>
      </c>
      <c r="U515" s="5">
        <v>51</v>
      </c>
      <c r="V515" s="5">
        <v>43</v>
      </c>
      <c r="W515" s="5">
        <v>51</v>
      </c>
      <c r="X515" s="5">
        <v>63</v>
      </c>
      <c r="Y515" s="5">
        <v>25.27</v>
      </c>
      <c r="Z515" s="5">
        <v>19.89</v>
      </c>
      <c r="AA515" s="5">
        <v>26.34</v>
      </c>
      <c r="AB515" s="5">
        <v>53.76</v>
      </c>
      <c r="AC515" s="6">
        <v>0.35</v>
      </c>
      <c r="AD515" s="6">
        <v>0.4</v>
      </c>
      <c r="AE515" s="6">
        <v>0.25</v>
      </c>
      <c r="AF515" s="4" t="s">
        <v>6296</v>
      </c>
      <c r="AG515" s="4" t="s">
        <v>6296</v>
      </c>
      <c r="AH515" s="4" t="s">
        <v>6296</v>
      </c>
      <c r="AI515" s="4" t="s">
        <v>6296</v>
      </c>
      <c r="AJ515" s="4" t="s">
        <v>6296</v>
      </c>
      <c r="AK515" s="4" t="s">
        <v>6296</v>
      </c>
      <c r="AL515" s="4" t="s">
        <v>6296</v>
      </c>
      <c r="AM515" s="4" t="s">
        <v>6296</v>
      </c>
      <c r="AN515" s="4" t="s">
        <v>6296</v>
      </c>
      <c r="AO515" s="4" t="s">
        <v>6296</v>
      </c>
      <c r="AP515" s="4" t="s">
        <v>5812</v>
      </c>
      <c r="AQ515" s="4" t="s">
        <v>47</v>
      </c>
    </row>
    <row r="516" spans="1:43" ht="12.6" customHeight="1" x14ac:dyDescent="0.25">
      <c r="A516" s="8" t="s">
        <v>6265</v>
      </c>
      <c r="B516" s="9">
        <v>20151231</v>
      </c>
      <c r="C516" s="12">
        <f>_xll.FDS("SPX","FG_PRICE(12/30/2015)")</f>
        <v>2063.36</v>
      </c>
      <c r="D516" s="12">
        <f>_xll.FDS("SPX","FG_PRICE(12/30/2017)")</f>
        <v>2673.61</v>
      </c>
      <c r="E516" s="15">
        <f>D516/C516-1</f>
        <v>0.2957554668114144</v>
      </c>
      <c r="F516" s="8" t="s">
        <v>6266</v>
      </c>
      <c r="G516" s="8" t="s">
        <v>6267</v>
      </c>
      <c r="H516" s="13">
        <f>_xll.FDS(G516,"FG_PRICE(12/30/2015)")</f>
        <v>8.0299999999999994</v>
      </c>
      <c r="I516" s="13" t="e">
        <f>_xll.FDS(G516,"FG_PRICE(12/31/2017)")</f>
        <v>#N/A</v>
      </c>
      <c r="J516" s="13" t="e">
        <f>I516/H516-1</f>
        <v>#N/A</v>
      </c>
      <c r="K516" s="13" t="e">
        <f>J516-E516</f>
        <v>#N/A</v>
      </c>
      <c r="L516" s="13">
        <f>_xll.FDS(G516,"FF_ROE(ANN_R,12/30/2015)")</f>
        <v>-22.907967136504109</v>
      </c>
      <c r="M516" s="8" t="s">
        <v>6268</v>
      </c>
      <c r="N516" s="4" t="s">
        <v>6269</v>
      </c>
      <c r="O516" s="4" t="s">
        <v>6270</v>
      </c>
      <c r="P516" s="4" t="s">
        <v>96</v>
      </c>
      <c r="Q516" s="4" t="s">
        <v>56</v>
      </c>
      <c r="R516" s="4" t="s">
        <v>61</v>
      </c>
      <c r="S516" s="4" t="s">
        <v>62</v>
      </c>
      <c r="T516" s="6" t="e">
        <v>#N/A</v>
      </c>
      <c r="U516" s="5">
        <v>62</v>
      </c>
      <c r="V516" s="5">
        <v>58</v>
      </c>
      <c r="W516" s="5">
        <v>66</v>
      </c>
      <c r="X516" s="5">
        <v>60</v>
      </c>
      <c r="Y516" s="5">
        <v>69.349999999999994</v>
      </c>
      <c r="Z516" s="5">
        <v>67.739999999999995</v>
      </c>
      <c r="AA516" s="5">
        <v>68.28</v>
      </c>
      <c r="AB516" s="5">
        <v>41.94</v>
      </c>
      <c r="AC516" s="6">
        <v>0.35</v>
      </c>
      <c r="AD516" s="6">
        <v>0.4</v>
      </c>
      <c r="AE516" s="6">
        <v>0.25</v>
      </c>
      <c r="AF516" s="4" t="s">
        <v>42</v>
      </c>
      <c r="AG516" s="4" t="s">
        <v>6296</v>
      </c>
      <c r="AH516" s="4" t="s">
        <v>6296</v>
      </c>
      <c r="AI516" s="4" t="s">
        <v>37</v>
      </c>
      <c r="AJ516" s="4" t="s">
        <v>6296</v>
      </c>
      <c r="AK516" s="4" t="s">
        <v>42</v>
      </c>
      <c r="AL516" s="4" t="s">
        <v>37</v>
      </c>
      <c r="AM516" s="4" t="s">
        <v>42</v>
      </c>
      <c r="AN516" s="4" t="s">
        <v>42</v>
      </c>
      <c r="AO516" s="4" t="s">
        <v>6296</v>
      </c>
      <c r="AP516" s="4" t="s">
        <v>6271</v>
      </c>
      <c r="AQ516" s="4" t="s">
        <v>47</v>
      </c>
    </row>
    <row r="517" spans="1:43" ht="12.6" customHeight="1" x14ac:dyDescent="0.25">
      <c r="A517" s="8" t="s">
        <v>948</v>
      </c>
      <c r="B517" s="9">
        <v>20151231</v>
      </c>
      <c r="C517" s="12">
        <f>_xll.FDS("SPX","FG_PRICE(12/30/2015)")</f>
        <v>2063.36</v>
      </c>
      <c r="D517" s="12">
        <f>_xll.FDS("SPX","FG_PRICE(12/30/2017)")</f>
        <v>2673.61</v>
      </c>
      <c r="E517" s="15">
        <f>D517/C517-1</f>
        <v>0.2957554668114144</v>
      </c>
      <c r="F517" s="8" t="s">
        <v>949</v>
      </c>
      <c r="G517" s="8" t="s">
        <v>950</v>
      </c>
      <c r="H517" s="13">
        <f>_xll.FDS(G517,"FG_PRICE(12/30/2015)")</f>
        <v>4.4000000000000004</v>
      </c>
      <c r="I517" s="13">
        <f>_xll.FDS(G517,"FG_PRICE(12/31/2017)")</f>
        <v>3.96</v>
      </c>
      <c r="J517" s="13">
        <f>I517/H517-1</f>
        <v>-0.10000000000000009</v>
      </c>
      <c r="K517" s="13">
        <f>J517-E517</f>
        <v>-0.39575546681141449</v>
      </c>
      <c r="L517" s="13">
        <f>_xll.FDS(G517,"FF_ROE(ANN_R,12/30/2015)")</f>
        <v>8.7786491580035264</v>
      </c>
      <c r="M517" s="8" t="s">
        <v>951</v>
      </c>
      <c r="N517" s="4" t="s">
        <v>951</v>
      </c>
      <c r="O517" s="4" t="s">
        <v>952</v>
      </c>
      <c r="P517" s="4" t="s">
        <v>96</v>
      </c>
      <c r="Q517" s="4" t="s">
        <v>56</v>
      </c>
      <c r="R517" s="4" t="s">
        <v>61</v>
      </c>
      <c r="S517" s="4" t="s">
        <v>62</v>
      </c>
      <c r="T517" s="6" t="e">
        <v>#N/A</v>
      </c>
      <c r="U517" s="5">
        <v>58</v>
      </c>
      <c r="V517" s="5">
        <v>51</v>
      </c>
      <c r="W517" s="5">
        <v>63</v>
      </c>
      <c r="X517" s="5">
        <v>62</v>
      </c>
      <c r="Y517" s="5">
        <v>60.22</v>
      </c>
      <c r="Z517" s="5">
        <v>48.92</v>
      </c>
      <c r="AA517" s="5">
        <v>61.83</v>
      </c>
      <c r="AB517" s="5">
        <v>49.46</v>
      </c>
      <c r="AC517" s="6">
        <v>0.35</v>
      </c>
      <c r="AD517" s="6">
        <v>0.4</v>
      </c>
      <c r="AE517" s="6">
        <v>0.25</v>
      </c>
      <c r="AF517" s="4" t="s">
        <v>42</v>
      </c>
      <c r="AG517" s="4" t="s">
        <v>6296</v>
      </c>
      <c r="AH517" s="4" t="s">
        <v>6296</v>
      </c>
      <c r="AI517" s="4" t="s">
        <v>42</v>
      </c>
      <c r="AJ517" s="4" t="s">
        <v>42</v>
      </c>
      <c r="AK517" s="4" t="s">
        <v>37</v>
      </c>
      <c r="AL517" s="4" t="s">
        <v>37</v>
      </c>
      <c r="AM517" s="4" t="s">
        <v>46</v>
      </c>
      <c r="AN517" s="4" t="s">
        <v>37</v>
      </c>
      <c r="AO517" s="4" t="s">
        <v>6296</v>
      </c>
      <c r="AP517" s="4" t="s">
        <v>953</v>
      </c>
      <c r="AQ517" s="4" t="s">
        <v>47</v>
      </c>
    </row>
    <row r="518" spans="1:43" ht="12.6" customHeight="1" x14ac:dyDescent="0.25">
      <c r="A518" s="8" t="s">
        <v>5240</v>
      </c>
      <c r="B518" s="9">
        <v>20151231</v>
      </c>
      <c r="C518" s="12">
        <f>_xll.FDS("SPX","FG_PRICE(12/30/2015)")</f>
        <v>2063.36</v>
      </c>
      <c r="D518" s="12">
        <f>_xll.FDS("SPX","FG_PRICE(12/30/2017)")</f>
        <v>2673.61</v>
      </c>
      <c r="E518" s="15">
        <f>D518/C518-1</f>
        <v>0.2957554668114144</v>
      </c>
      <c r="F518" s="8" t="s">
        <v>5241</v>
      </c>
      <c r="G518" s="8" t="s">
        <v>5242</v>
      </c>
      <c r="H518" s="13">
        <f>_xll.FDS(G518,"FG_PRICE(12/30/2015)")</f>
        <v>79.05</v>
      </c>
      <c r="I518" s="13">
        <f>_xll.FDS(G518,"FG_PRICE(12/31/2017)")</f>
        <v>0.92500000000000004</v>
      </c>
      <c r="J518" s="13">
        <f>I518/H518-1</f>
        <v>-0.98829854522454141</v>
      </c>
      <c r="K518" s="13">
        <f>J518-E518</f>
        <v>-1.2840540120359558</v>
      </c>
      <c r="L518" s="13">
        <f>_xll.FDS(G518,"FF_ROE(ANN_R,12/30/2015)")</f>
        <v>-24.073222208920551</v>
      </c>
      <c r="M518" s="8" t="s">
        <v>5243</v>
      </c>
      <c r="N518" s="4" t="s">
        <v>5244</v>
      </c>
      <c r="O518" s="4" t="s">
        <v>4628</v>
      </c>
      <c r="P518" s="4" t="s">
        <v>96</v>
      </c>
      <c r="Q518" s="4" t="s">
        <v>56</v>
      </c>
      <c r="R518" s="4" t="s">
        <v>61</v>
      </c>
      <c r="S518" s="4" t="s">
        <v>62</v>
      </c>
      <c r="T518" s="6" t="e">
        <v>#N/A</v>
      </c>
      <c r="U518" s="5">
        <v>52</v>
      </c>
      <c r="V518" s="5">
        <v>50</v>
      </c>
      <c r="W518" s="5">
        <v>58</v>
      </c>
      <c r="X518" s="5">
        <v>47</v>
      </c>
      <c r="Y518" s="5">
        <v>31.72</v>
      </c>
      <c r="Z518" s="5">
        <v>45.16</v>
      </c>
      <c r="AA518" s="5">
        <v>52.15</v>
      </c>
      <c r="AB518" s="6">
        <v>6.45</v>
      </c>
      <c r="AC518" s="6">
        <v>0.35</v>
      </c>
      <c r="AD518" s="6">
        <v>0.4</v>
      </c>
      <c r="AE518" s="6">
        <v>0.25</v>
      </c>
      <c r="AF518" s="4" t="s">
        <v>6296</v>
      </c>
      <c r="AG518" s="4" t="s">
        <v>6296</v>
      </c>
      <c r="AH518" s="4" t="s">
        <v>6296</v>
      </c>
      <c r="AI518" s="4" t="s">
        <v>42</v>
      </c>
      <c r="AJ518" s="4" t="s">
        <v>6296</v>
      </c>
      <c r="AK518" s="4" t="s">
        <v>6296</v>
      </c>
      <c r="AL518" s="4" t="s">
        <v>6296</v>
      </c>
      <c r="AM518" s="4" t="s">
        <v>45</v>
      </c>
      <c r="AN518" s="4" t="s">
        <v>6296</v>
      </c>
      <c r="AO518" s="4" t="s">
        <v>6296</v>
      </c>
      <c r="AP518" s="4" t="s">
        <v>5245</v>
      </c>
      <c r="AQ518" s="4" t="s">
        <v>47</v>
      </c>
    </row>
    <row r="519" spans="1:43" ht="12.6" customHeight="1" x14ac:dyDescent="0.25">
      <c r="A519" s="8" t="s">
        <v>4908</v>
      </c>
      <c r="B519" s="9">
        <v>20151231</v>
      </c>
      <c r="C519" s="12">
        <f>_xll.FDS("SPX","FG_PRICE(12/30/2015)")</f>
        <v>2063.36</v>
      </c>
      <c r="D519" s="12">
        <f>_xll.FDS("SPX","FG_PRICE(12/30/2017)")</f>
        <v>2673.61</v>
      </c>
      <c r="E519" s="15">
        <f>D519/C519-1</f>
        <v>0.2957554668114144</v>
      </c>
      <c r="F519" s="8" t="s">
        <v>4909</v>
      </c>
      <c r="G519" s="8" t="s">
        <v>4910</v>
      </c>
      <c r="H519" s="13">
        <f>_xll.FDS(G519,"FG_PRICE(12/30/2015)")</f>
        <v>22.25</v>
      </c>
      <c r="I519" s="13">
        <f>_xll.FDS(G519,"FG_PRICE(12/31/2017)")</f>
        <v>52.97</v>
      </c>
      <c r="J519" s="13">
        <f>I519/H519-1</f>
        <v>1.3806741573033707</v>
      </c>
      <c r="K519" s="13">
        <f>J519-E519</f>
        <v>1.0849186904919563</v>
      </c>
      <c r="L519" s="13">
        <f>_xll.FDS(G519,"FF_ROE(ANN_R,12/30/2015)")</f>
        <v>21.911112276904671</v>
      </c>
      <c r="M519" s="8" t="s">
        <v>4911</v>
      </c>
      <c r="N519" s="4" t="s">
        <v>4912</v>
      </c>
      <c r="O519" s="4" t="s">
        <v>4913</v>
      </c>
      <c r="P519" s="4" t="s">
        <v>96</v>
      </c>
      <c r="Q519" s="4" t="s">
        <v>56</v>
      </c>
      <c r="R519" s="4" t="s">
        <v>61</v>
      </c>
      <c r="S519" s="4" t="s">
        <v>62</v>
      </c>
      <c r="T519" s="6" t="e">
        <v>#N/A</v>
      </c>
      <c r="U519" s="5">
        <v>53</v>
      </c>
      <c r="V519" s="5">
        <v>45</v>
      </c>
      <c r="W519" s="5">
        <v>53</v>
      </c>
      <c r="X519" s="5">
        <v>62</v>
      </c>
      <c r="Y519" s="5">
        <v>37.1</v>
      </c>
      <c r="Z519" s="5">
        <v>30.11</v>
      </c>
      <c r="AA519" s="5">
        <v>33.869999999999997</v>
      </c>
      <c r="AB519" s="5">
        <v>49.46</v>
      </c>
      <c r="AC519" s="6">
        <v>0.35</v>
      </c>
      <c r="AD519" s="6">
        <v>0.4</v>
      </c>
      <c r="AE519" s="6">
        <v>0.25</v>
      </c>
      <c r="AF519" s="4" t="s">
        <v>42</v>
      </c>
      <c r="AG519" s="4" t="s">
        <v>6296</v>
      </c>
      <c r="AH519" s="4" t="s">
        <v>6296</v>
      </c>
      <c r="AI519" s="4" t="s">
        <v>6296</v>
      </c>
      <c r="AJ519" s="4" t="s">
        <v>6296</v>
      </c>
      <c r="AK519" s="4" t="s">
        <v>6296</v>
      </c>
      <c r="AL519" s="4" t="s">
        <v>6296</v>
      </c>
      <c r="AM519" s="4" t="s">
        <v>6296</v>
      </c>
      <c r="AN519" s="4" t="s">
        <v>6296</v>
      </c>
      <c r="AO519" s="4" t="s">
        <v>6296</v>
      </c>
      <c r="AP519" s="4" t="s">
        <v>4914</v>
      </c>
      <c r="AQ519" s="4" t="s">
        <v>47</v>
      </c>
    </row>
    <row r="520" spans="1:43" ht="12.6" customHeight="1" x14ac:dyDescent="0.25">
      <c r="A520" s="8" t="s">
        <v>1881</v>
      </c>
      <c r="B520" s="9">
        <v>20151231</v>
      </c>
      <c r="C520" s="12">
        <f>_xll.FDS("SPX","FG_PRICE(12/30/2015)")</f>
        <v>2063.36</v>
      </c>
      <c r="D520" s="12">
        <f>_xll.FDS("SPX","FG_PRICE(12/30/2017)")</f>
        <v>2673.61</v>
      </c>
      <c r="E520" s="15">
        <f>D520/C520-1</f>
        <v>0.2957554668114144</v>
      </c>
      <c r="F520" s="8" t="s">
        <v>1882</v>
      </c>
      <c r="G520" s="8" t="s">
        <v>1883</v>
      </c>
      <c r="H520" s="13">
        <f>_xll.FDS(G520,"FG_PRICE(12/30/2015)")</f>
        <v>6.4891509999999997</v>
      </c>
      <c r="I520" s="13">
        <f>_xll.FDS(G520,"FG_PRICE(12/31/2017)")</f>
        <v>14.63</v>
      </c>
      <c r="J520" s="13">
        <f>I520/H520-1</f>
        <v>1.2545322184674084</v>
      </c>
      <c r="K520" s="13">
        <f>J520-E520</f>
        <v>0.95877675165599396</v>
      </c>
      <c r="L520" s="13">
        <f>_xll.FDS(G520,"FF_ROE(ANN_R,12/30/2015)")</f>
        <v>3.2658887644985901</v>
      </c>
      <c r="M520" s="8" t="s">
        <v>1884</v>
      </c>
      <c r="N520" s="4" t="s">
        <v>1885</v>
      </c>
      <c r="O520" s="4" t="s">
        <v>1886</v>
      </c>
      <c r="P520" s="4" t="s">
        <v>96</v>
      </c>
      <c r="Q520" s="4" t="s">
        <v>56</v>
      </c>
      <c r="R520" s="4" t="s">
        <v>61</v>
      </c>
      <c r="S520" s="4" t="s">
        <v>62</v>
      </c>
      <c r="T520" s="6" t="e">
        <v>#N/A</v>
      </c>
      <c r="U520" s="5">
        <v>56</v>
      </c>
      <c r="V520" s="5">
        <v>44</v>
      </c>
      <c r="W520" s="5">
        <v>65</v>
      </c>
      <c r="X520" s="5">
        <v>61</v>
      </c>
      <c r="Y520" s="5">
        <v>49.46</v>
      </c>
      <c r="Z520" s="5">
        <v>26.88</v>
      </c>
      <c r="AA520" s="5">
        <v>65.59</v>
      </c>
      <c r="AB520" s="5">
        <v>44.62</v>
      </c>
      <c r="AC520" s="6">
        <v>0.35</v>
      </c>
      <c r="AD520" s="6">
        <v>0.4</v>
      </c>
      <c r="AE520" s="6">
        <v>0.25</v>
      </c>
      <c r="AF520" s="4" t="s">
        <v>46</v>
      </c>
      <c r="AG520" s="4" t="s">
        <v>6296</v>
      </c>
      <c r="AH520" s="4" t="s">
        <v>6296</v>
      </c>
      <c r="AI520" s="4" t="s">
        <v>37</v>
      </c>
      <c r="AJ520" s="4" t="s">
        <v>42</v>
      </c>
      <c r="AK520" s="4" t="s">
        <v>6296</v>
      </c>
      <c r="AL520" s="4" t="s">
        <v>42</v>
      </c>
      <c r="AM520" s="4" t="s">
        <v>42</v>
      </c>
      <c r="AN520" s="4" t="s">
        <v>42</v>
      </c>
      <c r="AO520" s="4" t="s">
        <v>6296</v>
      </c>
      <c r="AP520" s="4" t="s">
        <v>1887</v>
      </c>
      <c r="AQ520" s="4" t="s">
        <v>47</v>
      </c>
    </row>
    <row r="521" spans="1:43" ht="12.6" customHeight="1" x14ac:dyDescent="0.25">
      <c r="A521" s="8" t="s">
        <v>853</v>
      </c>
      <c r="B521" s="9">
        <v>20151231</v>
      </c>
      <c r="C521" s="12">
        <f>_xll.FDS("SPX","FG_PRICE(12/30/2015)")</f>
        <v>2063.36</v>
      </c>
      <c r="D521" s="12">
        <f>_xll.FDS("SPX","FG_PRICE(12/30/2017)")</f>
        <v>2673.61</v>
      </c>
      <c r="E521" s="15">
        <f>D521/C521-1</f>
        <v>0.2957554668114144</v>
      </c>
      <c r="F521" s="8" t="s">
        <v>854</v>
      </c>
      <c r="G521" s="8" t="s">
        <v>855</v>
      </c>
      <c r="H521" s="13">
        <f>_xll.FDS(G521,"FG_PRICE(12/30/2015)")</f>
        <v>17.010000000000002</v>
      </c>
      <c r="I521" s="13">
        <f>_xll.FDS(G521,"FG_PRICE(12/31/2017)")</f>
        <v>28.6</v>
      </c>
      <c r="J521" s="13">
        <f>I521/H521-1</f>
        <v>0.68136390358612564</v>
      </c>
      <c r="K521" s="13">
        <f>J521-E521</f>
        <v>0.38560843677471124</v>
      </c>
      <c r="L521" s="13">
        <f>_xll.FDS(G521,"FF_ROE(ANN_R,12/30/2015)")</f>
        <v>4.8060708457020223</v>
      </c>
      <c r="M521" s="8" t="s">
        <v>856</v>
      </c>
      <c r="N521" s="4" t="s">
        <v>856</v>
      </c>
      <c r="O521" s="4" t="s">
        <v>857</v>
      </c>
      <c r="P521" s="4" t="s">
        <v>96</v>
      </c>
      <c r="Q521" s="4" t="s">
        <v>56</v>
      </c>
      <c r="R521" s="4" t="s">
        <v>61</v>
      </c>
      <c r="S521" s="4" t="s">
        <v>62</v>
      </c>
      <c r="T521" s="6" t="e">
        <v>#N/A</v>
      </c>
      <c r="U521" s="5">
        <v>56</v>
      </c>
      <c r="V521" s="5">
        <v>50</v>
      </c>
      <c r="W521" s="5">
        <v>57</v>
      </c>
      <c r="X521" s="5">
        <v>65</v>
      </c>
      <c r="Y521" s="5">
        <v>49.46</v>
      </c>
      <c r="Z521" s="5">
        <v>45.16</v>
      </c>
      <c r="AA521" s="5">
        <v>46.77</v>
      </c>
      <c r="AB521" s="5">
        <v>64.52</v>
      </c>
      <c r="AC521" s="6">
        <v>0.35</v>
      </c>
      <c r="AD521" s="6">
        <v>0.4</v>
      </c>
      <c r="AE521" s="6">
        <v>0.25</v>
      </c>
      <c r="AF521" s="4" t="s">
        <v>37</v>
      </c>
      <c r="AG521" s="4" t="s">
        <v>6296</v>
      </c>
      <c r="AH521" s="4" t="s">
        <v>6296</v>
      </c>
      <c r="AI521" s="4" t="s">
        <v>6296</v>
      </c>
      <c r="AJ521" s="4" t="s">
        <v>37</v>
      </c>
      <c r="AK521" s="4" t="s">
        <v>6296</v>
      </c>
      <c r="AL521" s="4" t="s">
        <v>6296</v>
      </c>
      <c r="AM521" s="4" t="s">
        <v>6296</v>
      </c>
      <c r="AN521" s="4" t="s">
        <v>6296</v>
      </c>
      <c r="AO521" s="4" t="s">
        <v>6296</v>
      </c>
      <c r="AP521" s="4" t="s">
        <v>858</v>
      </c>
      <c r="AQ521" s="4" t="s">
        <v>47</v>
      </c>
    </row>
    <row r="522" spans="1:43" ht="12.6" customHeight="1" x14ac:dyDescent="0.25">
      <c r="A522" s="8" t="s">
        <v>3129</v>
      </c>
      <c r="B522" s="9">
        <v>20151231</v>
      </c>
      <c r="C522" s="12">
        <f>_xll.FDS("SPX","FG_PRICE(12/30/2015)")</f>
        <v>2063.36</v>
      </c>
      <c r="D522" s="12">
        <f>_xll.FDS("SPX","FG_PRICE(12/30/2017)")</f>
        <v>2673.61</v>
      </c>
      <c r="E522" s="15">
        <f>D522/C522-1</f>
        <v>0.2957554668114144</v>
      </c>
      <c r="F522" s="8" t="s">
        <v>3130</v>
      </c>
      <c r="G522" s="8" t="s">
        <v>3131</v>
      </c>
      <c r="H522" s="13">
        <f>_xll.FDS(G522,"FG_PRICE(12/30/2015)")</f>
        <v>46.6</v>
      </c>
      <c r="I522" s="13">
        <f>_xll.FDS(G522,"FG_PRICE(12/31/2017)")</f>
        <v>54.89</v>
      </c>
      <c r="J522" s="13">
        <f>I522/H522-1</f>
        <v>0.17789699570815443</v>
      </c>
      <c r="K522" s="13">
        <f>J522-E522</f>
        <v>-0.11785847110325998</v>
      </c>
      <c r="L522" s="13">
        <f>_xll.FDS(G522,"FF_ROE(ANN_R,12/30/2015)")</f>
        <v>11.03450928356458</v>
      </c>
      <c r="M522" s="8" t="s">
        <v>3132</v>
      </c>
      <c r="N522" s="4" t="s">
        <v>3132</v>
      </c>
      <c r="O522" s="4" t="s">
        <v>3133</v>
      </c>
      <c r="P522" s="4" t="s">
        <v>96</v>
      </c>
      <c r="Q522" s="4" t="s">
        <v>56</v>
      </c>
      <c r="R522" s="4" t="s">
        <v>61</v>
      </c>
      <c r="S522" s="4" t="s">
        <v>62</v>
      </c>
      <c r="T522" s="6" t="e">
        <v>#N/A</v>
      </c>
      <c r="U522" s="5">
        <v>65</v>
      </c>
      <c r="V522" s="5">
        <v>46</v>
      </c>
      <c r="W522" s="5">
        <v>79</v>
      </c>
      <c r="X522" s="5">
        <v>69</v>
      </c>
      <c r="Y522" s="5">
        <v>77.42</v>
      </c>
      <c r="Z522" s="5">
        <v>32.799999999999997</v>
      </c>
      <c r="AA522" s="5">
        <v>88.71</v>
      </c>
      <c r="AB522" s="5">
        <v>77.959999999999994</v>
      </c>
      <c r="AC522" s="6">
        <v>0.35</v>
      </c>
      <c r="AD522" s="6">
        <v>0.4</v>
      </c>
      <c r="AE522" s="6">
        <v>0.25</v>
      </c>
      <c r="AF522" s="4" t="s">
        <v>45</v>
      </c>
      <c r="AG522" s="4" t="s">
        <v>6296</v>
      </c>
      <c r="AH522" s="4" t="s">
        <v>6296</v>
      </c>
      <c r="AI522" s="4" t="s">
        <v>42</v>
      </c>
      <c r="AJ522" s="4" t="s">
        <v>42</v>
      </c>
      <c r="AK522" s="4" t="s">
        <v>42</v>
      </c>
      <c r="AL522" s="4" t="s">
        <v>37</v>
      </c>
      <c r="AM522" s="4" t="s">
        <v>42</v>
      </c>
      <c r="AN522" s="4" t="s">
        <v>6296</v>
      </c>
      <c r="AO522" s="4" t="s">
        <v>6296</v>
      </c>
      <c r="AP522" s="4" t="s">
        <v>3134</v>
      </c>
      <c r="AQ522" s="4" t="s">
        <v>47</v>
      </c>
    </row>
    <row r="523" spans="1:43" ht="12.6" customHeight="1" x14ac:dyDescent="0.25">
      <c r="A523" s="8" t="s">
        <v>6315</v>
      </c>
      <c r="B523" s="9">
        <v>20151231</v>
      </c>
      <c r="C523" s="12">
        <f>_xll.FDS("SPX","FG_PRICE(12/30/2015)")</f>
        <v>2063.36</v>
      </c>
      <c r="D523" s="12">
        <f>_xll.FDS("SPX","FG_PRICE(12/30/2017)")</f>
        <v>2673.61</v>
      </c>
      <c r="E523" s="15">
        <f>D523/C523-1</f>
        <v>0.2957554668114144</v>
      </c>
      <c r="F523" s="8" t="s">
        <v>5762</v>
      </c>
      <c r="G523" s="8" t="s">
        <v>5763</v>
      </c>
      <c r="H523" s="13">
        <f>_xll.FDS(G523,"FG_PRICE(12/30/2015)")</f>
        <v>8.65</v>
      </c>
      <c r="I523" s="13">
        <f>_xll.FDS(G523,"FG_PRICE(12/31/2017)")</f>
        <v>8.4600000000000009</v>
      </c>
      <c r="J523" s="13">
        <f>I523/H523-1</f>
        <v>-2.1965317919075078E-2</v>
      </c>
      <c r="K523" s="13">
        <f>J523-E523</f>
        <v>-0.31772078473048948</v>
      </c>
      <c r="L523" s="13">
        <f>_xll.FDS(G523,"FF_ROE(ANN_R,12/30/2015)")</f>
        <v>-6.3333949778217029</v>
      </c>
      <c r="M523" s="8" t="s">
        <v>5764</v>
      </c>
      <c r="N523" s="4" t="s">
        <v>5765</v>
      </c>
      <c r="O523" s="4" t="s">
        <v>5766</v>
      </c>
      <c r="P523" s="4" t="s">
        <v>96</v>
      </c>
      <c r="Q523" s="4" t="s">
        <v>56</v>
      </c>
      <c r="R523" s="4" t="s">
        <v>61</v>
      </c>
      <c r="S523" s="4" t="s">
        <v>62</v>
      </c>
      <c r="T523" s="6" t="e">
        <v>#N/A</v>
      </c>
      <c r="U523" s="5">
        <v>47</v>
      </c>
      <c r="V523" s="5">
        <v>39</v>
      </c>
      <c r="W523" s="5">
        <v>49</v>
      </c>
      <c r="X523" s="5">
        <v>56</v>
      </c>
      <c r="Y523" s="6">
        <v>9.14</v>
      </c>
      <c r="Z523" s="6">
        <v>1.61</v>
      </c>
      <c r="AA523" s="5">
        <v>17.2</v>
      </c>
      <c r="AB523" s="5">
        <v>27.42</v>
      </c>
      <c r="AC523" s="6">
        <v>0.35</v>
      </c>
      <c r="AD523" s="6">
        <v>0.4</v>
      </c>
      <c r="AE523" s="6">
        <v>0.25</v>
      </c>
      <c r="AF523" s="4" t="s">
        <v>6296</v>
      </c>
      <c r="AG523" s="4" t="s">
        <v>6296</v>
      </c>
      <c r="AH523" s="4" t="s">
        <v>6296</v>
      </c>
      <c r="AI523" s="4" t="s">
        <v>6296</v>
      </c>
      <c r="AJ523" s="4" t="s">
        <v>6296</v>
      </c>
      <c r="AK523" s="4" t="s">
        <v>6296</v>
      </c>
      <c r="AL523" s="4" t="s">
        <v>6296</v>
      </c>
      <c r="AM523" s="4" t="s">
        <v>6296</v>
      </c>
      <c r="AN523" s="4" t="s">
        <v>6296</v>
      </c>
      <c r="AO523" s="4" t="s">
        <v>6296</v>
      </c>
      <c r="AP523" s="4" t="s">
        <v>6316</v>
      </c>
      <c r="AQ523" s="4" t="s">
        <v>47</v>
      </c>
    </row>
    <row r="524" spans="1:43" ht="12.6" customHeight="1" x14ac:dyDescent="0.25">
      <c r="A524" s="8" t="s">
        <v>3781</v>
      </c>
      <c r="B524" s="9">
        <v>20151231</v>
      </c>
      <c r="C524" s="12">
        <f>_xll.FDS("SPX","FG_PRICE(12/30/2015)")</f>
        <v>2063.36</v>
      </c>
      <c r="D524" s="12">
        <f>_xll.FDS("SPX","FG_PRICE(12/30/2017)")</f>
        <v>2673.61</v>
      </c>
      <c r="E524" s="15">
        <f>D524/C524-1</f>
        <v>0.2957554668114144</v>
      </c>
      <c r="F524" s="8" t="s">
        <v>3782</v>
      </c>
      <c r="G524" s="8" t="s">
        <v>3783</v>
      </c>
      <c r="H524" s="13">
        <f>_xll.FDS(G524,"FG_PRICE(12/30/2015)")</f>
        <v>90.09</v>
      </c>
      <c r="I524" s="13">
        <f>_xll.FDS(G524,"FG_PRICE(12/31/2017)")</f>
        <v>125.19</v>
      </c>
      <c r="J524" s="13">
        <f>I524/H524-1</f>
        <v>0.38961038961038952</v>
      </c>
      <c r="K524" s="13">
        <f>J524-E524</f>
        <v>9.3854922798975116E-2</v>
      </c>
      <c r="L524" s="13">
        <f>_xll.FDS(G524,"FF_ROE(ANN_R,12/30/2015)")</f>
        <v>12.6526841169063</v>
      </c>
      <c r="M524" s="8" t="s">
        <v>3784</v>
      </c>
      <c r="N524" s="4" t="s">
        <v>3784</v>
      </c>
      <c r="O524" s="4" t="s">
        <v>3785</v>
      </c>
      <c r="P524" s="4" t="s">
        <v>96</v>
      </c>
      <c r="Q524" s="4" t="s">
        <v>56</v>
      </c>
      <c r="R524" s="4" t="s">
        <v>61</v>
      </c>
      <c r="S524" s="4" t="s">
        <v>62</v>
      </c>
      <c r="T524" s="6" t="e">
        <v>#N/A</v>
      </c>
      <c r="U524" s="5">
        <v>51</v>
      </c>
      <c r="V524" s="5">
        <v>43</v>
      </c>
      <c r="W524" s="5">
        <v>57</v>
      </c>
      <c r="X524" s="5">
        <v>54</v>
      </c>
      <c r="Y524" s="5">
        <v>25.27</v>
      </c>
      <c r="Z524" s="5">
        <v>19.89</v>
      </c>
      <c r="AA524" s="5">
        <v>46.77</v>
      </c>
      <c r="AB524" s="5">
        <v>18.82</v>
      </c>
      <c r="AC524" s="6">
        <v>0.35</v>
      </c>
      <c r="AD524" s="6">
        <v>0.4</v>
      </c>
      <c r="AE524" s="6">
        <v>0.25</v>
      </c>
      <c r="AF524" s="4" t="s">
        <v>248</v>
      </c>
      <c r="AG524" s="4" t="s">
        <v>6296</v>
      </c>
      <c r="AH524" s="4" t="s">
        <v>6296</v>
      </c>
      <c r="AI524" s="4" t="s">
        <v>37</v>
      </c>
      <c r="AJ524" s="4" t="s">
        <v>42</v>
      </c>
      <c r="AK524" s="4" t="s">
        <v>42</v>
      </c>
      <c r="AL524" s="4" t="s">
        <v>45</v>
      </c>
      <c r="AM524" s="4" t="s">
        <v>46</v>
      </c>
      <c r="AN524" s="4" t="s">
        <v>37</v>
      </c>
      <c r="AO524" s="4" t="s">
        <v>42</v>
      </c>
      <c r="AP524" s="4" t="s">
        <v>3786</v>
      </c>
      <c r="AQ524" s="4" t="s">
        <v>47</v>
      </c>
    </row>
    <row r="525" spans="1:43" ht="12.6" customHeight="1" x14ac:dyDescent="0.25">
      <c r="A525" s="8" t="s">
        <v>4930</v>
      </c>
      <c r="B525" s="9">
        <v>20151231</v>
      </c>
      <c r="C525" s="12">
        <f>_xll.FDS("SPX","FG_PRICE(12/30/2015)")</f>
        <v>2063.36</v>
      </c>
      <c r="D525" s="12">
        <f>_xll.FDS("SPX","FG_PRICE(12/30/2017)")</f>
        <v>2673.61</v>
      </c>
      <c r="E525" s="15">
        <f>D525/C525-1</f>
        <v>0.2957554668114144</v>
      </c>
      <c r="F525" s="8" t="s">
        <v>4931</v>
      </c>
      <c r="G525" s="8" t="s">
        <v>4932</v>
      </c>
      <c r="H525" s="13">
        <f>_xll.FDS(G525,"FG_PRICE(12/30/2015)")</f>
        <v>91.58</v>
      </c>
      <c r="I525" s="13">
        <f>_xll.FDS(G525,"FG_PRICE(12/31/2017)")</f>
        <v>150.22</v>
      </c>
      <c r="J525" s="13">
        <f>I525/H525-1</f>
        <v>0.64031447914391793</v>
      </c>
      <c r="K525" s="13">
        <f>J525-E525</f>
        <v>0.34455901233250352</v>
      </c>
      <c r="L525" s="13">
        <f>_xll.FDS(G525,"FF_ROE(ANN_R,12/30/2015)")</f>
        <v>11.776291311496291</v>
      </c>
      <c r="M525" s="8" t="s">
        <v>4933</v>
      </c>
      <c r="N525" s="4" t="s">
        <v>4933</v>
      </c>
      <c r="O525" s="4" t="s">
        <v>4934</v>
      </c>
      <c r="P525" s="4" t="s">
        <v>96</v>
      </c>
      <c r="Q525" s="4" t="s">
        <v>56</v>
      </c>
      <c r="R525" s="4" t="s">
        <v>61</v>
      </c>
      <c r="S525" s="4" t="s">
        <v>62</v>
      </c>
      <c r="T525" s="6" t="e">
        <v>#N/A</v>
      </c>
      <c r="U525" s="5">
        <v>50</v>
      </c>
      <c r="V525" s="5">
        <v>42</v>
      </c>
      <c r="W525" s="5">
        <v>50</v>
      </c>
      <c r="X525" s="5">
        <v>62</v>
      </c>
      <c r="Y525" s="5">
        <v>20.97</v>
      </c>
      <c r="Z525" s="5">
        <v>14.52</v>
      </c>
      <c r="AA525" s="5">
        <v>21.51</v>
      </c>
      <c r="AB525" s="5">
        <v>49.46</v>
      </c>
      <c r="AC525" s="6">
        <v>0.35</v>
      </c>
      <c r="AD525" s="6">
        <v>0.4</v>
      </c>
      <c r="AE525" s="6">
        <v>0.25</v>
      </c>
      <c r="AF525" s="4" t="s">
        <v>6296</v>
      </c>
      <c r="AG525" s="4" t="s">
        <v>6296</v>
      </c>
      <c r="AH525" s="4" t="s">
        <v>6296</v>
      </c>
      <c r="AI525" s="4" t="s">
        <v>6296</v>
      </c>
      <c r="AJ525" s="4" t="s">
        <v>6296</v>
      </c>
      <c r="AK525" s="4" t="s">
        <v>6296</v>
      </c>
      <c r="AL525" s="4" t="s">
        <v>6296</v>
      </c>
      <c r="AM525" s="4" t="s">
        <v>6296</v>
      </c>
      <c r="AN525" s="4" t="s">
        <v>6296</v>
      </c>
      <c r="AO525" s="4" t="s">
        <v>6296</v>
      </c>
      <c r="AP525" s="4" t="s">
        <v>4935</v>
      </c>
      <c r="AQ525" s="4" t="s">
        <v>47</v>
      </c>
    </row>
    <row r="526" spans="1:43" ht="12.6" customHeight="1" x14ac:dyDescent="0.25">
      <c r="A526" s="8" t="s">
        <v>1929</v>
      </c>
      <c r="B526" s="9">
        <v>20151231</v>
      </c>
      <c r="C526" s="12">
        <f>_xll.FDS("SPX","FG_PRICE(12/30/2015)")</f>
        <v>2063.36</v>
      </c>
      <c r="D526" s="12">
        <f>_xll.FDS("SPX","FG_PRICE(12/30/2017)")</f>
        <v>2673.61</v>
      </c>
      <c r="E526" s="15">
        <f>D526/C526-1</f>
        <v>0.2957554668114144</v>
      </c>
      <c r="F526" s="8" t="s">
        <v>1930</v>
      </c>
      <c r="G526" s="8" t="s">
        <v>1931</v>
      </c>
      <c r="H526" s="13">
        <f>_xll.FDS(G526,"FG_PRICE(12/30/2015)")</f>
        <v>1.97</v>
      </c>
      <c r="I526" s="13">
        <f>_xll.FDS(G526,"FG_PRICE(12/31/2017)")</f>
        <v>2.21</v>
      </c>
      <c r="J526" s="13">
        <f>I526/H526-1</f>
        <v>0.12182741116751261</v>
      </c>
      <c r="K526" s="13">
        <f>J526-E526</f>
        <v>-0.17392805564390179</v>
      </c>
      <c r="L526" s="13">
        <f>_xll.FDS(G526,"FF_ROE(ANN_R,12/30/2015)")</f>
        <v>11.54885726482477</v>
      </c>
      <c r="M526" s="8" t="s">
        <v>1932</v>
      </c>
      <c r="N526" s="4" t="s">
        <v>1932</v>
      </c>
      <c r="O526" s="4" t="s">
        <v>1933</v>
      </c>
      <c r="P526" s="4" t="s">
        <v>96</v>
      </c>
      <c r="Q526" s="4" t="s">
        <v>56</v>
      </c>
      <c r="R526" s="4" t="s">
        <v>61</v>
      </c>
      <c r="S526" s="4" t="s">
        <v>62</v>
      </c>
      <c r="T526" s="6" t="e">
        <v>#N/A</v>
      </c>
      <c r="U526" s="5">
        <v>60</v>
      </c>
      <c r="V526" s="5">
        <v>51</v>
      </c>
      <c r="W526" s="5">
        <v>65</v>
      </c>
      <c r="X526" s="5">
        <v>67</v>
      </c>
      <c r="Y526" s="5">
        <v>63.98</v>
      </c>
      <c r="Z526" s="5">
        <v>48.92</v>
      </c>
      <c r="AA526" s="5">
        <v>65.59</v>
      </c>
      <c r="AB526" s="5">
        <v>70.97</v>
      </c>
      <c r="AC526" s="6">
        <v>0.35</v>
      </c>
      <c r="AD526" s="6">
        <v>0.4</v>
      </c>
      <c r="AE526" s="6">
        <v>0.25</v>
      </c>
      <c r="AF526" s="4" t="s">
        <v>42</v>
      </c>
      <c r="AG526" s="4" t="s">
        <v>6296</v>
      </c>
      <c r="AH526" s="4" t="s">
        <v>6296</v>
      </c>
      <c r="AI526" s="4" t="s">
        <v>42</v>
      </c>
      <c r="AJ526" s="4" t="s">
        <v>6296</v>
      </c>
      <c r="AK526" s="4" t="s">
        <v>6296</v>
      </c>
      <c r="AL526" s="4" t="s">
        <v>6296</v>
      </c>
      <c r="AM526" s="4" t="s">
        <v>6296</v>
      </c>
      <c r="AN526" s="4" t="s">
        <v>6296</v>
      </c>
      <c r="AO526" s="4" t="s">
        <v>6296</v>
      </c>
      <c r="AP526" s="4" t="s">
        <v>1934</v>
      </c>
      <c r="AQ526" s="4" t="s">
        <v>47</v>
      </c>
    </row>
    <row r="527" spans="1:43" ht="12.6" customHeight="1" x14ac:dyDescent="0.25">
      <c r="A527" s="8" t="s">
        <v>2245</v>
      </c>
      <c r="B527" s="9">
        <v>20151231</v>
      </c>
      <c r="C527" s="12">
        <f>_xll.FDS("SPX","FG_PRICE(12/30/2015)")</f>
        <v>2063.36</v>
      </c>
      <c r="D527" s="12">
        <f>_xll.FDS("SPX","FG_PRICE(12/30/2017)")</f>
        <v>2673.61</v>
      </c>
      <c r="E527" s="15">
        <f>D527/C527-1</f>
        <v>0.2957554668114144</v>
      </c>
      <c r="F527" s="8" t="s">
        <v>2246</v>
      </c>
      <c r="G527" s="8" t="s">
        <v>2247</v>
      </c>
      <c r="H527" s="13">
        <f>_xll.FDS(G527,"FG_PRICE(12/30/2015)")</f>
        <v>31</v>
      </c>
      <c r="I527" s="13">
        <f>_xll.FDS(G527,"FG_PRICE(12/31/2017)")</f>
        <v>41.4</v>
      </c>
      <c r="J527" s="13">
        <f>I527/H527-1</f>
        <v>0.3354838709677419</v>
      </c>
      <c r="K527" s="13">
        <f>J527-E527</f>
        <v>3.9728404156327501E-2</v>
      </c>
      <c r="L527" s="13">
        <f>_xll.FDS(G527,"FF_ROE(ANN_R,12/30/2015)")</f>
        <v>7.5645844236167283</v>
      </c>
      <c r="M527" s="8" t="s">
        <v>2248</v>
      </c>
      <c r="N527" s="4" t="s">
        <v>2248</v>
      </c>
      <c r="O527" s="4" t="s">
        <v>2249</v>
      </c>
      <c r="P527" s="4" t="s">
        <v>96</v>
      </c>
      <c r="Q527" s="4" t="s">
        <v>56</v>
      </c>
      <c r="R527" s="4" t="s">
        <v>61</v>
      </c>
      <c r="S527" s="4" t="s">
        <v>62</v>
      </c>
      <c r="T527" s="6" t="e">
        <v>#N/A</v>
      </c>
      <c r="U527" s="5">
        <v>62</v>
      </c>
      <c r="V527" s="5">
        <v>50</v>
      </c>
      <c r="W527" s="5">
        <v>69</v>
      </c>
      <c r="X527" s="5">
        <v>69</v>
      </c>
      <c r="Y527" s="5">
        <v>69.349999999999994</v>
      </c>
      <c r="Z527" s="5">
        <v>45.16</v>
      </c>
      <c r="AA527" s="5">
        <v>77.42</v>
      </c>
      <c r="AB527" s="5">
        <v>77.959999999999994</v>
      </c>
      <c r="AC527" s="6">
        <v>0.35</v>
      </c>
      <c r="AD527" s="6">
        <v>0.4</v>
      </c>
      <c r="AE527" s="6">
        <v>0.25</v>
      </c>
      <c r="AF527" s="4" t="s">
        <v>42</v>
      </c>
      <c r="AG527" s="4" t="s">
        <v>6296</v>
      </c>
      <c r="AH527" s="4" t="s">
        <v>6296</v>
      </c>
      <c r="AI527" s="4" t="s">
        <v>6296</v>
      </c>
      <c r="AJ527" s="4" t="s">
        <v>6296</v>
      </c>
      <c r="AK527" s="4" t="s">
        <v>6296</v>
      </c>
      <c r="AL527" s="4" t="s">
        <v>42</v>
      </c>
      <c r="AM527" s="4" t="s">
        <v>42</v>
      </c>
      <c r="AN527" s="4" t="s">
        <v>42</v>
      </c>
      <c r="AO527" s="4" t="s">
        <v>6296</v>
      </c>
      <c r="AP527" s="4" t="s">
        <v>2250</v>
      </c>
      <c r="AQ527" s="4" t="s">
        <v>47</v>
      </c>
    </row>
    <row r="528" spans="1:43" ht="12.6" customHeight="1" x14ac:dyDescent="0.25">
      <c r="A528" s="8" t="s">
        <v>185</v>
      </c>
      <c r="B528" s="9">
        <v>20151231</v>
      </c>
      <c r="C528" s="12">
        <f>_xll.FDS("SPX","FG_PRICE(12/30/2015)")</f>
        <v>2063.36</v>
      </c>
      <c r="D528" s="12">
        <f>_xll.FDS("SPX","FG_PRICE(12/30/2017)")</f>
        <v>2673.61</v>
      </c>
      <c r="E528" s="15">
        <f>D528/C528-1</f>
        <v>0.2957554668114144</v>
      </c>
      <c r="F528" s="8" t="s">
        <v>186</v>
      </c>
      <c r="G528" s="8" t="s">
        <v>187</v>
      </c>
      <c r="H528" s="13">
        <f>_xll.FDS(G528,"FG_PRICE(12/30/2015)")</f>
        <v>40.450000000000003</v>
      </c>
      <c r="I528" s="13">
        <f>_xll.FDS(G528,"FG_PRICE(12/31/2017)")</f>
        <v>57.57</v>
      </c>
      <c r="J528" s="13">
        <f>I528/H528-1</f>
        <v>0.42323856613102584</v>
      </c>
      <c r="K528" s="13">
        <f>J528-E528</f>
        <v>0.12748309931961144</v>
      </c>
      <c r="L528" s="13">
        <f>_xll.FDS(G528,"FF_ROE(ANN_R,12/30/2015)")</f>
        <v>3.17707600153875</v>
      </c>
      <c r="M528" s="8" t="s">
        <v>188</v>
      </c>
      <c r="N528" s="4" t="s">
        <v>188</v>
      </c>
      <c r="O528" s="4" t="s">
        <v>189</v>
      </c>
      <c r="P528" s="4" t="s">
        <v>96</v>
      </c>
      <c r="Q528" s="4" t="s">
        <v>56</v>
      </c>
      <c r="R528" s="4" t="s">
        <v>61</v>
      </c>
      <c r="S528" s="4" t="s">
        <v>62</v>
      </c>
      <c r="T528" s="6" t="e">
        <v>#N/A</v>
      </c>
      <c r="U528" s="5">
        <v>54</v>
      </c>
      <c r="V528" s="5">
        <v>42</v>
      </c>
      <c r="W528" s="5">
        <v>57</v>
      </c>
      <c r="X528" s="5">
        <v>64</v>
      </c>
      <c r="Y528" s="5">
        <v>42.47</v>
      </c>
      <c r="Z528" s="5">
        <v>14.52</v>
      </c>
      <c r="AA528" s="5">
        <v>46.77</v>
      </c>
      <c r="AB528" s="5">
        <v>61.83</v>
      </c>
      <c r="AC528" s="6">
        <v>0.35</v>
      </c>
      <c r="AD528" s="6">
        <v>0.4</v>
      </c>
      <c r="AE528" s="6">
        <v>0.25</v>
      </c>
      <c r="AF528" s="4" t="s">
        <v>6296</v>
      </c>
      <c r="AG528" s="4" t="s">
        <v>6296</v>
      </c>
      <c r="AH528" s="4" t="s">
        <v>42</v>
      </c>
      <c r="AI528" s="4" t="s">
        <v>6296</v>
      </c>
      <c r="AJ528" s="4" t="s">
        <v>6296</v>
      </c>
      <c r="AK528" s="4" t="s">
        <v>6296</v>
      </c>
      <c r="AL528" s="4" t="s">
        <v>6296</v>
      </c>
      <c r="AM528" s="4" t="s">
        <v>42</v>
      </c>
      <c r="AN528" s="4" t="s">
        <v>42</v>
      </c>
      <c r="AO528" s="4" t="s">
        <v>6296</v>
      </c>
      <c r="AP528" s="4" t="s">
        <v>190</v>
      </c>
      <c r="AQ528" s="4" t="s">
        <v>47</v>
      </c>
    </row>
    <row r="529" spans="1:43" ht="12.6" customHeight="1" x14ac:dyDescent="0.25">
      <c r="A529" s="8" t="s">
        <v>1529</v>
      </c>
      <c r="B529" s="9">
        <v>20151231</v>
      </c>
      <c r="C529" s="12">
        <f>_xll.FDS("SPX","FG_PRICE(12/30/2015)")</f>
        <v>2063.36</v>
      </c>
      <c r="D529" s="12">
        <f>_xll.FDS("SPX","FG_PRICE(12/30/2017)")</f>
        <v>2673.61</v>
      </c>
      <c r="E529" s="15">
        <f>D529/C529-1</f>
        <v>0.2957554668114144</v>
      </c>
      <c r="F529" s="8" t="s">
        <v>1530</v>
      </c>
      <c r="G529" s="8" t="s">
        <v>1531</v>
      </c>
      <c r="H529" s="13">
        <f>_xll.FDS(G529,"FG_PRICE(12/30/2015)")</f>
        <v>70.61</v>
      </c>
      <c r="I529" s="13">
        <f>_xll.FDS(G529,"FG_PRICE(12/31/2017)")</f>
        <v>107.91</v>
      </c>
      <c r="J529" s="13">
        <f>I529/H529-1</f>
        <v>0.52825378841523851</v>
      </c>
      <c r="K529" s="13">
        <f>J529-E529</f>
        <v>0.23249832160382411</v>
      </c>
      <c r="L529" s="13">
        <f>_xll.FDS(G529,"FF_ROE(ANN_R,12/30/2015)")</f>
        <v>17.599730717788191</v>
      </c>
      <c r="M529" s="8" t="s">
        <v>1532</v>
      </c>
      <c r="N529" s="4" t="s">
        <v>1533</v>
      </c>
      <c r="O529" s="4" t="s">
        <v>1534</v>
      </c>
      <c r="P529" s="4" t="s">
        <v>96</v>
      </c>
      <c r="Q529" s="4" t="s">
        <v>56</v>
      </c>
      <c r="R529" s="4" t="s">
        <v>61</v>
      </c>
      <c r="S529" s="4" t="s">
        <v>62</v>
      </c>
      <c r="T529" s="6" t="e">
        <v>#N/A</v>
      </c>
      <c r="U529" s="5">
        <v>52</v>
      </c>
      <c r="V529" s="5">
        <v>44</v>
      </c>
      <c r="W529" s="5">
        <v>54</v>
      </c>
      <c r="X529" s="5">
        <v>60</v>
      </c>
      <c r="Y529" s="5">
        <v>31.72</v>
      </c>
      <c r="Z529" s="5">
        <v>26.88</v>
      </c>
      <c r="AA529" s="5">
        <v>36.020000000000003</v>
      </c>
      <c r="AB529" s="5">
        <v>41.94</v>
      </c>
      <c r="AC529" s="6">
        <v>0.35</v>
      </c>
      <c r="AD529" s="6">
        <v>0.4</v>
      </c>
      <c r="AE529" s="6">
        <v>0.25</v>
      </c>
      <c r="AF529" s="4" t="s">
        <v>37</v>
      </c>
      <c r="AG529" s="4" t="s">
        <v>6296</v>
      </c>
      <c r="AH529" s="4" t="s">
        <v>6296</v>
      </c>
      <c r="AI529" s="4" t="s">
        <v>37</v>
      </c>
      <c r="AJ529" s="4" t="s">
        <v>6296</v>
      </c>
      <c r="AK529" s="4" t="s">
        <v>6296</v>
      </c>
      <c r="AL529" s="4" t="s">
        <v>37</v>
      </c>
      <c r="AM529" s="4" t="s">
        <v>6296</v>
      </c>
      <c r="AN529" s="4" t="s">
        <v>42</v>
      </c>
      <c r="AO529" s="4" t="s">
        <v>6296</v>
      </c>
      <c r="AP529" s="4" t="s">
        <v>1535</v>
      </c>
      <c r="AQ529" s="4" t="s">
        <v>47</v>
      </c>
    </row>
    <row r="530" spans="1:43" ht="12.6" customHeight="1" x14ac:dyDescent="0.25">
      <c r="A530" s="8" t="s">
        <v>1548</v>
      </c>
      <c r="B530" s="9">
        <v>20151231</v>
      </c>
      <c r="C530" s="12">
        <f>_xll.FDS("SPX","FG_PRICE(12/30/2015)")</f>
        <v>2063.36</v>
      </c>
      <c r="D530" s="12">
        <f>_xll.FDS("SPX","FG_PRICE(12/30/2017)")</f>
        <v>2673.61</v>
      </c>
      <c r="E530" s="15">
        <f>D530/C530-1</f>
        <v>0.2957554668114144</v>
      </c>
      <c r="F530" s="8" t="s">
        <v>1549</v>
      </c>
      <c r="G530" s="8" t="s">
        <v>1550</v>
      </c>
      <c r="H530" s="13">
        <f>_xll.FDS(G530,"FG_PRICE(12/30/2015)")</f>
        <v>51.41</v>
      </c>
      <c r="I530" s="13">
        <f>_xll.FDS(G530,"FG_PRICE(12/31/2017)")</f>
        <v>56.92</v>
      </c>
      <c r="J530" s="13">
        <f>I530/H530-1</f>
        <v>0.10717759190818921</v>
      </c>
      <c r="K530" s="13">
        <f>J530-E530</f>
        <v>-0.1885778749032252</v>
      </c>
      <c r="L530" s="13">
        <f>_xll.FDS(G530,"FF_ROE(ANN_R,12/30/2015)")</f>
        <v>8.9489850019779293</v>
      </c>
      <c r="M530" s="8" t="s">
        <v>1551</v>
      </c>
      <c r="N530" s="4" t="s">
        <v>1551</v>
      </c>
      <c r="O530" s="4" t="s">
        <v>1552</v>
      </c>
      <c r="P530" s="4" t="s">
        <v>96</v>
      </c>
      <c r="Q530" s="4" t="s">
        <v>56</v>
      </c>
      <c r="R530" s="4" t="s">
        <v>61</v>
      </c>
      <c r="S530" s="4" t="s">
        <v>62</v>
      </c>
      <c r="T530" s="6" t="e">
        <v>#N/A</v>
      </c>
      <c r="U530" s="5">
        <v>66</v>
      </c>
      <c r="V530" s="5">
        <v>56</v>
      </c>
      <c r="W530" s="5">
        <v>77</v>
      </c>
      <c r="X530" s="5">
        <v>64</v>
      </c>
      <c r="Y530" s="5">
        <v>79.03</v>
      </c>
      <c r="Z530" s="5">
        <v>62.37</v>
      </c>
      <c r="AA530" s="5">
        <v>87.63</v>
      </c>
      <c r="AB530" s="5">
        <v>61.83</v>
      </c>
      <c r="AC530" s="6">
        <v>0.35</v>
      </c>
      <c r="AD530" s="6">
        <v>0.4</v>
      </c>
      <c r="AE530" s="6">
        <v>0.25</v>
      </c>
      <c r="AF530" s="4" t="s">
        <v>42</v>
      </c>
      <c r="AG530" s="4" t="s">
        <v>6296</v>
      </c>
      <c r="AH530" s="4" t="s">
        <v>6296</v>
      </c>
      <c r="AI530" s="4" t="s">
        <v>37</v>
      </c>
      <c r="AJ530" s="4" t="s">
        <v>6296</v>
      </c>
      <c r="AK530" s="4" t="s">
        <v>6296</v>
      </c>
      <c r="AL530" s="4" t="s">
        <v>6296</v>
      </c>
      <c r="AM530" s="4" t="s">
        <v>37</v>
      </c>
      <c r="AN530" s="4" t="s">
        <v>6296</v>
      </c>
      <c r="AO530" s="4" t="s">
        <v>6296</v>
      </c>
      <c r="AP530" s="4" t="s">
        <v>1553</v>
      </c>
      <c r="AQ530" s="4" t="s">
        <v>47</v>
      </c>
    </row>
    <row r="531" spans="1:43" ht="12.6" customHeight="1" x14ac:dyDescent="0.25">
      <c r="A531" s="8" t="s">
        <v>236</v>
      </c>
      <c r="B531" s="9">
        <v>20151231</v>
      </c>
      <c r="C531" s="12">
        <f>_xll.FDS("SPX","FG_PRICE(12/30/2015)")</f>
        <v>2063.36</v>
      </c>
      <c r="D531" s="12">
        <f>_xll.FDS("SPX","FG_PRICE(12/30/2017)")</f>
        <v>2673.61</v>
      </c>
      <c r="E531" s="15">
        <f>D531/C531-1</f>
        <v>0.2957554668114144</v>
      </c>
      <c r="F531" s="8" t="s">
        <v>237</v>
      </c>
      <c r="G531" s="8" t="s">
        <v>238</v>
      </c>
      <c r="H531" s="13">
        <f>_xll.FDS(G531,"FG_PRICE(12/30/2015)")</f>
        <v>48.17</v>
      </c>
      <c r="I531" s="13">
        <f>_xll.FDS(G531,"FG_PRICE(12/31/2017)")</f>
        <v>47.47</v>
      </c>
      <c r="J531" s="13">
        <f>I531/H531-1</f>
        <v>-1.453186630683001E-2</v>
      </c>
      <c r="K531" s="13">
        <f>J531-E531</f>
        <v>-0.31028733311824441</v>
      </c>
      <c r="L531" s="13">
        <f>_xll.FDS(G531,"FF_ROE(ANN_R,12/30/2015)")</f>
        <v>7.2115077250932336</v>
      </c>
      <c r="M531" s="8" t="s">
        <v>239</v>
      </c>
      <c r="N531" s="4" t="s">
        <v>239</v>
      </c>
      <c r="O531" s="4" t="s">
        <v>240</v>
      </c>
      <c r="P531" s="4" t="s">
        <v>96</v>
      </c>
      <c r="Q531" s="4" t="s">
        <v>56</v>
      </c>
      <c r="R531" s="4" t="s">
        <v>61</v>
      </c>
      <c r="S531" s="4" t="s">
        <v>62</v>
      </c>
      <c r="T531" s="6" t="e">
        <v>#N/A</v>
      </c>
      <c r="U531" s="5">
        <v>73</v>
      </c>
      <c r="V531" s="5">
        <v>67</v>
      </c>
      <c r="W531" s="5">
        <v>79</v>
      </c>
      <c r="X531" s="5">
        <v>71</v>
      </c>
      <c r="Y531" s="5">
        <v>86.02</v>
      </c>
      <c r="Z531" s="5">
        <v>85.48</v>
      </c>
      <c r="AA531" s="5">
        <v>88.71</v>
      </c>
      <c r="AB531" s="5">
        <v>81.72</v>
      </c>
      <c r="AC531" s="6">
        <v>0.35</v>
      </c>
      <c r="AD531" s="6">
        <v>0.4</v>
      </c>
      <c r="AE531" s="6">
        <v>0.25</v>
      </c>
      <c r="AF531" s="4" t="s">
        <v>42</v>
      </c>
      <c r="AG531" s="4" t="s">
        <v>6296</v>
      </c>
      <c r="AH531" s="4" t="s">
        <v>6296</v>
      </c>
      <c r="AI531" s="4" t="s">
        <v>42</v>
      </c>
      <c r="AJ531" s="4" t="s">
        <v>6296</v>
      </c>
      <c r="AK531" s="4" t="s">
        <v>42</v>
      </c>
      <c r="AL531" s="4" t="s">
        <v>42</v>
      </c>
      <c r="AM531" s="4" t="s">
        <v>37</v>
      </c>
      <c r="AN531" s="4" t="s">
        <v>42</v>
      </c>
      <c r="AO531" s="4" t="s">
        <v>6296</v>
      </c>
      <c r="AP531" s="4" t="s">
        <v>241</v>
      </c>
      <c r="AQ531" s="4" t="s">
        <v>47</v>
      </c>
    </row>
    <row r="532" spans="1:43" ht="12.6" customHeight="1" x14ac:dyDescent="0.25">
      <c r="A532" s="8" t="s">
        <v>6348</v>
      </c>
      <c r="B532" s="9">
        <v>20151231</v>
      </c>
      <c r="C532" s="12">
        <f>_xll.FDS("SPX","FG_PRICE(12/30/2015)")</f>
        <v>2063.36</v>
      </c>
      <c r="D532" s="12">
        <f>_xll.FDS("SPX","FG_PRICE(12/30/2017)")</f>
        <v>2673.61</v>
      </c>
      <c r="E532" s="15">
        <f>D532/C532-1</f>
        <v>0.2957554668114144</v>
      </c>
      <c r="F532" s="8" t="s">
        <v>6349</v>
      </c>
      <c r="G532" s="8" t="s">
        <v>6350</v>
      </c>
      <c r="H532" s="13">
        <f>_xll.FDS(G532,"FG_PRICE(12/30/2015)")</f>
        <v>4.7999999999999996E-3</v>
      </c>
      <c r="I532" s="13" t="e">
        <f>_xll.FDS(G532,"FG_PRICE(12/31/2017)")</f>
        <v>#N/A</v>
      </c>
      <c r="J532" s="13" t="e">
        <f>I532/H532-1</f>
        <v>#N/A</v>
      </c>
      <c r="K532" s="13" t="e">
        <f>J532-E532</f>
        <v>#N/A</v>
      </c>
      <c r="L532" s="13" t="e">
        <f>_xll.FDS(G532,"FF_ROE(ANN_R,12/30/2015)")</f>
        <v>#N/A</v>
      </c>
      <c r="M532" s="8" t="s">
        <v>6351</v>
      </c>
      <c r="N532" s="4" t="s">
        <v>6351</v>
      </c>
      <c r="O532" s="4" t="s">
        <v>47</v>
      </c>
      <c r="P532" s="4" t="s">
        <v>320</v>
      </c>
      <c r="Q532" s="4" t="s">
        <v>56</v>
      </c>
      <c r="R532" s="4" t="s">
        <v>61</v>
      </c>
      <c r="S532" s="4" t="s">
        <v>62</v>
      </c>
      <c r="T532" s="6" t="e">
        <v>#N/A</v>
      </c>
      <c r="U532" s="5">
        <v>50</v>
      </c>
      <c r="V532" s="5">
        <v>39</v>
      </c>
      <c r="W532" s="5">
        <v>54</v>
      </c>
      <c r="X532" s="5">
        <v>61</v>
      </c>
      <c r="Y532" s="5">
        <v>20.97</v>
      </c>
      <c r="Z532" s="6">
        <v>1.61</v>
      </c>
      <c r="AA532" s="5">
        <v>36.020000000000003</v>
      </c>
      <c r="AB532" s="5">
        <v>44.62</v>
      </c>
      <c r="AC532" s="6">
        <v>0.35</v>
      </c>
      <c r="AD532" s="6">
        <v>0.4</v>
      </c>
      <c r="AE532" s="6">
        <v>0.25</v>
      </c>
      <c r="AF532" s="4" t="s">
        <v>6296</v>
      </c>
      <c r="AG532" s="4" t="s">
        <v>6296</v>
      </c>
      <c r="AH532" s="4" t="s">
        <v>6296</v>
      </c>
      <c r="AI532" s="4" t="s">
        <v>6296</v>
      </c>
      <c r="AJ532" s="4" t="s">
        <v>6296</v>
      </c>
      <c r="AK532" s="4" t="s">
        <v>6296</v>
      </c>
      <c r="AL532" s="4" t="s">
        <v>6296</v>
      </c>
      <c r="AM532" s="4" t="s">
        <v>6296</v>
      </c>
      <c r="AN532" s="4" t="s">
        <v>6296</v>
      </c>
      <c r="AO532" s="4" t="s">
        <v>6296</v>
      </c>
      <c r="AP532" s="4" t="s">
        <v>6352</v>
      </c>
      <c r="AQ532" s="4" t="s">
        <v>47</v>
      </c>
    </row>
    <row r="533" spans="1:43" ht="12.6" customHeight="1" x14ac:dyDescent="0.25">
      <c r="A533" s="8" t="s">
        <v>4727</v>
      </c>
      <c r="B533" s="9">
        <v>20151231</v>
      </c>
      <c r="C533" s="12">
        <f>_xll.FDS("SPX","FG_PRICE(12/30/2015)")</f>
        <v>2063.36</v>
      </c>
      <c r="D533" s="12">
        <f>_xll.FDS("SPX","FG_PRICE(12/30/2017)")</f>
        <v>2673.61</v>
      </c>
      <c r="E533" s="15">
        <f>D533/C533-1</f>
        <v>0.2957554668114144</v>
      </c>
      <c r="F533" s="8" t="s">
        <v>4728</v>
      </c>
      <c r="G533" s="8" t="s">
        <v>4729</v>
      </c>
      <c r="H533" s="13">
        <f>_xll.FDS(G533,"FG_PRICE(12/30/2015)")</f>
        <v>1.21</v>
      </c>
      <c r="I533" s="13" t="e">
        <f>_xll.FDS(G533,"FG_PRICE(12/31/2017)")</f>
        <v>#N/A</v>
      </c>
      <c r="J533" s="13" t="e">
        <f>I533/H533-1</f>
        <v>#N/A</v>
      </c>
      <c r="K533" s="13" t="e">
        <f>J533-E533</f>
        <v>#N/A</v>
      </c>
      <c r="L533" s="13">
        <f>_xll.FDS(G533,"FF_ROE(ANN_R,12/30/2015)")</f>
        <v>-8.7958714453391238</v>
      </c>
      <c r="M533" s="8" t="s">
        <v>4730</v>
      </c>
      <c r="N533" s="4" t="s">
        <v>4731</v>
      </c>
      <c r="O533" s="4" t="s">
        <v>4732</v>
      </c>
      <c r="P533" s="4" t="s">
        <v>106</v>
      </c>
      <c r="Q533" s="4" t="s">
        <v>56</v>
      </c>
      <c r="R533" s="4" t="s">
        <v>61</v>
      </c>
      <c r="S533" s="4" t="s">
        <v>62</v>
      </c>
      <c r="T533" s="6" t="e">
        <v>#N/A</v>
      </c>
      <c r="U533" s="5">
        <v>45</v>
      </c>
      <c r="V533" s="5">
        <v>41</v>
      </c>
      <c r="W533" s="5">
        <v>48</v>
      </c>
      <c r="X533" s="5">
        <v>46</v>
      </c>
      <c r="Y533" s="6">
        <v>3.76</v>
      </c>
      <c r="Z533" s="5">
        <v>11.83</v>
      </c>
      <c r="AA533" s="5">
        <v>13.44</v>
      </c>
      <c r="AB533" s="6">
        <v>4.84</v>
      </c>
      <c r="AC533" s="6">
        <v>0.35</v>
      </c>
      <c r="AD533" s="6">
        <v>0.4</v>
      </c>
      <c r="AE533" s="6">
        <v>0.25</v>
      </c>
      <c r="AF533" s="4" t="s">
        <v>6296</v>
      </c>
      <c r="AG533" s="4" t="s">
        <v>6296</v>
      </c>
      <c r="AH533" s="4" t="s">
        <v>6296</v>
      </c>
      <c r="AI533" s="4" t="s">
        <v>6296</v>
      </c>
      <c r="AJ533" s="4" t="s">
        <v>6296</v>
      </c>
      <c r="AK533" s="4" t="s">
        <v>6296</v>
      </c>
      <c r="AL533" s="4" t="s">
        <v>6296</v>
      </c>
      <c r="AM533" s="4" t="s">
        <v>6296</v>
      </c>
      <c r="AN533" s="4" t="s">
        <v>6296</v>
      </c>
      <c r="AO533" s="4" t="s">
        <v>6296</v>
      </c>
      <c r="AP533" s="4" t="s">
        <v>4733</v>
      </c>
      <c r="AQ533" s="4" t="s">
        <v>47</v>
      </c>
    </row>
    <row r="534" spans="1:43" ht="12.6" customHeight="1" x14ac:dyDescent="0.25">
      <c r="A534" s="8" t="s">
        <v>5478</v>
      </c>
      <c r="B534" s="9">
        <v>20151231</v>
      </c>
      <c r="C534" s="12">
        <f>_xll.FDS("SPX","FG_PRICE(12/30/2015)")</f>
        <v>2063.36</v>
      </c>
      <c r="D534" s="12">
        <f>_xll.FDS("SPX","FG_PRICE(12/30/2017)")</f>
        <v>2673.61</v>
      </c>
      <c r="E534" s="15">
        <f>D534/C534-1</f>
        <v>0.2957554668114144</v>
      </c>
      <c r="F534" s="8" t="s">
        <v>5479</v>
      </c>
      <c r="G534" s="8" t="s">
        <v>5480</v>
      </c>
      <c r="H534" s="13">
        <f>_xll.FDS(G534,"FG_PRICE(12/30/2015)")</f>
        <v>7.85</v>
      </c>
      <c r="I534" s="13">
        <f>_xll.FDS(G534,"FG_PRICE(12/31/2017)")</f>
        <v>10.61</v>
      </c>
      <c r="J534" s="13">
        <f>I534/H534-1</f>
        <v>0.35159235668789801</v>
      </c>
      <c r="K534" s="13">
        <f>J534-E534</f>
        <v>5.5836889876483609E-2</v>
      </c>
      <c r="L534" s="13">
        <f>_xll.FDS(G534,"FF_ROE(ANN_R,12/30/2015)")</f>
        <v>18.732289010201882</v>
      </c>
      <c r="M534" s="8" t="s">
        <v>5481</v>
      </c>
      <c r="N534" s="4" t="s">
        <v>5482</v>
      </c>
      <c r="O534" s="4" t="s">
        <v>5483</v>
      </c>
      <c r="P534" s="4" t="s">
        <v>96</v>
      </c>
      <c r="Q534" s="4" t="s">
        <v>56</v>
      </c>
      <c r="R534" s="4" t="s">
        <v>61</v>
      </c>
      <c r="S534" s="4" t="s">
        <v>62</v>
      </c>
      <c r="T534" s="6" t="e">
        <v>#N/A</v>
      </c>
      <c r="U534" s="5">
        <v>49</v>
      </c>
      <c r="V534" s="5">
        <v>45</v>
      </c>
      <c r="W534" s="5">
        <v>52</v>
      </c>
      <c r="X534" s="5">
        <v>51</v>
      </c>
      <c r="Y534" s="5">
        <v>13.98</v>
      </c>
      <c r="Z534" s="5">
        <v>30.11</v>
      </c>
      <c r="AA534" s="5">
        <v>30.65</v>
      </c>
      <c r="AB534" s="5">
        <v>12.37</v>
      </c>
      <c r="AC534" s="6">
        <v>0.35</v>
      </c>
      <c r="AD534" s="6">
        <v>0.4</v>
      </c>
      <c r="AE534" s="6">
        <v>0.25</v>
      </c>
      <c r="AF534" s="4" t="s">
        <v>6296</v>
      </c>
      <c r="AG534" s="4" t="s">
        <v>6296</v>
      </c>
      <c r="AH534" s="4" t="s">
        <v>6296</v>
      </c>
      <c r="AI534" s="4" t="s">
        <v>6296</v>
      </c>
      <c r="AJ534" s="4" t="s">
        <v>6296</v>
      </c>
      <c r="AK534" s="4" t="s">
        <v>6296</v>
      </c>
      <c r="AL534" s="4" t="s">
        <v>6296</v>
      </c>
      <c r="AM534" s="4" t="s">
        <v>6296</v>
      </c>
      <c r="AN534" s="4" t="s">
        <v>6296</v>
      </c>
      <c r="AO534" s="4" t="s">
        <v>6296</v>
      </c>
      <c r="AP534" s="4" t="s">
        <v>5484</v>
      </c>
      <c r="AQ534" s="4" t="s">
        <v>47</v>
      </c>
    </row>
    <row r="535" spans="1:43" ht="12.6" customHeight="1" x14ac:dyDescent="0.25">
      <c r="A535" s="8" t="s">
        <v>4127</v>
      </c>
      <c r="B535" s="9">
        <v>20151231</v>
      </c>
      <c r="C535" s="12">
        <f>_xll.FDS("SPX","FG_PRICE(12/30/2015)")</f>
        <v>2063.36</v>
      </c>
      <c r="D535" s="12">
        <f>_xll.FDS("SPX","FG_PRICE(12/30/2017)")</f>
        <v>2673.61</v>
      </c>
      <c r="E535" s="15">
        <f>D535/C535-1</f>
        <v>0.2957554668114144</v>
      </c>
      <c r="F535" s="8" t="s">
        <v>4128</v>
      </c>
      <c r="G535" s="8" t="s">
        <v>4129</v>
      </c>
      <c r="H535" s="13">
        <f>_xll.FDS(G535,"FG_PRICE(12/30/2015)")</f>
        <v>12.38</v>
      </c>
      <c r="I535" s="13">
        <f>_xll.FDS(G535,"FG_PRICE(12/31/2017)")</f>
        <v>16.93</v>
      </c>
      <c r="J535" s="13">
        <f>I535/H535-1</f>
        <v>0.3675282714054926</v>
      </c>
      <c r="K535" s="13">
        <f>J535-E535</f>
        <v>7.1772804594078199E-2</v>
      </c>
      <c r="L535" s="13">
        <f>_xll.FDS(G535,"FF_ROE(ANN_R,12/30/2015)")</f>
        <v>4.8013080963234556</v>
      </c>
      <c r="M535" s="8" t="s">
        <v>4130</v>
      </c>
      <c r="N535" s="4" t="s">
        <v>4130</v>
      </c>
      <c r="O535" s="4" t="s">
        <v>4131</v>
      </c>
      <c r="P535" s="4" t="s">
        <v>96</v>
      </c>
      <c r="Q535" s="4" t="s">
        <v>56</v>
      </c>
      <c r="R535" s="4" t="s">
        <v>61</v>
      </c>
      <c r="S535" s="4" t="s">
        <v>62</v>
      </c>
      <c r="T535" s="6" t="e">
        <v>#N/A</v>
      </c>
      <c r="U535" s="5">
        <v>62</v>
      </c>
      <c r="V535" s="5">
        <v>59</v>
      </c>
      <c r="W535" s="5">
        <v>65</v>
      </c>
      <c r="X535" s="5">
        <v>64</v>
      </c>
      <c r="Y535" s="5">
        <v>69.349999999999994</v>
      </c>
      <c r="Z535" s="5">
        <v>70.430000000000007</v>
      </c>
      <c r="AA535" s="5">
        <v>65.59</v>
      </c>
      <c r="AB535" s="5">
        <v>61.83</v>
      </c>
      <c r="AC535" s="6">
        <v>0.35</v>
      </c>
      <c r="AD535" s="6">
        <v>0.4</v>
      </c>
      <c r="AE535" s="6">
        <v>0.25</v>
      </c>
      <c r="AF535" s="4" t="s">
        <v>37</v>
      </c>
      <c r="AG535" s="4" t="s">
        <v>6296</v>
      </c>
      <c r="AH535" s="4" t="s">
        <v>6296</v>
      </c>
      <c r="AI535" s="4" t="s">
        <v>37</v>
      </c>
      <c r="AJ535" s="4" t="s">
        <v>42</v>
      </c>
      <c r="AK535" s="4" t="s">
        <v>6296</v>
      </c>
      <c r="AL535" s="4" t="s">
        <v>42</v>
      </c>
      <c r="AM535" s="4" t="s">
        <v>6296</v>
      </c>
      <c r="AN535" s="4" t="s">
        <v>6296</v>
      </c>
      <c r="AO535" s="4" t="s">
        <v>6296</v>
      </c>
      <c r="AP535" s="4" t="s">
        <v>4132</v>
      </c>
      <c r="AQ535" s="4" t="s">
        <v>47</v>
      </c>
    </row>
    <row r="536" spans="1:43" ht="12.6" customHeight="1" x14ac:dyDescent="0.25">
      <c r="A536" s="8" t="s">
        <v>2766</v>
      </c>
      <c r="B536" s="9">
        <v>20151231</v>
      </c>
      <c r="C536" s="12">
        <f>_xll.FDS("SPX","FG_PRICE(12/30/2015)")</f>
        <v>2063.36</v>
      </c>
      <c r="D536" s="12">
        <f>_xll.FDS("SPX","FG_PRICE(12/30/2017)")</f>
        <v>2673.61</v>
      </c>
      <c r="E536" s="15">
        <f>D536/C536-1</f>
        <v>0.2957554668114144</v>
      </c>
      <c r="F536" s="8" t="s">
        <v>2767</v>
      </c>
      <c r="G536" s="8" t="s">
        <v>2768</v>
      </c>
      <c r="H536" s="13">
        <f>_xll.FDS(G536,"FG_PRICE(12/30/2015)")</f>
        <v>21.95</v>
      </c>
      <c r="I536" s="13">
        <f>_xll.FDS(G536,"FG_PRICE(12/31/2017)")</f>
        <v>31.05</v>
      </c>
      <c r="J536" s="13">
        <f>I536/H536-1</f>
        <v>0.41457858769931666</v>
      </c>
      <c r="K536" s="13">
        <f>J536-E536</f>
        <v>0.11882312088790226</v>
      </c>
      <c r="L536" s="13">
        <f>_xll.FDS(G536,"FF_ROE(ANN_R,12/30/2015)")</f>
        <v>11.939696073728459</v>
      </c>
      <c r="M536" s="8" t="s">
        <v>2769</v>
      </c>
      <c r="N536" s="4" t="s">
        <v>2769</v>
      </c>
      <c r="O536" s="4" t="s">
        <v>2770</v>
      </c>
      <c r="P536" s="4" t="s">
        <v>96</v>
      </c>
      <c r="Q536" s="4" t="s">
        <v>56</v>
      </c>
      <c r="R536" s="4" t="s">
        <v>61</v>
      </c>
      <c r="S536" s="4" t="s">
        <v>62</v>
      </c>
      <c r="T536" s="6" t="e">
        <v>#N/A</v>
      </c>
      <c r="U536" s="5">
        <v>55</v>
      </c>
      <c r="V536" s="5">
        <v>47</v>
      </c>
      <c r="W536" s="5">
        <v>55</v>
      </c>
      <c r="X536" s="5">
        <v>66</v>
      </c>
      <c r="Y536" s="5">
        <v>44.62</v>
      </c>
      <c r="Z536" s="5">
        <v>36.020000000000003</v>
      </c>
      <c r="AA536" s="5">
        <v>39.78</v>
      </c>
      <c r="AB536" s="5">
        <v>69.349999999999994</v>
      </c>
      <c r="AC536" s="6">
        <v>0.35</v>
      </c>
      <c r="AD536" s="6">
        <v>0.4</v>
      </c>
      <c r="AE536" s="6">
        <v>0.25</v>
      </c>
      <c r="AF536" s="4" t="s">
        <v>42</v>
      </c>
      <c r="AG536" s="4" t="s">
        <v>6296</v>
      </c>
      <c r="AH536" s="4" t="s">
        <v>6296</v>
      </c>
      <c r="AI536" s="4" t="s">
        <v>6296</v>
      </c>
      <c r="AJ536" s="4" t="s">
        <v>6296</v>
      </c>
      <c r="AK536" s="4" t="s">
        <v>6296</v>
      </c>
      <c r="AL536" s="4" t="s">
        <v>42</v>
      </c>
      <c r="AM536" s="4" t="s">
        <v>42</v>
      </c>
      <c r="AN536" s="4" t="s">
        <v>6296</v>
      </c>
      <c r="AO536" s="4" t="s">
        <v>6296</v>
      </c>
      <c r="AP536" s="4" t="s">
        <v>2771</v>
      </c>
      <c r="AQ536" s="4" t="s">
        <v>47</v>
      </c>
    </row>
    <row r="537" spans="1:43" ht="12.6" customHeight="1" x14ac:dyDescent="0.25">
      <c r="A537" s="8" t="s">
        <v>2900</v>
      </c>
      <c r="B537" s="9">
        <v>20151231</v>
      </c>
      <c r="C537" s="12">
        <f>_xll.FDS("SPX","FG_PRICE(12/30/2015)")</f>
        <v>2063.36</v>
      </c>
      <c r="D537" s="12">
        <f>_xll.FDS("SPX","FG_PRICE(12/30/2017)")</f>
        <v>2673.61</v>
      </c>
      <c r="E537" s="15">
        <f>D537/C537-1</f>
        <v>0.2957554668114144</v>
      </c>
      <c r="F537" s="8" t="s">
        <v>2901</v>
      </c>
      <c r="G537" s="8" t="s">
        <v>2902</v>
      </c>
      <c r="H537" s="13">
        <f>_xll.FDS(G537,"FG_PRICE(12/30/2015)")</f>
        <v>32.22</v>
      </c>
      <c r="I537" s="13">
        <f>_xll.FDS(G537,"FG_PRICE(12/31/2017)")</f>
        <v>29.14</v>
      </c>
      <c r="J537" s="13">
        <f>I537/H537-1</f>
        <v>-9.5592799503413928E-2</v>
      </c>
      <c r="K537" s="13">
        <f>J537-E537</f>
        <v>-0.39134826631482833</v>
      </c>
      <c r="L537" s="13">
        <f>_xll.FDS(G537,"FF_ROE(ANN_R,12/30/2015)")</f>
        <v>12.445537956840431</v>
      </c>
      <c r="M537" s="8" t="s">
        <v>2903</v>
      </c>
      <c r="N537" s="4" t="s">
        <v>2904</v>
      </c>
      <c r="O537" s="4" t="s">
        <v>2905</v>
      </c>
      <c r="P537" s="4" t="s">
        <v>96</v>
      </c>
      <c r="Q537" s="4" t="s">
        <v>56</v>
      </c>
      <c r="R537" s="4" t="s">
        <v>61</v>
      </c>
      <c r="S537" s="4" t="s">
        <v>62</v>
      </c>
      <c r="T537" s="6" t="e">
        <v>#N/A</v>
      </c>
      <c r="U537" s="5">
        <v>63</v>
      </c>
      <c r="V537" s="5">
        <v>56</v>
      </c>
      <c r="W537" s="5">
        <v>69</v>
      </c>
      <c r="X537" s="5">
        <v>63</v>
      </c>
      <c r="Y537" s="5">
        <v>73.66</v>
      </c>
      <c r="Z537" s="5">
        <v>62.37</v>
      </c>
      <c r="AA537" s="5">
        <v>77.42</v>
      </c>
      <c r="AB537" s="5">
        <v>53.76</v>
      </c>
      <c r="AC537" s="6">
        <v>0.35</v>
      </c>
      <c r="AD537" s="6">
        <v>0.4</v>
      </c>
      <c r="AE537" s="6">
        <v>0.25</v>
      </c>
      <c r="AF537" s="4" t="s">
        <v>42</v>
      </c>
      <c r="AG537" s="4" t="s">
        <v>6296</v>
      </c>
      <c r="AH537" s="4" t="s">
        <v>6296</v>
      </c>
      <c r="AI537" s="4" t="s">
        <v>6296</v>
      </c>
      <c r="AJ537" s="4" t="s">
        <v>6296</v>
      </c>
      <c r="AK537" s="4" t="s">
        <v>42</v>
      </c>
      <c r="AL537" s="4" t="s">
        <v>6296</v>
      </c>
      <c r="AM537" s="4" t="s">
        <v>6296</v>
      </c>
      <c r="AN537" s="4" t="s">
        <v>6296</v>
      </c>
      <c r="AO537" s="4" t="s">
        <v>6296</v>
      </c>
      <c r="AP537" s="4" t="s">
        <v>2906</v>
      </c>
      <c r="AQ537" s="4" t="s">
        <v>47</v>
      </c>
    </row>
    <row r="538" spans="1:43" ht="12.6" customHeight="1" x14ac:dyDescent="0.25">
      <c r="A538" s="8" t="s">
        <v>2858</v>
      </c>
      <c r="B538" s="9">
        <v>20151231</v>
      </c>
      <c r="C538" s="12">
        <f>_xll.FDS("SPX","FG_PRICE(12/30/2015)")</f>
        <v>2063.36</v>
      </c>
      <c r="D538" s="12">
        <f>_xll.FDS("SPX","FG_PRICE(12/30/2017)")</f>
        <v>2673.61</v>
      </c>
      <c r="E538" s="15">
        <f>D538/C538-1</f>
        <v>0.2957554668114144</v>
      </c>
      <c r="F538" s="8" t="s">
        <v>2859</v>
      </c>
      <c r="G538" s="8" t="s">
        <v>2860</v>
      </c>
      <c r="H538" s="13">
        <f>_xll.FDS(G538,"FG_PRICE(12/30/2015)")</f>
        <v>31.85</v>
      </c>
      <c r="I538" s="13">
        <f>_xll.FDS(G538,"FG_PRICE(12/31/2017)")</f>
        <v>31.53</v>
      </c>
      <c r="J538" s="13">
        <f>I538/H538-1</f>
        <v>-1.0047095761381519E-2</v>
      </c>
      <c r="K538" s="13">
        <f>J538-E538</f>
        <v>-0.30580256257279592</v>
      </c>
      <c r="L538" s="13">
        <f>_xll.FDS(G538,"FF_ROE(ANN_R,12/30/2015)")</f>
        <v>18.98087312016353</v>
      </c>
      <c r="M538" s="8" t="s">
        <v>2861</v>
      </c>
      <c r="N538" s="4" t="s">
        <v>2862</v>
      </c>
      <c r="O538" s="4" t="s">
        <v>2863</v>
      </c>
      <c r="P538" s="4" t="s">
        <v>96</v>
      </c>
      <c r="Q538" s="4" t="s">
        <v>56</v>
      </c>
      <c r="R538" s="4" t="s">
        <v>61</v>
      </c>
      <c r="S538" s="4" t="s">
        <v>62</v>
      </c>
      <c r="T538" s="6" t="e">
        <v>#N/A</v>
      </c>
      <c r="U538" s="5">
        <v>68</v>
      </c>
      <c r="V538" s="5">
        <v>65</v>
      </c>
      <c r="W538" s="5">
        <v>70</v>
      </c>
      <c r="X538" s="5">
        <v>67</v>
      </c>
      <c r="Y538" s="5">
        <v>82.26</v>
      </c>
      <c r="Z538" s="5">
        <v>83.33</v>
      </c>
      <c r="AA538" s="5">
        <v>79.569999999999993</v>
      </c>
      <c r="AB538" s="5">
        <v>70.97</v>
      </c>
      <c r="AC538" s="6">
        <v>0.35</v>
      </c>
      <c r="AD538" s="6">
        <v>0.4</v>
      </c>
      <c r="AE538" s="6">
        <v>0.25</v>
      </c>
      <c r="AF538" s="4" t="s">
        <v>42</v>
      </c>
      <c r="AG538" s="4" t="s">
        <v>6296</v>
      </c>
      <c r="AH538" s="4" t="s">
        <v>6296</v>
      </c>
      <c r="AI538" s="4" t="s">
        <v>6296</v>
      </c>
      <c r="AJ538" s="4" t="s">
        <v>6296</v>
      </c>
      <c r="AK538" s="4" t="s">
        <v>6296</v>
      </c>
      <c r="AL538" s="4" t="s">
        <v>6296</v>
      </c>
      <c r="AM538" s="4" t="s">
        <v>6296</v>
      </c>
      <c r="AN538" s="4" t="s">
        <v>6296</v>
      </c>
      <c r="AO538" s="4" t="s">
        <v>6296</v>
      </c>
      <c r="AP538" s="4" t="s">
        <v>2864</v>
      </c>
      <c r="AQ538" s="4" t="s">
        <v>47</v>
      </c>
    </row>
    <row r="539" spans="1:43" ht="12.6" customHeight="1" x14ac:dyDescent="0.25">
      <c r="A539" s="8" t="s">
        <v>5370</v>
      </c>
      <c r="B539" s="9">
        <v>20151231</v>
      </c>
      <c r="C539" s="12">
        <f>_xll.FDS("SPX","FG_PRICE(12/30/2015)")</f>
        <v>2063.36</v>
      </c>
      <c r="D539" s="12">
        <f>_xll.FDS("SPX","FG_PRICE(12/30/2017)")</f>
        <v>2673.61</v>
      </c>
      <c r="E539" s="15">
        <f>D539/C539-1</f>
        <v>0.2957554668114144</v>
      </c>
      <c r="F539" s="8" t="s">
        <v>5371</v>
      </c>
      <c r="G539" s="8" t="s">
        <v>5372</v>
      </c>
      <c r="H539" s="13">
        <f>_xll.FDS(G539,"FG_PRICE(12/30/2015)")</f>
        <v>6.81</v>
      </c>
      <c r="I539" s="13">
        <f>_xll.FDS(G539,"FG_PRICE(12/31/2017)")</f>
        <v>8.41</v>
      </c>
      <c r="J539" s="13">
        <f>I539/H539-1</f>
        <v>0.23494860499265791</v>
      </c>
      <c r="K539" s="13">
        <f>J539-E539</f>
        <v>-6.0806861818756497E-2</v>
      </c>
      <c r="L539" s="13">
        <f>_xll.FDS(G539,"FF_ROE(ANN_R,12/30/2015)")</f>
        <v>31.474734930220279</v>
      </c>
      <c r="M539" s="8" t="s">
        <v>5373</v>
      </c>
      <c r="N539" s="4" t="s">
        <v>5373</v>
      </c>
      <c r="O539" s="4" t="s">
        <v>5374</v>
      </c>
      <c r="P539" s="4" t="s">
        <v>96</v>
      </c>
      <c r="Q539" s="4" t="s">
        <v>56</v>
      </c>
      <c r="R539" s="4" t="s">
        <v>61</v>
      </c>
      <c r="S539" s="4" t="s">
        <v>62</v>
      </c>
      <c r="T539" s="6" t="e">
        <v>#N/A</v>
      </c>
      <c r="U539" s="5">
        <v>51</v>
      </c>
      <c r="V539" s="5">
        <v>42</v>
      </c>
      <c r="W539" s="5">
        <v>58</v>
      </c>
      <c r="X539" s="5">
        <v>53</v>
      </c>
      <c r="Y539" s="5">
        <v>25.27</v>
      </c>
      <c r="Z539" s="5">
        <v>14.52</v>
      </c>
      <c r="AA539" s="5">
        <v>52.15</v>
      </c>
      <c r="AB539" s="5">
        <v>16.13</v>
      </c>
      <c r="AC539" s="6">
        <v>0.35</v>
      </c>
      <c r="AD539" s="6">
        <v>0.4</v>
      </c>
      <c r="AE539" s="6">
        <v>0.25</v>
      </c>
      <c r="AF539" s="4" t="s">
        <v>42</v>
      </c>
      <c r="AG539" s="4" t="s">
        <v>6296</v>
      </c>
      <c r="AH539" s="4" t="s">
        <v>6296</v>
      </c>
      <c r="AI539" s="4" t="s">
        <v>6296</v>
      </c>
      <c r="AJ539" s="4" t="s">
        <v>6296</v>
      </c>
      <c r="AK539" s="4" t="s">
        <v>6296</v>
      </c>
      <c r="AL539" s="4" t="s">
        <v>6296</v>
      </c>
      <c r="AM539" s="4" t="s">
        <v>6296</v>
      </c>
      <c r="AN539" s="4" t="s">
        <v>6296</v>
      </c>
      <c r="AO539" s="4" t="s">
        <v>6296</v>
      </c>
      <c r="AP539" s="4" t="s">
        <v>5375</v>
      </c>
      <c r="AQ539" s="4" t="s">
        <v>47</v>
      </c>
    </row>
    <row r="540" spans="1:43" ht="12.6" customHeight="1" x14ac:dyDescent="0.25">
      <c r="A540" s="8" t="s">
        <v>2990</v>
      </c>
      <c r="B540" s="9">
        <v>20151231</v>
      </c>
      <c r="C540" s="12">
        <f>_xll.FDS("SPX","FG_PRICE(12/30/2015)")</f>
        <v>2063.36</v>
      </c>
      <c r="D540" s="12">
        <f>_xll.FDS("SPX","FG_PRICE(12/30/2017)")</f>
        <v>2673.61</v>
      </c>
      <c r="E540" s="15">
        <f>D540/C540-1</f>
        <v>0.2957554668114144</v>
      </c>
      <c r="F540" s="8" t="s">
        <v>2991</v>
      </c>
      <c r="G540" s="8" t="s">
        <v>2992</v>
      </c>
      <c r="H540" s="13">
        <f>_xll.FDS(G540,"FG_PRICE(12/30/2015)")</f>
        <v>66.992900000000006</v>
      </c>
      <c r="I540" s="13">
        <f>_xll.FDS(G540,"FG_PRICE(12/31/2017)")</f>
        <v>73.66</v>
      </c>
      <c r="J540" s="13">
        <f>I540/H540-1</f>
        <v>9.9519501320288972E-2</v>
      </c>
      <c r="K540" s="13">
        <f>J540-E540</f>
        <v>-0.19623596549112543</v>
      </c>
      <c r="L540" s="13">
        <f>_xll.FDS(G540,"FF_ROE(ANN_R,12/30/2015)")</f>
        <v>-0.36882884036626762</v>
      </c>
      <c r="M540" s="8" t="s">
        <v>2993</v>
      </c>
      <c r="N540" s="4" t="s">
        <v>2993</v>
      </c>
      <c r="O540" s="4" t="s">
        <v>2994</v>
      </c>
      <c r="P540" s="4" t="s">
        <v>96</v>
      </c>
      <c r="Q540" s="4" t="s">
        <v>56</v>
      </c>
      <c r="R540" s="4" t="s">
        <v>61</v>
      </c>
      <c r="S540" s="4" t="s">
        <v>62</v>
      </c>
      <c r="T540" s="6" t="e">
        <v>#N/A</v>
      </c>
      <c r="U540" s="5">
        <v>76</v>
      </c>
      <c r="V540" s="5">
        <v>68</v>
      </c>
      <c r="W540" s="5">
        <v>89</v>
      </c>
      <c r="X540" s="5">
        <v>67</v>
      </c>
      <c r="Y540" s="5">
        <v>90.86</v>
      </c>
      <c r="Z540" s="5">
        <v>88.71</v>
      </c>
      <c r="AA540" s="5">
        <v>98.92</v>
      </c>
      <c r="AB540" s="5">
        <v>70.97</v>
      </c>
      <c r="AC540" s="6">
        <v>0.35</v>
      </c>
      <c r="AD540" s="6">
        <v>0.4</v>
      </c>
      <c r="AE540" s="6">
        <v>0.25</v>
      </c>
      <c r="AF540" s="4" t="s">
        <v>42</v>
      </c>
      <c r="AG540" s="4" t="s">
        <v>6296</v>
      </c>
      <c r="AH540" s="4" t="s">
        <v>6296</v>
      </c>
      <c r="AI540" s="4" t="s">
        <v>6296</v>
      </c>
      <c r="AJ540" s="4" t="s">
        <v>42</v>
      </c>
      <c r="AK540" s="4" t="s">
        <v>6296</v>
      </c>
      <c r="AL540" s="4" t="s">
        <v>42</v>
      </c>
      <c r="AM540" s="4" t="s">
        <v>6296</v>
      </c>
      <c r="AN540" s="4" t="s">
        <v>6296</v>
      </c>
      <c r="AO540" s="4" t="s">
        <v>6296</v>
      </c>
      <c r="AP540" s="4" t="s">
        <v>2995</v>
      </c>
      <c r="AQ540" s="4" t="s">
        <v>47</v>
      </c>
    </row>
    <row r="541" spans="1:43" ht="12.6" customHeight="1" x14ac:dyDescent="0.25">
      <c r="A541" s="8" t="s">
        <v>3147</v>
      </c>
      <c r="B541" s="9">
        <v>20151231</v>
      </c>
      <c r="C541" s="12">
        <f>_xll.FDS("SPX","FG_PRICE(12/30/2015)")</f>
        <v>2063.36</v>
      </c>
      <c r="D541" s="12">
        <f>_xll.FDS("SPX","FG_PRICE(12/30/2017)")</f>
        <v>2673.61</v>
      </c>
      <c r="E541" s="15">
        <f>D541/C541-1</f>
        <v>0.2957554668114144</v>
      </c>
      <c r="F541" s="8" t="s">
        <v>3148</v>
      </c>
      <c r="G541" s="8" t="s">
        <v>3149</v>
      </c>
      <c r="H541" s="13">
        <f>_xll.FDS(G541,"FG_PRICE(12/30/2015)")</f>
        <v>124.47</v>
      </c>
      <c r="I541" s="13">
        <f>_xll.FDS(G541,"FG_PRICE(12/31/2017)")</f>
        <v>172.85</v>
      </c>
      <c r="J541" s="13">
        <f>I541/H541-1</f>
        <v>0.38868803727805901</v>
      </c>
      <c r="K541" s="13">
        <f>J541-E541</f>
        <v>9.2932570466644604E-2</v>
      </c>
      <c r="L541" s="13">
        <f>_xll.FDS(G541,"FF_ROE(ANN_R,12/30/2015)")</f>
        <v>13.581350842517979</v>
      </c>
      <c r="M541" s="8" t="s">
        <v>3150</v>
      </c>
      <c r="N541" s="4" t="s">
        <v>3150</v>
      </c>
      <c r="O541" s="4" t="s">
        <v>3151</v>
      </c>
      <c r="P541" s="4" t="s">
        <v>96</v>
      </c>
      <c r="Q541" s="4" t="s">
        <v>56</v>
      </c>
      <c r="R541" s="4" t="s">
        <v>61</v>
      </c>
      <c r="S541" s="4" t="s">
        <v>62</v>
      </c>
      <c r="T541" s="6" t="e">
        <v>#N/A</v>
      </c>
      <c r="U541" s="5">
        <v>55</v>
      </c>
      <c r="V541" s="5">
        <v>48</v>
      </c>
      <c r="W541" s="5">
        <v>57</v>
      </c>
      <c r="X541" s="5">
        <v>62</v>
      </c>
      <c r="Y541" s="5">
        <v>44.62</v>
      </c>
      <c r="Z541" s="5">
        <v>41.94</v>
      </c>
      <c r="AA541" s="5">
        <v>46.77</v>
      </c>
      <c r="AB541" s="5">
        <v>49.46</v>
      </c>
      <c r="AC541" s="6">
        <v>0.35</v>
      </c>
      <c r="AD541" s="6">
        <v>0.4</v>
      </c>
      <c r="AE541" s="6">
        <v>0.25</v>
      </c>
      <c r="AF541" s="4" t="s">
        <v>6296</v>
      </c>
      <c r="AG541" s="4" t="s">
        <v>6296</v>
      </c>
      <c r="AH541" s="4" t="s">
        <v>6296</v>
      </c>
      <c r="AI541" s="4" t="s">
        <v>6296</v>
      </c>
      <c r="AJ541" s="4" t="s">
        <v>6296</v>
      </c>
      <c r="AK541" s="4" t="s">
        <v>6296</v>
      </c>
      <c r="AL541" s="4" t="s">
        <v>42</v>
      </c>
      <c r="AM541" s="4" t="s">
        <v>6296</v>
      </c>
      <c r="AN541" s="4" t="s">
        <v>42</v>
      </c>
      <c r="AO541" s="4" t="s">
        <v>6296</v>
      </c>
      <c r="AP541" s="4" t="s">
        <v>3152</v>
      </c>
      <c r="AQ541" s="4" t="s">
        <v>47</v>
      </c>
    </row>
    <row r="542" spans="1:43" ht="12.6" customHeight="1" x14ac:dyDescent="0.25">
      <c r="A542" s="8" t="s">
        <v>5345</v>
      </c>
      <c r="B542" s="9">
        <v>20151231</v>
      </c>
      <c r="C542" s="12">
        <f>_xll.FDS("SPX","FG_PRICE(12/30/2015)")</f>
        <v>2063.36</v>
      </c>
      <c r="D542" s="12">
        <f>_xll.FDS("SPX","FG_PRICE(12/30/2017)")</f>
        <v>2673.61</v>
      </c>
      <c r="E542" s="15">
        <f>D542/C542-1</f>
        <v>0.2957554668114144</v>
      </c>
      <c r="F542" s="8" t="s">
        <v>5346</v>
      </c>
      <c r="G542" s="8" t="s">
        <v>5347</v>
      </c>
      <c r="H542" s="13">
        <f>_xll.FDS(G542,"FG_PRICE(12/30/2015)")</f>
        <v>13.07</v>
      </c>
      <c r="I542" s="13">
        <f>_xll.FDS(G542,"FG_PRICE(12/31/2017)")</f>
        <v>9.57</v>
      </c>
      <c r="J542" s="13">
        <f>I542/H542-1</f>
        <v>-0.26778882938026016</v>
      </c>
      <c r="K542" s="13">
        <f>J542-E542</f>
        <v>-0.56354429619167457</v>
      </c>
      <c r="L542" s="13">
        <f>_xll.FDS(G542,"FF_ROE(ANN_R,12/30/2015)")</f>
        <v>-10.990485647955561</v>
      </c>
      <c r="M542" s="8" t="s">
        <v>5348</v>
      </c>
      <c r="N542" s="4" t="s">
        <v>5349</v>
      </c>
      <c r="O542" s="4" t="s">
        <v>5350</v>
      </c>
      <c r="P542" s="4" t="s">
        <v>96</v>
      </c>
      <c r="Q542" s="4" t="s">
        <v>56</v>
      </c>
      <c r="R542" s="4" t="s">
        <v>61</v>
      </c>
      <c r="S542" s="4" t="s">
        <v>62</v>
      </c>
      <c r="T542" s="6" t="e">
        <v>#N/A</v>
      </c>
      <c r="U542" s="5">
        <v>53</v>
      </c>
      <c r="V542" s="5">
        <v>43</v>
      </c>
      <c r="W542" s="5">
        <v>56</v>
      </c>
      <c r="X542" s="5">
        <v>63</v>
      </c>
      <c r="Y542" s="5">
        <v>37.1</v>
      </c>
      <c r="Z542" s="5">
        <v>19.89</v>
      </c>
      <c r="AA542" s="5">
        <v>43.01</v>
      </c>
      <c r="AB542" s="5">
        <v>53.76</v>
      </c>
      <c r="AC542" s="6">
        <v>0.35</v>
      </c>
      <c r="AD542" s="6">
        <v>0.4</v>
      </c>
      <c r="AE542" s="6">
        <v>0.25</v>
      </c>
      <c r="AF542" s="4" t="s">
        <v>42</v>
      </c>
      <c r="AG542" s="4" t="s">
        <v>6296</v>
      </c>
      <c r="AH542" s="4" t="s">
        <v>6296</v>
      </c>
      <c r="AI542" s="4" t="s">
        <v>6296</v>
      </c>
      <c r="AJ542" s="4" t="s">
        <v>6296</v>
      </c>
      <c r="AK542" s="4" t="s">
        <v>6296</v>
      </c>
      <c r="AL542" s="4" t="s">
        <v>6296</v>
      </c>
      <c r="AM542" s="4" t="s">
        <v>42</v>
      </c>
      <c r="AN542" s="4" t="s">
        <v>6296</v>
      </c>
      <c r="AO542" s="4" t="s">
        <v>6296</v>
      </c>
      <c r="AP542" s="4" t="s">
        <v>5351</v>
      </c>
      <c r="AQ542" s="4" t="s">
        <v>47</v>
      </c>
    </row>
    <row r="543" spans="1:43" ht="12.6" customHeight="1" x14ac:dyDescent="0.25">
      <c r="A543" s="8" t="s">
        <v>2480</v>
      </c>
      <c r="B543" s="9">
        <v>20151231</v>
      </c>
      <c r="C543" s="12">
        <f>_xll.FDS("SPX","FG_PRICE(12/30/2015)")</f>
        <v>2063.36</v>
      </c>
      <c r="D543" s="12">
        <f>_xll.FDS("SPX","FG_PRICE(12/30/2017)")</f>
        <v>2673.61</v>
      </c>
      <c r="E543" s="15">
        <f>D543/C543-1</f>
        <v>0.2957554668114144</v>
      </c>
      <c r="F543" s="8" t="s">
        <v>2481</v>
      </c>
      <c r="G543" s="8" t="s">
        <v>2482</v>
      </c>
      <c r="H543" s="13">
        <f>_xll.FDS(G543,"FG_PRICE(12/30/2015)")</f>
        <v>22.94</v>
      </c>
      <c r="I543" s="13">
        <f>_xll.FDS(G543,"FG_PRICE(12/31/2017)")</f>
        <v>17.059999999999999</v>
      </c>
      <c r="J543" s="13">
        <f>I543/H543-1</f>
        <v>-0.25632083696599839</v>
      </c>
      <c r="K543" s="13">
        <f>J543-E543</f>
        <v>-0.55207630377741279</v>
      </c>
      <c r="L543" s="13">
        <f>_xll.FDS(G543,"FF_ROE(ANN_R,12/30/2015)")</f>
        <v>21.242153919672418</v>
      </c>
      <c r="M543" s="8" t="s">
        <v>2483</v>
      </c>
      <c r="N543" s="4" t="s">
        <v>2483</v>
      </c>
      <c r="O543" s="4" t="s">
        <v>2484</v>
      </c>
      <c r="P543" s="4" t="s">
        <v>96</v>
      </c>
      <c r="Q543" s="4" t="s">
        <v>56</v>
      </c>
      <c r="R543" s="4" t="s">
        <v>61</v>
      </c>
      <c r="S543" s="4" t="s">
        <v>62</v>
      </c>
      <c r="T543" s="6" t="e">
        <v>#N/A</v>
      </c>
      <c r="U543" s="5">
        <v>56</v>
      </c>
      <c r="V543" s="5">
        <v>42</v>
      </c>
      <c r="W543" s="5">
        <v>63</v>
      </c>
      <c r="X543" s="5">
        <v>64</v>
      </c>
      <c r="Y543" s="5">
        <v>49.46</v>
      </c>
      <c r="Z543" s="5">
        <v>14.52</v>
      </c>
      <c r="AA543" s="5">
        <v>61.83</v>
      </c>
      <c r="AB543" s="5">
        <v>61.83</v>
      </c>
      <c r="AC543" s="6">
        <v>0.35</v>
      </c>
      <c r="AD543" s="6">
        <v>0.4</v>
      </c>
      <c r="AE543" s="6">
        <v>0.25</v>
      </c>
      <c r="AF543" s="4" t="s">
        <v>37</v>
      </c>
      <c r="AG543" s="4" t="s">
        <v>6296</v>
      </c>
      <c r="AH543" s="4" t="s">
        <v>6296</v>
      </c>
      <c r="AI543" s="4" t="s">
        <v>6296</v>
      </c>
      <c r="AJ543" s="4" t="s">
        <v>6296</v>
      </c>
      <c r="AK543" s="4" t="s">
        <v>6296</v>
      </c>
      <c r="AL543" s="4" t="s">
        <v>6296</v>
      </c>
      <c r="AM543" s="4" t="s">
        <v>6296</v>
      </c>
      <c r="AN543" s="4" t="s">
        <v>6296</v>
      </c>
      <c r="AO543" s="4" t="s">
        <v>6296</v>
      </c>
      <c r="AP543" s="4" t="s">
        <v>2485</v>
      </c>
      <c r="AQ543" s="4" t="s">
        <v>47</v>
      </c>
    </row>
    <row r="544" spans="1:43" ht="12.6" customHeight="1" x14ac:dyDescent="0.25">
      <c r="A544" s="8" t="s">
        <v>6461</v>
      </c>
      <c r="B544" s="9">
        <v>20151231</v>
      </c>
      <c r="C544" s="12">
        <f>_xll.FDS("SPX","FG_PRICE(12/30/2015)")</f>
        <v>2063.36</v>
      </c>
      <c r="D544" s="12">
        <f>_xll.FDS("SPX","FG_PRICE(12/30/2017)")</f>
        <v>2673.61</v>
      </c>
      <c r="E544" s="15">
        <f>D544/C544-1</f>
        <v>0.2957554668114144</v>
      </c>
      <c r="F544" s="8" t="s">
        <v>6462</v>
      </c>
      <c r="G544" s="8" t="s">
        <v>6463</v>
      </c>
      <c r="H544" s="13">
        <f>_xll.FDS(G544,"FG_PRICE(12/30/2015)")</f>
        <v>0.17</v>
      </c>
      <c r="I544" s="13" t="e">
        <f>_xll.FDS(G544,"FG_PRICE(12/31/2017)")</f>
        <v>#N/A</v>
      </c>
      <c r="J544" s="13" t="e">
        <f>I544/H544-1</f>
        <v>#N/A</v>
      </c>
      <c r="K544" s="13" t="e">
        <f>J544-E544</f>
        <v>#N/A</v>
      </c>
      <c r="L544" s="13">
        <f>_xll.FDS(G544,"FF_ROE(ANN_R,12/30/2015)")</f>
        <v>13.45959424864526</v>
      </c>
      <c r="M544" s="8" t="s">
        <v>6464</v>
      </c>
      <c r="N544" s="4" t="s">
        <v>6465</v>
      </c>
      <c r="O544" s="4" t="s">
        <v>6466</v>
      </c>
      <c r="P544" s="4" t="s">
        <v>320</v>
      </c>
      <c r="Q544" s="4" t="s">
        <v>56</v>
      </c>
      <c r="R544" s="4" t="s">
        <v>61</v>
      </c>
      <c r="S544" s="4" t="s">
        <v>62</v>
      </c>
      <c r="T544" s="6" t="e">
        <v>#N/A</v>
      </c>
      <c r="U544" s="5">
        <v>48</v>
      </c>
      <c r="V544" s="5">
        <v>42</v>
      </c>
      <c r="W544" s="5">
        <v>48</v>
      </c>
      <c r="X544" s="5">
        <v>56</v>
      </c>
      <c r="Y544" s="5">
        <v>12.37</v>
      </c>
      <c r="Z544" s="5">
        <v>14.52</v>
      </c>
      <c r="AA544" s="5">
        <v>13.44</v>
      </c>
      <c r="AB544" s="5">
        <v>27.42</v>
      </c>
      <c r="AC544" s="6">
        <v>0.35</v>
      </c>
      <c r="AD544" s="6">
        <v>0.4</v>
      </c>
      <c r="AE544" s="6">
        <v>0.25</v>
      </c>
      <c r="AF544" s="4" t="s">
        <v>6296</v>
      </c>
      <c r="AG544" s="4" t="s">
        <v>6296</v>
      </c>
      <c r="AH544" s="4" t="s">
        <v>6296</v>
      </c>
      <c r="AI544" s="4" t="s">
        <v>6296</v>
      </c>
      <c r="AJ544" s="4" t="s">
        <v>6296</v>
      </c>
      <c r="AK544" s="4" t="s">
        <v>42</v>
      </c>
      <c r="AL544" s="4" t="s">
        <v>42</v>
      </c>
      <c r="AM544" s="4" t="s">
        <v>42</v>
      </c>
      <c r="AN544" s="4" t="s">
        <v>42</v>
      </c>
      <c r="AO544" s="4" t="s">
        <v>6296</v>
      </c>
      <c r="AP544" s="4" t="s">
        <v>6467</v>
      </c>
      <c r="AQ544" s="4" t="s">
        <v>47</v>
      </c>
    </row>
    <row r="545" spans="1:43" ht="12.6" customHeight="1" x14ac:dyDescent="0.25">
      <c r="A545" s="8" t="s">
        <v>3495</v>
      </c>
      <c r="B545" s="9">
        <v>20151231</v>
      </c>
      <c r="C545" s="12">
        <f>_xll.FDS("SPX","FG_PRICE(12/30/2015)")</f>
        <v>2063.36</v>
      </c>
      <c r="D545" s="12">
        <f>_xll.FDS("SPX","FG_PRICE(12/30/2017)")</f>
        <v>2673.61</v>
      </c>
      <c r="E545" s="15">
        <f>D545/C545-1</f>
        <v>0.2957554668114144</v>
      </c>
      <c r="F545" s="8" t="s">
        <v>3496</v>
      </c>
      <c r="G545" s="8" t="s">
        <v>3497</v>
      </c>
      <c r="H545" s="13">
        <f>_xll.FDS(G545,"FG_PRICE(12/30/2015)")</f>
        <v>18.22</v>
      </c>
      <c r="I545" s="13">
        <f>_xll.FDS(G545,"FG_PRICE(12/31/2017)")</f>
        <v>22.08</v>
      </c>
      <c r="J545" s="13">
        <f>I545/H545-1</f>
        <v>0.21185510428100995</v>
      </c>
      <c r="K545" s="13">
        <f>J545-E545</f>
        <v>-8.3900362530404449E-2</v>
      </c>
      <c r="L545" s="13">
        <f>_xll.FDS(G545,"FF_ROE(ANN_R,12/30/2015)")</f>
        <v>34.213694909124911</v>
      </c>
      <c r="M545" s="8" t="s">
        <v>3498</v>
      </c>
      <c r="N545" s="4" t="s">
        <v>3498</v>
      </c>
      <c r="O545" s="4" t="s">
        <v>3499</v>
      </c>
      <c r="P545" s="4" t="s">
        <v>96</v>
      </c>
      <c r="Q545" s="4" t="s">
        <v>56</v>
      </c>
      <c r="R545" s="4" t="s">
        <v>61</v>
      </c>
      <c r="S545" s="4" t="s">
        <v>62</v>
      </c>
      <c r="T545" s="6" t="e">
        <v>#N/A</v>
      </c>
      <c r="U545" s="5">
        <v>47</v>
      </c>
      <c r="V545" s="5">
        <v>39</v>
      </c>
      <c r="W545" s="5">
        <v>45</v>
      </c>
      <c r="X545" s="5">
        <v>61</v>
      </c>
      <c r="Y545" s="6">
        <v>9.14</v>
      </c>
      <c r="Z545" s="6">
        <v>1.61</v>
      </c>
      <c r="AA545" s="6">
        <v>3.23</v>
      </c>
      <c r="AB545" s="5">
        <v>44.62</v>
      </c>
      <c r="AC545" s="6">
        <v>0.35</v>
      </c>
      <c r="AD545" s="6">
        <v>0.4</v>
      </c>
      <c r="AE545" s="6">
        <v>0.25</v>
      </c>
      <c r="AF545" s="4" t="s">
        <v>6296</v>
      </c>
      <c r="AG545" s="4" t="s">
        <v>6296</v>
      </c>
      <c r="AH545" s="4" t="s">
        <v>6296</v>
      </c>
      <c r="AI545" s="4" t="s">
        <v>6296</v>
      </c>
      <c r="AJ545" s="4" t="s">
        <v>6296</v>
      </c>
      <c r="AK545" s="4" t="s">
        <v>6296</v>
      </c>
      <c r="AL545" s="4" t="s">
        <v>6296</v>
      </c>
      <c r="AM545" s="4" t="s">
        <v>6296</v>
      </c>
      <c r="AN545" s="4" t="s">
        <v>6296</v>
      </c>
      <c r="AO545" s="4" t="s">
        <v>6296</v>
      </c>
      <c r="AP545" s="4" t="s">
        <v>3500</v>
      </c>
      <c r="AQ545" s="4" t="s">
        <v>47</v>
      </c>
    </row>
    <row r="546" spans="1:43" ht="12.6" customHeight="1" x14ac:dyDescent="0.25">
      <c r="A546" s="8" t="s">
        <v>3745</v>
      </c>
      <c r="B546" s="9">
        <v>20151231</v>
      </c>
      <c r="C546" s="12">
        <f>_xll.FDS("SPX","FG_PRICE(12/30/2015)")</f>
        <v>2063.36</v>
      </c>
      <c r="D546" s="12">
        <f>_xll.FDS("SPX","FG_PRICE(12/30/2017)")</f>
        <v>2673.61</v>
      </c>
      <c r="E546" s="15">
        <f>D546/C546-1</f>
        <v>0.2957554668114144</v>
      </c>
      <c r="F546" s="8" t="s">
        <v>3746</v>
      </c>
      <c r="G546" s="8" t="s">
        <v>3747</v>
      </c>
      <c r="H546" s="13">
        <f>_xll.FDS(G546,"FG_PRICE(12/30/2015)")</f>
        <v>6.3</v>
      </c>
      <c r="I546" s="13">
        <f>_xll.FDS(G546,"FG_PRICE(12/31/2017)")</f>
        <v>5.58</v>
      </c>
      <c r="J546" s="13">
        <f>I546/H546-1</f>
        <v>-0.11428571428571421</v>
      </c>
      <c r="K546" s="13">
        <f>J546-E546</f>
        <v>-0.41004118109712862</v>
      </c>
      <c r="L546" s="13">
        <f>_xll.FDS(G546,"FF_ROE(ANN_R,12/30/2015)")</f>
        <v>22.307982950327311</v>
      </c>
      <c r="M546" s="8" t="s">
        <v>3748</v>
      </c>
      <c r="N546" s="4" t="s">
        <v>3748</v>
      </c>
      <c r="O546" s="4" t="s">
        <v>3749</v>
      </c>
      <c r="P546" s="4" t="s">
        <v>96</v>
      </c>
      <c r="Q546" s="4" t="s">
        <v>56</v>
      </c>
      <c r="R546" s="4" t="s">
        <v>61</v>
      </c>
      <c r="S546" s="4" t="s">
        <v>62</v>
      </c>
      <c r="T546" s="6" t="e">
        <v>#N/A</v>
      </c>
      <c r="U546" s="5">
        <v>52</v>
      </c>
      <c r="V546" s="5">
        <v>50</v>
      </c>
      <c r="W546" s="5">
        <v>46</v>
      </c>
      <c r="X546" s="5">
        <v>67</v>
      </c>
      <c r="Y546" s="5">
        <v>31.72</v>
      </c>
      <c r="Z546" s="5">
        <v>45.16</v>
      </c>
      <c r="AA546" s="6">
        <v>8.6</v>
      </c>
      <c r="AB546" s="5">
        <v>70.97</v>
      </c>
      <c r="AC546" s="6">
        <v>0.35</v>
      </c>
      <c r="AD546" s="6">
        <v>0.4</v>
      </c>
      <c r="AE546" s="6">
        <v>0.25</v>
      </c>
      <c r="AF546" s="4" t="s">
        <v>42</v>
      </c>
      <c r="AG546" s="4" t="s">
        <v>6296</v>
      </c>
      <c r="AH546" s="4" t="s">
        <v>6296</v>
      </c>
      <c r="AI546" s="4" t="s">
        <v>6296</v>
      </c>
      <c r="AJ546" s="4" t="s">
        <v>6296</v>
      </c>
      <c r="AK546" s="4" t="s">
        <v>6296</v>
      </c>
      <c r="AL546" s="4" t="s">
        <v>46</v>
      </c>
      <c r="AM546" s="4" t="s">
        <v>6296</v>
      </c>
      <c r="AN546" s="4" t="s">
        <v>6296</v>
      </c>
      <c r="AO546" s="4" t="s">
        <v>6296</v>
      </c>
      <c r="AP546" s="4" t="s">
        <v>3750</v>
      </c>
      <c r="AQ546" s="4" t="s">
        <v>47</v>
      </c>
    </row>
    <row r="547" spans="1:43" ht="12.6" customHeight="1" x14ac:dyDescent="0.25">
      <c r="A547" s="8" t="s">
        <v>3291</v>
      </c>
      <c r="B547" s="9">
        <v>20151231</v>
      </c>
      <c r="C547" s="12">
        <f>_xll.FDS("SPX","FG_PRICE(12/30/2015)")</f>
        <v>2063.36</v>
      </c>
      <c r="D547" s="12">
        <f>_xll.FDS("SPX","FG_PRICE(12/30/2017)")</f>
        <v>2673.61</v>
      </c>
      <c r="E547" s="15">
        <f>D547/C547-1</f>
        <v>0.2957554668114144</v>
      </c>
      <c r="F547" s="8" t="s">
        <v>3292</v>
      </c>
      <c r="G547" s="8" t="s">
        <v>3293</v>
      </c>
      <c r="H547" s="13">
        <f>_xll.FDS(G547,"FG_PRICE(12/30/2015)")</f>
        <v>2.44</v>
      </c>
      <c r="I547" s="13" t="e">
        <f>_xll.FDS(G547,"FG_PRICE(12/31/2017)")</f>
        <v>#N/A</v>
      </c>
      <c r="J547" s="13" t="e">
        <f>I547/H547-1</f>
        <v>#N/A</v>
      </c>
      <c r="K547" s="13" t="e">
        <f>J547-E547</f>
        <v>#N/A</v>
      </c>
      <c r="L547" s="13" t="e">
        <f>_xll.FDS(G547,"FF_ROE(ANN_R,12/30/2015)")</f>
        <v>#N/A</v>
      </c>
      <c r="M547" s="8" t="s">
        <v>3294</v>
      </c>
      <c r="N547" s="4" t="s">
        <v>3294</v>
      </c>
      <c r="O547" s="4" t="s">
        <v>3295</v>
      </c>
      <c r="P547" s="4" t="s">
        <v>96</v>
      </c>
      <c r="Q547" s="4" t="s">
        <v>56</v>
      </c>
      <c r="R547" s="4" t="s">
        <v>61</v>
      </c>
      <c r="S547" s="4" t="s">
        <v>62</v>
      </c>
      <c r="T547" s="6" t="e">
        <v>#N/A</v>
      </c>
      <c r="U547" s="5">
        <v>49</v>
      </c>
      <c r="V547" s="5">
        <v>41</v>
      </c>
      <c r="W547" s="5">
        <v>51</v>
      </c>
      <c r="X547" s="5">
        <v>56</v>
      </c>
      <c r="Y547" s="5">
        <v>13.98</v>
      </c>
      <c r="Z547" s="5">
        <v>11.83</v>
      </c>
      <c r="AA547" s="5">
        <v>26.34</v>
      </c>
      <c r="AB547" s="5">
        <v>27.42</v>
      </c>
      <c r="AC547" s="6">
        <v>0.35</v>
      </c>
      <c r="AD547" s="6">
        <v>0.4</v>
      </c>
      <c r="AE547" s="6">
        <v>0.25</v>
      </c>
      <c r="AF547" s="4" t="s">
        <v>42</v>
      </c>
      <c r="AG547" s="4" t="s">
        <v>6296</v>
      </c>
      <c r="AH547" s="4" t="s">
        <v>6296</v>
      </c>
      <c r="AI547" s="4" t="s">
        <v>6296</v>
      </c>
      <c r="AJ547" s="4" t="s">
        <v>6296</v>
      </c>
      <c r="AK547" s="4" t="s">
        <v>6296</v>
      </c>
      <c r="AL547" s="4" t="s">
        <v>6296</v>
      </c>
      <c r="AM547" s="4" t="s">
        <v>6296</v>
      </c>
      <c r="AN547" s="4" t="s">
        <v>42</v>
      </c>
      <c r="AO547" s="4" t="s">
        <v>6296</v>
      </c>
      <c r="AP547" s="4" t="s">
        <v>3296</v>
      </c>
      <c r="AQ547" s="4" t="s">
        <v>47</v>
      </c>
    </row>
    <row r="548" spans="1:43" ht="12.6" customHeight="1" x14ac:dyDescent="0.25">
      <c r="A548" s="8" t="s">
        <v>891</v>
      </c>
      <c r="B548" s="9">
        <v>20151231</v>
      </c>
      <c r="C548" s="12">
        <f>_xll.FDS("SPX","FG_PRICE(12/30/2015)")</f>
        <v>2063.36</v>
      </c>
      <c r="D548" s="12">
        <f>_xll.FDS("SPX","FG_PRICE(12/30/2017)")</f>
        <v>2673.61</v>
      </c>
      <c r="E548" s="15">
        <f>D548/C548-1</f>
        <v>0.2957554668114144</v>
      </c>
      <c r="F548" s="8" t="s">
        <v>892</v>
      </c>
      <c r="G548" s="8" t="s">
        <v>893</v>
      </c>
      <c r="H548" s="13">
        <f>_xll.FDS(G548,"FG_PRICE(12/30/2015)")</f>
        <v>34.56</v>
      </c>
      <c r="I548" s="13">
        <f>_xll.FDS(G548,"FG_PRICE(12/31/2017)")</f>
        <v>26.48</v>
      </c>
      <c r="J548" s="13">
        <f>I548/H548-1</f>
        <v>-0.23379629629629628</v>
      </c>
      <c r="K548" s="13">
        <f>J548-E548</f>
        <v>-0.52955176310771068</v>
      </c>
      <c r="L548" s="13">
        <f>_xll.FDS(G548,"FF_ROE(ANN_R,12/30/2015)")</f>
        <v>1.3609853729825909</v>
      </c>
      <c r="M548" s="8" t="s">
        <v>894</v>
      </c>
      <c r="N548" s="4" t="s">
        <v>894</v>
      </c>
      <c r="O548" s="4" t="s">
        <v>895</v>
      </c>
      <c r="P548" s="4" t="s">
        <v>96</v>
      </c>
      <c r="Q548" s="4" t="s">
        <v>56</v>
      </c>
      <c r="R548" s="4" t="s">
        <v>61</v>
      </c>
      <c r="S548" s="4" t="s">
        <v>62</v>
      </c>
      <c r="T548" s="6" t="e">
        <v>#N/A</v>
      </c>
      <c r="U548" s="5">
        <v>52</v>
      </c>
      <c r="V548" s="5">
        <v>44</v>
      </c>
      <c r="W548" s="5">
        <v>50</v>
      </c>
      <c r="X548" s="5">
        <v>65</v>
      </c>
      <c r="Y548" s="5">
        <v>31.72</v>
      </c>
      <c r="Z548" s="5">
        <v>26.88</v>
      </c>
      <c r="AA548" s="5">
        <v>21.51</v>
      </c>
      <c r="AB548" s="5">
        <v>64.52</v>
      </c>
      <c r="AC548" s="6">
        <v>0.35</v>
      </c>
      <c r="AD548" s="6">
        <v>0.4</v>
      </c>
      <c r="AE548" s="6">
        <v>0.25</v>
      </c>
      <c r="AF548" s="4" t="s">
        <v>6296</v>
      </c>
      <c r="AG548" s="4" t="s">
        <v>6296</v>
      </c>
      <c r="AH548" s="4" t="s">
        <v>6296</v>
      </c>
      <c r="AI548" s="4" t="s">
        <v>6296</v>
      </c>
      <c r="AJ548" s="4" t="s">
        <v>6296</v>
      </c>
      <c r="AK548" s="4" t="s">
        <v>6296</v>
      </c>
      <c r="AL548" s="4" t="s">
        <v>6296</v>
      </c>
      <c r="AM548" s="4" t="s">
        <v>6296</v>
      </c>
      <c r="AN548" s="4" t="s">
        <v>6296</v>
      </c>
      <c r="AO548" s="4" t="s">
        <v>6296</v>
      </c>
      <c r="AP548" s="4" t="s">
        <v>896</v>
      </c>
      <c r="AQ548" s="4" t="s">
        <v>47</v>
      </c>
    </row>
    <row r="549" spans="1:43" ht="12.6" customHeight="1" x14ac:dyDescent="0.25">
      <c r="A549" s="8" t="s">
        <v>5150</v>
      </c>
      <c r="B549" s="9">
        <v>20151231</v>
      </c>
      <c r="C549" s="12">
        <f>_xll.FDS("SPX","FG_PRICE(12/30/2015)")</f>
        <v>2063.36</v>
      </c>
      <c r="D549" s="12">
        <f>_xll.FDS("SPX","FG_PRICE(12/30/2017)")</f>
        <v>2673.61</v>
      </c>
      <c r="E549" s="15">
        <f>D549/C549-1</f>
        <v>0.2957554668114144</v>
      </c>
      <c r="F549" s="8" t="s">
        <v>5151</v>
      </c>
      <c r="G549" s="8" t="s">
        <v>5152</v>
      </c>
      <c r="H549" s="13">
        <f>_xll.FDS(G549,"FG_PRICE(12/30/2015)")</f>
        <v>5.16</v>
      </c>
      <c r="I549" s="13">
        <f>_xll.FDS(G549,"FG_PRICE(12/31/2017)")</f>
        <v>14.07</v>
      </c>
      <c r="J549" s="13">
        <f>I549/H549-1</f>
        <v>1.7267441860465116</v>
      </c>
      <c r="K549" s="13">
        <f>J549-E549</f>
        <v>1.4309887192350972</v>
      </c>
      <c r="L549" s="13">
        <f>_xll.FDS(G549,"FF_ROE(ANN_R,12/30/2015)")</f>
        <v>2.895111532985287</v>
      </c>
      <c r="M549" s="8" t="s">
        <v>5153</v>
      </c>
      <c r="N549" s="4" t="s">
        <v>5154</v>
      </c>
      <c r="O549" s="4" t="s">
        <v>5155</v>
      </c>
      <c r="P549" s="4" t="s">
        <v>96</v>
      </c>
      <c r="Q549" s="4" t="s">
        <v>56</v>
      </c>
      <c r="R549" s="4" t="s">
        <v>61</v>
      </c>
      <c r="S549" s="4" t="s">
        <v>62</v>
      </c>
      <c r="T549" s="6" t="e">
        <v>#N/A</v>
      </c>
      <c r="U549" s="5">
        <v>55</v>
      </c>
      <c r="V549" s="5">
        <v>43</v>
      </c>
      <c r="W549" s="5">
        <v>59</v>
      </c>
      <c r="X549" s="5">
        <v>65</v>
      </c>
      <c r="Y549" s="5">
        <v>44.62</v>
      </c>
      <c r="Z549" s="5">
        <v>19.89</v>
      </c>
      <c r="AA549" s="5">
        <v>54.3</v>
      </c>
      <c r="AB549" s="5">
        <v>64.52</v>
      </c>
      <c r="AC549" s="6">
        <v>0.35</v>
      </c>
      <c r="AD549" s="6">
        <v>0.4</v>
      </c>
      <c r="AE549" s="6">
        <v>0.25</v>
      </c>
      <c r="AF549" s="4" t="s">
        <v>42</v>
      </c>
      <c r="AG549" s="4" t="s">
        <v>6296</v>
      </c>
      <c r="AH549" s="4" t="s">
        <v>6296</v>
      </c>
      <c r="AI549" s="4" t="s">
        <v>6296</v>
      </c>
      <c r="AJ549" s="4" t="s">
        <v>6296</v>
      </c>
      <c r="AK549" s="4" t="s">
        <v>6296</v>
      </c>
      <c r="AL549" s="4" t="s">
        <v>6296</v>
      </c>
      <c r="AM549" s="4" t="s">
        <v>42</v>
      </c>
      <c r="AN549" s="4" t="s">
        <v>6296</v>
      </c>
      <c r="AO549" s="4" t="s">
        <v>6296</v>
      </c>
      <c r="AP549" s="4" t="s">
        <v>5156</v>
      </c>
      <c r="AQ549" s="4" t="s">
        <v>47</v>
      </c>
    </row>
    <row r="550" spans="1:43" ht="12.6" customHeight="1" x14ac:dyDescent="0.25">
      <c r="A550" s="8" t="s">
        <v>4740</v>
      </c>
      <c r="B550" s="9">
        <v>20151231</v>
      </c>
      <c r="C550" s="12">
        <f>_xll.FDS("SPX","FG_PRICE(12/30/2015)")</f>
        <v>2063.36</v>
      </c>
      <c r="D550" s="12">
        <f>_xll.FDS("SPX","FG_PRICE(12/30/2017)")</f>
        <v>2673.61</v>
      </c>
      <c r="E550" s="15">
        <f>D550/C550-1</f>
        <v>0.2957554668114144</v>
      </c>
      <c r="F550" s="8" t="s">
        <v>4741</v>
      </c>
      <c r="G550" s="8" t="s">
        <v>4742</v>
      </c>
      <c r="H550" s="13">
        <f>_xll.FDS(G550,"FG_PRICE(12/30/2015)")</f>
        <v>16.200811000000002</v>
      </c>
      <c r="I550" s="13">
        <f>_xll.FDS(G550,"FG_PRICE(12/31/2017)")</f>
        <v>0.21</v>
      </c>
      <c r="J550" s="13">
        <f>I550/H550-1</f>
        <v>-0.98703768595288222</v>
      </c>
      <c r="K550" s="13">
        <f>J550-E550</f>
        <v>-1.2827931527642966</v>
      </c>
      <c r="L550" s="13">
        <f>_xll.FDS(G550,"FF_ROE(ANN_R,12/30/2015)")</f>
        <v>36.682580721649963</v>
      </c>
      <c r="M550" s="8" t="s">
        <v>4743</v>
      </c>
      <c r="N550" s="4" t="s">
        <v>4744</v>
      </c>
      <c r="O550" s="4" t="s">
        <v>4745</v>
      </c>
      <c r="P550" s="4" t="s">
        <v>96</v>
      </c>
      <c r="Q550" s="4" t="s">
        <v>56</v>
      </c>
      <c r="R550" s="4" t="s">
        <v>61</v>
      </c>
      <c r="S550" s="4" t="s">
        <v>62</v>
      </c>
      <c r="T550" s="6" t="e">
        <v>#N/A</v>
      </c>
      <c r="U550" s="5">
        <v>52</v>
      </c>
      <c r="V550" s="5">
        <v>44</v>
      </c>
      <c r="W550" s="5">
        <v>56</v>
      </c>
      <c r="X550" s="5">
        <v>58</v>
      </c>
      <c r="Y550" s="5">
        <v>31.72</v>
      </c>
      <c r="Z550" s="5">
        <v>26.88</v>
      </c>
      <c r="AA550" s="5">
        <v>43.01</v>
      </c>
      <c r="AB550" s="5">
        <v>36.56</v>
      </c>
      <c r="AC550" s="6">
        <v>0.35</v>
      </c>
      <c r="AD550" s="6">
        <v>0.4</v>
      </c>
      <c r="AE550" s="6">
        <v>0.25</v>
      </c>
      <c r="AF550" s="4" t="s">
        <v>6296</v>
      </c>
      <c r="AG550" s="4" t="s">
        <v>6296</v>
      </c>
      <c r="AH550" s="4" t="s">
        <v>6296</v>
      </c>
      <c r="AI550" s="4" t="s">
        <v>42</v>
      </c>
      <c r="AJ550" s="4" t="s">
        <v>6296</v>
      </c>
      <c r="AK550" s="4" t="s">
        <v>6296</v>
      </c>
      <c r="AL550" s="4" t="s">
        <v>6296</v>
      </c>
      <c r="AM550" s="4" t="s">
        <v>6296</v>
      </c>
      <c r="AN550" s="4" t="s">
        <v>6296</v>
      </c>
      <c r="AO550" s="4" t="s">
        <v>6296</v>
      </c>
      <c r="AP550" s="4" t="s">
        <v>4746</v>
      </c>
      <c r="AQ550" s="4" t="s">
        <v>47</v>
      </c>
    </row>
    <row r="551" spans="1:43" ht="12.6" customHeight="1" x14ac:dyDescent="0.25">
      <c r="A551" s="8" t="s">
        <v>4462</v>
      </c>
      <c r="B551" s="9">
        <v>20151231</v>
      </c>
      <c r="C551" s="12">
        <f>_xll.FDS("SPX","FG_PRICE(12/30/2015)")</f>
        <v>2063.36</v>
      </c>
      <c r="D551" s="12">
        <f>_xll.FDS("SPX","FG_PRICE(12/30/2017)")</f>
        <v>2673.61</v>
      </c>
      <c r="E551" s="15">
        <f>D551/C551-1</f>
        <v>0.2957554668114144</v>
      </c>
      <c r="F551" s="8" t="s">
        <v>4463</v>
      </c>
      <c r="G551" s="8" t="s">
        <v>4464</v>
      </c>
      <c r="H551" s="13">
        <f>_xll.FDS(G551,"FG_PRICE(12/30/2015)")</f>
        <v>89.51</v>
      </c>
      <c r="I551" s="13">
        <f>_xll.FDS(G551,"FG_PRICE(12/31/2017)")</f>
        <v>122.01</v>
      </c>
      <c r="J551" s="13">
        <f>I551/H551-1</f>
        <v>0.3630879231370796</v>
      </c>
      <c r="K551" s="13">
        <f>J551-E551</f>
        <v>6.7332456325665202E-2</v>
      </c>
      <c r="L551" s="13">
        <f>_xll.FDS(G551,"FF_ROE(ANN_R,12/30/2015)")</f>
        <v>11.66977204781505</v>
      </c>
      <c r="M551" s="8" t="s">
        <v>4465</v>
      </c>
      <c r="N551" s="4" t="s">
        <v>4465</v>
      </c>
      <c r="O551" s="4" t="s">
        <v>4466</v>
      </c>
      <c r="P551" s="4" t="s">
        <v>96</v>
      </c>
      <c r="Q551" s="4" t="s">
        <v>56</v>
      </c>
      <c r="R551" s="4" t="s">
        <v>61</v>
      </c>
      <c r="S551" s="4" t="s">
        <v>62</v>
      </c>
      <c r="T551" s="6" t="e">
        <v>#N/A</v>
      </c>
      <c r="U551" s="5">
        <v>51</v>
      </c>
      <c r="V551" s="5">
        <v>42</v>
      </c>
      <c r="W551" s="5">
        <v>52</v>
      </c>
      <c r="X551" s="5">
        <v>62</v>
      </c>
      <c r="Y551" s="5">
        <v>25.27</v>
      </c>
      <c r="Z551" s="5">
        <v>14.52</v>
      </c>
      <c r="AA551" s="5">
        <v>30.65</v>
      </c>
      <c r="AB551" s="5">
        <v>49.46</v>
      </c>
      <c r="AC551" s="6">
        <v>0.35</v>
      </c>
      <c r="AD551" s="6">
        <v>0.4</v>
      </c>
      <c r="AE551" s="6">
        <v>0.25</v>
      </c>
      <c r="AF551" s="4" t="s">
        <v>6296</v>
      </c>
      <c r="AG551" s="4" t="s">
        <v>6296</v>
      </c>
      <c r="AH551" s="4" t="s">
        <v>6296</v>
      </c>
      <c r="AI551" s="4" t="s">
        <v>6296</v>
      </c>
      <c r="AJ551" s="4" t="s">
        <v>6296</v>
      </c>
      <c r="AK551" s="4" t="s">
        <v>6296</v>
      </c>
      <c r="AL551" s="4" t="s">
        <v>6296</v>
      </c>
      <c r="AM551" s="4" t="s">
        <v>6296</v>
      </c>
      <c r="AN551" s="4" t="s">
        <v>6296</v>
      </c>
      <c r="AO551" s="4" t="s">
        <v>6296</v>
      </c>
      <c r="AP551" s="4" t="s">
        <v>4467</v>
      </c>
      <c r="AQ551" s="4" t="s">
        <v>47</v>
      </c>
    </row>
    <row r="552" spans="1:43" ht="12.6" customHeight="1" x14ac:dyDescent="0.25">
      <c r="A552" s="8" t="s">
        <v>1568</v>
      </c>
      <c r="B552" s="9">
        <v>20151231</v>
      </c>
      <c r="C552" s="12">
        <f>_xll.FDS("SPX","FG_PRICE(12/30/2015)")</f>
        <v>2063.36</v>
      </c>
      <c r="D552" s="12">
        <f>_xll.FDS("SPX","FG_PRICE(12/30/2017)")</f>
        <v>2673.61</v>
      </c>
      <c r="E552" s="15">
        <f>D552/C552-1</f>
        <v>0.2957554668114144</v>
      </c>
      <c r="F552" s="8" t="s">
        <v>1569</v>
      </c>
      <c r="G552" s="8" t="s">
        <v>1570</v>
      </c>
      <c r="H552" s="13">
        <f>_xll.FDS(G552,"FG_PRICE(12/30/2015)")</f>
        <v>78.11</v>
      </c>
      <c r="I552" s="13">
        <f>_xll.FDS(G552,"FG_PRICE(12/31/2017)")</f>
        <v>83.64</v>
      </c>
      <c r="J552" s="13">
        <f>I552/H552-1</f>
        <v>7.0797593137882586E-2</v>
      </c>
      <c r="K552" s="13">
        <f>J552-E552</f>
        <v>-0.22495787367353182</v>
      </c>
      <c r="L552" s="13">
        <f>_xll.FDS(G552,"FF_ROE(ANN_R,12/30/2015)")</f>
        <v>18.668090309470099</v>
      </c>
      <c r="M552" s="8" t="s">
        <v>1571</v>
      </c>
      <c r="N552" s="4" t="s">
        <v>1571</v>
      </c>
      <c r="O552" s="4" t="s">
        <v>1572</v>
      </c>
      <c r="P552" s="4" t="s">
        <v>96</v>
      </c>
      <c r="Q552" s="4" t="s">
        <v>56</v>
      </c>
      <c r="R552" s="4" t="s">
        <v>61</v>
      </c>
      <c r="S552" s="4" t="s">
        <v>62</v>
      </c>
      <c r="T552" s="6" t="e">
        <v>#N/A</v>
      </c>
      <c r="U552" s="5">
        <v>67</v>
      </c>
      <c r="V552" s="5">
        <v>59</v>
      </c>
      <c r="W552" s="5">
        <v>73</v>
      </c>
      <c r="X552" s="5">
        <v>66</v>
      </c>
      <c r="Y552" s="5">
        <v>80.650000000000006</v>
      </c>
      <c r="Z552" s="5">
        <v>70.430000000000007</v>
      </c>
      <c r="AA552" s="5">
        <v>82.26</v>
      </c>
      <c r="AB552" s="5">
        <v>69.349999999999994</v>
      </c>
      <c r="AC552" s="6">
        <v>0.35</v>
      </c>
      <c r="AD552" s="6">
        <v>0.4</v>
      </c>
      <c r="AE552" s="6">
        <v>0.25</v>
      </c>
      <c r="AF552" s="4" t="s">
        <v>46</v>
      </c>
      <c r="AG552" s="4" t="s">
        <v>6296</v>
      </c>
      <c r="AH552" s="4" t="s">
        <v>6296</v>
      </c>
      <c r="AI552" s="4" t="s">
        <v>37</v>
      </c>
      <c r="AJ552" s="4" t="s">
        <v>42</v>
      </c>
      <c r="AK552" s="4" t="s">
        <v>42</v>
      </c>
      <c r="AL552" s="4" t="s">
        <v>45</v>
      </c>
      <c r="AM552" s="4" t="s">
        <v>42</v>
      </c>
      <c r="AN552" s="4" t="s">
        <v>37</v>
      </c>
      <c r="AO552" s="4" t="s">
        <v>46</v>
      </c>
      <c r="AP552" s="4" t="s">
        <v>1573</v>
      </c>
      <c r="AQ552" s="4" t="s">
        <v>47</v>
      </c>
    </row>
    <row r="553" spans="1:43" ht="12.6" customHeight="1" x14ac:dyDescent="0.25">
      <c r="A553" s="8" t="s">
        <v>2154</v>
      </c>
      <c r="B553" s="9">
        <v>20151231</v>
      </c>
      <c r="C553" s="12">
        <f>_xll.FDS("SPX","FG_PRICE(12/30/2015)")</f>
        <v>2063.36</v>
      </c>
      <c r="D553" s="12">
        <f>_xll.FDS("SPX","FG_PRICE(12/30/2017)")</f>
        <v>2673.61</v>
      </c>
      <c r="E553" s="15">
        <f>D553/C553-1</f>
        <v>0.2957554668114144</v>
      </c>
      <c r="F553" s="8" t="s">
        <v>2155</v>
      </c>
      <c r="G553" s="8" t="s">
        <v>2156</v>
      </c>
      <c r="H553" s="13">
        <f>_xll.FDS(G553,"FG_PRICE(12/30/2015)")</f>
        <v>38.200000000000003</v>
      </c>
      <c r="I553" s="13">
        <f>_xll.FDS(G553,"FG_PRICE(12/31/2017)")</f>
        <v>57.94</v>
      </c>
      <c r="J553" s="13">
        <f>I553/H553-1</f>
        <v>0.51675392670157061</v>
      </c>
      <c r="K553" s="13">
        <f>J553-E553</f>
        <v>0.22099845989015621</v>
      </c>
      <c r="L553" s="13">
        <f>_xll.FDS(G553,"FF_ROE(ANN_R,12/30/2015)")</f>
        <v>8.5930408472012108</v>
      </c>
      <c r="M553" s="8" t="s">
        <v>2157</v>
      </c>
      <c r="N553" s="4" t="s">
        <v>2157</v>
      </c>
      <c r="O553" s="4" t="s">
        <v>2158</v>
      </c>
      <c r="P553" s="4" t="s">
        <v>96</v>
      </c>
      <c r="Q553" s="4" t="s">
        <v>48</v>
      </c>
      <c r="R553" s="4" t="s">
        <v>61</v>
      </c>
      <c r="S553" s="4" t="s">
        <v>62</v>
      </c>
      <c r="T553" s="6" t="e">
        <v>#N/A</v>
      </c>
      <c r="U553" s="5">
        <v>64</v>
      </c>
      <c r="V553" s="5">
        <v>64</v>
      </c>
      <c r="W553" s="5">
        <v>60</v>
      </c>
      <c r="X553" s="5">
        <v>68</v>
      </c>
      <c r="Y553" s="5">
        <v>51.52</v>
      </c>
      <c r="Z553" s="5">
        <v>48.48</v>
      </c>
      <c r="AA553" s="5">
        <v>51.52</v>
      </c>
      <c r="AB553" s="5">
        <v>48.48</v>
      </c>
      <c r="AC553" s="6">
        <v>0.4</v>
      </c>
      <c r="AD553" s="6">
        <v>0.35</v>
      </c>
      <c r="AE553" s="6">
        <v>0.25</v>
      </c>
      <c r="AF553" s="4" t="s">
        <v>46</v>
      </c>
      <c r="AG553" s="4" t="s">
        <v>6296</v>
      </c>
      <c r="AH553" s="4" t="s">
        <v>6296</v>
      </c>
      <c r="AI553" s="4" t="s">
        <v>37</v>
      </c>
      <c r="AJ553" s="4" t="s">
        <v>37</v>
      </c>
      <c r="AK553" s="4" t="s">
        <v>6296</v>
      </c>
      <c r="AL553" s="4" t="s">
        <v>6296</v>
      </c>
      <c r="AM553" s="4" t="s">
        <v>42</v>
      </c>
      <c r="AN553" s="4" t="s">
        <v>42</v>
      </c>
      <c r="AO553" s="4" t="s">
        <v>6296</v>
      </c>
      <c r="AP553" s="4" t="s">
        <v>2159</v>
      </c>
      <c r="AQ553" s="4" t="s">
        <v>47</v>
      </c>
    </row>
    <row r="554" spans="1:43" ht="12.6" customHeight="1" x14ac:dyDescent="0.25">
      <c r="A554" s="8" t="s">
        <v>6377</v>
      </c>
      <c r="B554" s="9">
        <v>20151231</v>
      </c>
      <c r="C554" s="12">
        <f>_xll.FDS("SPX","FG_PRICE(12/30/2015)")</f>
        <v>2063.36</v>
      </c>
      <c r="D554" s="12">
        <f>_xll.FDS("SPX","FG_PRICE(12/30/2017)")</f>
        <v>2673.61</v>
      </c>
      <c r="E554" s="15">
        <f>D554/C554-1</f>
        <v>0.2957554668114144</v>
      </c>
      <c r="F554" s="8" t="s">
        <v>6378</v>
      </c>
      <c r="G554" s="8" t="s">
        <v>6379</v>
      </c>
      <c r="H554" s="13">
        <f>_xll.FDS(G554,"FG_PRICE(12/30/2015)")</f>
        <v>48.23</v>
      </c>
      <c r="I554" s="13" t="e">
        <f>_xll.FDS(G554,"FG_PRICE(12/31/2017)")</f>
        <v>#N/A</v>
      </c>
      <c r="J554" s="13" t="e">
        <f>I554/H554-1</f>
        <v>#N/A</v>
      </c>
      <c r="K554" s="13" t="e">
        <f>J554-E554</f>
        <v>#N/A</v>
      </c>
      <c r="L554" s="13">
        <f>_xll.FDS(G554,"FF_ROE(ANN_R,12/30/2015)")</f>
        <v>12.21809877248073</v>
      </c>
      <c r="M554" s="8" t="s">
        <v>6380</v>
      </c>
      <c r="N554" s="4" t="s">
        <v>6381</v>
      </c>
      <c r="O554" s="4" t="s">
        <v>4518</v>
      </c>
      <c r="P554" s="4" t="s">
        <v>96</v>
      </c>
      <c r="Q554" s="4" t="s">
        <v>48</v>
      </c>
      <c r="R554" s="4" t="s">
        <v>61</v>
      </c>
      <c r="S554" s="4" t="s">
        <v>62</v>
      </c>
      <c r="T554" s="6" t="e">
        <v>#N/A</v>
      </c>
      <c r="U554" s="5">
        <v>68</v>
      </c>
      <c r="V554" s="5">
        <v>69</v>
      </c>
      <c r="W554" s="5">
        <v>65</v>
      </c>
      <c r="X554" s="5">
        <v>71</v>
      </c>
      <c r="Y554" s="5">
        <v>69.7</v>
      </c>
      <c r="Z554" s="5">
        <v>63.64</v>
      </c>
      <c r="AA554" s="5">
        <v>60.61</v>
      </c>
      <c r="AB554" s="5">
        <v>57.58</v>
      </c>
      <c r="AC554" s="6">
        <v>0.4</v>
      </c>
      <c r="AD554" s="6">
        <v>0.35</v>
      </c>
      <c r="AE554" s="6">
        <v>0.25</v>
      </c>
      <c r="AF554" s="4" t="s">
        <v>6296</v>
      </c>
      <c r="AG554" s="4" t="s">
        <v>6296</v>
      </c>
      <c r="AH554" s="4" t="s">
        <v>6296</v>
      </c>
      <c r="AI554" s="4" t="s">
        <v>42</v>
      </c>
      <c r="AJ554" s="4" t="s">
        <v>6296</v>
      </c>
      <c r="AK554" s="4" t="s">
        <v>6296</v>
      </c>
      <c r="AL554" s="4" t="s">
        <v>6296</v>
      </c>
      <c r="AM554" s="4" t="s">
        <v>6296</v>
      </c>
      <c r="AN554" s="4" t="s">
        <v>6296</v>
      </c>
      <c r="AO554" s="4" t="s">
        <v>6296</v>
      </c>
      <c r="AP554" s="4" t="s">
        <v>6382</v>
      </c>
      <c r="AQ554" s="4" t="s">
        <v>47</v>
      </c>
    </row>
    <row r="555" spans="1:43" ht="12.6" customHeight="1" x14ac:dyDescent="0.25">
      <c r="A555" s="8" t="s">
        <v>2206</v>
      </c>
      <c r="B555" s="9">
        <v>20151231</v>
      </c>
      <c r="C555" s="12">
        <f>_xll.FDS("SPX","FG_PRICE(12/30/2015)")</f>
        <v>2063.36</v>
      </c>
      <c r="D555" s="12">
        <f>_xll.FDS("SPX","FG_PRICE(12/30/2017)")</f>
        <v>2673.61</v>
      </c>
      <c r="E555" s="15">
        <f>D555/C555-1</f>
        <v>0.2957554668114144</v>
      </c>
      <c r="F555" s="8" t="s">
        <v>2207</v>
      </c>
      <c r="G555" s="8" t="s">
        <v>2208</v>
      </c>
      <c r="H555" s="13">
        <f>_xll.FDS(G555,"FG_PRICE(12/30/2015)")</f>
        <v>22.55</v>
      </c>
      <c r="I555" s="13">
        <f>_xll.FDS(G555,"FG_PRICE(12/31/2017)")</f>
        <v>31.63</v>
      </c>
      <c r="J555" s="13">
        <f>I555/H555-1</f>
        <v>0.40266075388026601</v>
      </c>
      <c r="K555" s="13">
        <f>J555-E555</f>
        <v>0.10690528706885161</v>
      </c>
      <c r="L555" s="13">
        <f>_xll.FDS(G555,"FF_ROE(ANN_R,12/30/2015)")</f>
        <v>3.5517709960503421</v>
      </c>
      <c r="M555" s="8" t="s">
        <v>2209</v>
      </c>
      <c r="N555" s="4" t="s">
        <v>2209</v>
      </c>
      <c r="O555" s="4" t="s">
        <v>2210</v>
      </c>
      <c r="P555" s="4" t="s">
        <v>96</v>
      </c>
      <c r="Q555" s="4" t="s">
        <v>48</v>
      </c>
      <c r="R555" s="4" t="s">
        <v>61</v>
      </c>
      <c r="S555" s="4" t="s">
        <v>62</v>
      </c>
      <c r="T555" s="6" t="e">
        <v>#N/A</v>
      </c>
      <c r="U555" s="5">
        <v>46</v>
      </c>
      <c r="V555" s="5">
        <v>37</v>
      </c>
      <c r="W555" s="5">
        <v>45</v>
      </c>
      <c r="X555" s="5">
        <v>60</v>
      </c>
      <c r="Y555" s="6">
        <v>9.09</v>
      </c>
      <c r="Z555" s="6">
        <v>9.09</v>
      </c>
      <c r="AA555" s="6">
        <v>9.09</v>
      </c>
      <c r="AB555" s="5">
        <v>24.24</v>
      </c>
      <c r="AC555" s="6">
        <v>0.4</v>
      </c>
      <c r="AD555" s="6">
        <v>0.35</v>
      </c>
      <c r="AE555" s="6">
        <v>0.25</v>
      </c>
      <c r="AF555" s="4" t="s">
        <v>37</v>
      </c>
      <c r="AG555" s="4" t="s">
        <v>6296</v>
      </c>
      <c r="AH555" s="4" t="s">
        <v>6296</v>
      </c>
      <c r="AI555" s="4" t="s">
        <v>6296</v>
      </c>
      <c r="AJ555" s="4" t="s">
        <v>6296</v>
      </c>
      <c r="AK555" s="4" t="s">
        <v>6296</v>
      </c>
      <c r="AL555" s="4" t="s">
        <v>6296</v>
      </c>
      <c r="AM555" s="4" t="s">
        <v>37</v>
      </c>
      <c r="AN555" s="4" t="s">
        <v>6296</v>
      </c>
      <c r="AO555" s="4" t="s">
        <v>6296</v>
      </c>
      <c r="AP555" s="4" t="s">
        <v>2211</v>
      </c>
      <c r="AQ555" s="4" t="s">
        <v>47</v>
      </c>
    </row>
    <row r="556" spans="1:43" ht="12.6" customHeight="1" x14ac:dyDescent="0.25">
      <c r="A556" s="8" t="s">
        <v>4333</v>
      </c>
      <c r="B556" s="9">
        <v>20151231</v>
      </c>
      <c r="C556" s="12">
        <f>_xll.FDS("SPX","FG_PRICE(12/30/2015)")</f>
        <v>2063.36</v>
      </c>
      <c r="D556" s="12">
        <f>_xll.FDS("SPX","FG_PRICE(12/30/2017)")</f>
        <v>2673.61</v>
      </c>
      <c r="E556" s="15">
        <f>D556/C556-1</f>
        <v>0.2957554668114144</v>
      </c>
      <c r="F556" s="8" t="s">
        <v>4334</v>
      </c>
      <c r="G556" s="8" t="s">
        <v>4335</v>
      </c>
      <c r="H556" s="13">
        <f>_xll.FDS(G556,"FG_PRICE(12/30/2015)")</f>
        <v>30.34</v>
      </c>
      <c r="I556" s="13">
        <f>_xll.FDS(G556,"FG_PRICE(12/31/2017)")</f>
        <v>35.26</v>
      </c>
      <c r="J556" s="13">
        <f>I556/H556-1</f>
        <v>0.16216216216216206</v>
      </c>
      <c r="K556" s="13">
        <f>J556-E556</f>
        <v>-0.13359330464925234</v>
      </c>
      <c r="L556" s="13">
        <f>_xll.FDS(G556,"FF_ROE(ANN_R,12/30/2015)")</f>
        <v>13.687081576989829</v>
      </c>
      <c r="M556" s="8" t="s">
        <v>4336</v>
      </c>
      <c r="N556" s="4" t="s">
        <v>4337</v>
      </c>
      <c r="O556" s="4" t="s">
        <v>4338</v>
      </c>
      <c r="P556" s="4" t="s">
        <v>96</v>
      </c>
      <c r="Q556" s="4" t="s">
        <v>48</v>
      </c>
      <c r="R556" s="4" t="s">
        <v>61</v>
      </c>
      <c r="S556" s="4" t="s">
        <v>62</v>
      </c>
      <c r="T556" s="6" t="e">
        <v>#N/A</v>
      </c>
      <c r="U556" s="5">
        <v>75</v>
      </c>
      <c r="V556" s="5">
        <v>80</v>
      </c>
      <c r="W556" s="5">
        <v>74</v>
      </c>
      <c r="X556" s="5">
        <v>71</v>
      </c>
      <c r="Y556" s="5">
        <v>75.760000000000005</v>
      </c>
      <c r="Z556" s="5">
        <v>84.85</v>
      </c>
      <c r="AA556" s="5">
        <v>81.819999999999993</v>
      </c>
      <c r="AB556" s="5">
        <v>57.58</v>
      </c>
      <c r="AC556" s="6">
        <v>0.4</v>
      </c>
      <c r="AD556" s="6">
        <v>0.35</v>
      </c>
      <c r="AE556" s="6">
        <v>0.25</v>
      </c>
      <c r="AF556" s="4" t="s">
        <v>42</v>
      </c>
      <c r="AG556" s="4" t="s">
        <v>6296</v>
      </c>
      <c r="AH556" s="4" t="s">
        <v>6296</v>
      </c>
      <c r="AI556" s="4" t="s">
        <v>42</v>
      </c>
      <c r="AJ556" s="4" t="s">
        <v>6296</v>
      </c>
      <c r="AK556" s="4" t="s">
        <v>6296</v>
      </c>
      <c r="AL556" s="4" t="s">
        <v>46</v>
      </c>
      <c r="AM556" s="4" t="s">
        <v>6296</v>
      </c>
      <c r="AN556" s="4" t="s">
        <v>6296</v>
      </c>
      <c r="AO556" s="4" t="s">
        <v>6296</v>
      </c>
      <c r="AP556" s="4" t="s">
        <v>4339</v>
      </c>
      <c r="AQ556" s="4" t="s">
        <v>47</v>
      </c>
    </row>
    <row r="557" spans="1:43" ht="12.6" customHeight="1" x14ac:dyDescent="0.25">
      <c r="A557" s="8" t="s">
        <v>5641</v>
      </c>
      <c r="B557" s="9">
        <v>20151231</v>
      </c>
      <c r="C557" s="12">
        <f>_xll.FDS("SPX","FG_PRICE(12/30/2015)")</f>
        <v>2063.36</v>
      </c>
      <c r="D557" s="12">
        <f>_xll.FDS("SPX","FG_PRICE(12/30/2017)")</f>
        <v>2673.61</v>
      </c>
      <c r="E557" s="15">
        <f>D557/C557-1</f>
        <v>0.2957554668114144</v>
      </c>
      <c r="F557" s="8" t="s">
        <v>5642</v>
      </c>
      <c r="G557" s="8" t="s">
        <v>5643</v>
      </c>
      <c r="H557" s="13">
        <f>_xll.FDS(G557,"FG_PRICE(12/30/2015)")</f>
        <v>59.8</v>
      </c>
      <c r="I557" s="13">
        <f>_xll.FDS(G557,"FG_PRICE(12/31/2017)")</f>
        <v>96.71</v>
      </c>
      <c r="J557" s="13">
        <f>I557/H557-1</f>
        <v>0.61722408026755859</v>
      </c>
      <c r="K557" s="13">
        <f>J557-E557</f>
        <v>0.32146861345614419</v>
      </c>
      <c r="L557" s="13">
        <f>_xll.FDS(G557,"FF_ROE(ANN_R,12/30/2015)")</f>
        <v>56.624959897337177</v>
      </c>
      <c r="M557" s="8" t="s">
        <v>5644</v>
      </c>
      <c r="N557" s="4" t="s">
        <v>5645</v>
      </c>
      <c r="O557" s="4" t="s">
        <v>5646</v>
      </c>
      <c r="P557" s="4" t="s">
        <v>96</v>
      </c>
      <c r="Q557" s="4" t="s">
        <v>55</v>
      </c>
      <c r="R557" s="4" t="s">
        <v>61</v>
      </c>
      <c r="S557" s="4" t="s">
        <v>62</v>
      </c>
      <c r="T557" s="6" t="e">
        <v>#N/A</v>
      </c>
      <c r="U557" s="5">
        <v>66</v>
      </c>
      <c r="V557" s="5">
        <v>77</v>
      </c>
      <c r="W557" s="5">
        <v>58</v>
      </c>
      <c r="X557" s="5">
        <v>69</v>
      </c>
      <c r="Y557" s="5">
        <v>85.52</v>
      </c>
      <c r="Z557" s="5">
        <v>84.14</v>
      </c>
      <c r="AA557" s="5">
        <v>84.14</v>
      </c>
      <c r="AB557" s="5">
        <v>77.930000000000007</v>
      </c>
      <c r="AC557" s="6">
        <v>0.25</v>
      </c>
      <c r="AD557" s="6">
        <v>0.45</v>
      </c>
      <c r="AE557" s="6">
        <v>0.3</v>
      </c>
      <c r="AF557" s="4" t="s">
        <v>6296</v>
      </c>
      <c r="AG557" s="4" t="s">
        <v>6296</v>
      </c>
      <c r="AH557" s="4" t="s">
        <v>6296</v>
      </c>
      <c r="AI557" s="4" t="s">
        <v>6296</v>
      </c>
      <c r="AJ557" s="4" t="s">
        <v>42</v>
      </c>
      <c r="AK557" s="4" t="s">
        <v>46</v>
      </c>
      <c r="AL557" s="4" t="s">
        <v>37</v>
      </c>
      <c r="AM557" s="4" t="s">
        <v>6296</v>
      </c>
      <c r="AN557" s="4" t="s">
        <v>6296</v>
      </c>
      <c r="AO557" s="4" t="s">
        <v>42</v>
      </c>
      <c r="AP557" s="4" t="s">
        <v>5647</v>
      </c>
      <c r="AQ557" s="4" t="s">
        <v>47</v>
      </c>
    </row>
    <row r="558" spans="1:43" ht="12.6" customHeight="1" x14ac:dyDescent="0.25">
      <c r="A558" s="8" t="s">
        <v>4531</v>
      </c>
      <c r="B558" s="9">
        <v>20151231</v>
      </c>
      <c r="C558" s="12">
        <f>_xll.FDS("SPX","FG_PRICE(12/30/2015)")</f>
        <v>2063.36</v>
      </c>
      <c r="D558" s="12">
        <f>_xll.FDS("SPX","FG_PRICE(12/30/2017)")</f>
        <v>2673.61</v>
      </c>
      <c r="E558" s="15">
        <f>D558/C558-1</f>
        <v>0.2957554668114144</v>
      </c>
      <c r="F558" s="8" t="s">
        <v>4532</v>
      </c>
      <c r="G558" s="8" t="s">
        <v>4533</v>
      </c>
      <c r="H558" s="13">
        <f>_xll.FDS(G558,"FG_PRICE(12/30/2015)")</f>
        <v>94.51</v>
      </c>
      <c r="I558" s="13">
        <f>_xll.FDS(G558,"FG_PRICE(12/31/2017)")</f>
        <v>127.05</v>
      </c>
      <c r="J558" s="13">
        <f>I558/H558-1</f>
        <v>0.34430219024441855</v>
      </c>
      <c r="K558" s="13">
        <f>J558-E558</f>
        <v>4.8546723433004146E-2</v>
      </c>
      <c r="L558" s="13">
        <f>_xll.FDS(G558,"FF_ROE(ANN_R,12/30/2015)")</f>
        <v>-59.736585187972288</v>
      </c>
      <c r="M558" s="8" t="s">
        <v>4534</v>
      </c>
      <c r="N558" s="4" t="s">
        <v>4535</v>
      </c>
      <c r="O558" s="4" t="s">
        <v>4536</v>
      </c>
      <c r="P558" s="4" t="s">
        <v>106</v>
      </c>
      <c r="Q558" s="4" t="s">
        <v>55</v>
      </c>
      <c r="R558" s="4" t="s">
        <v>61</v>
      </c>
      <c r="S558" s="4" t="s">
        <v>62</v>
      </c>
      <c r="T558" s="6" t="e">
        <v>#N/A</v>
      </c>
      <c r="U558" s="5">
        <v>46</v>
      </c>
      <c r="V558" s="5">
        <v>54</v>
      </c>
      <c r="W558" s="5">
        <v>35</v>
      </c>
      <c r="X558" s="5">
        <v>55</v>
      </c>
      <c r="Y558" s="5">
        <v>14.48</v>
      </c>
      <c r="Z558" s="5">
        <v>44.83</v>
      </c>
      <c r="AA558" s="6">
        <v>1.38</v>
      </c>
      <c r="AB558" s="5">
        <v>34.479999999999997</v>
      </c>
      <c r="AC558" s="6">
        <v>0.25</v>
      </c>
      <c r="AD558" s="6">
        <v>0.45</v>
      </c>
      <c r="AE558" s="6">
        <v>0.3</v>
      </c>
      <c r="AF558" s="4" t="s">
        <v>6296</v>
      </c>
      <c r="AG558" s="4" t="s">
        <v>6296</v>
      </c>
      <c r="AH558" s="4" t="s">
        <v>6296</v>
      </c>
      <c r="AI558" s="4" t="s">
        <v>6296</v>
      </c>
      <c r="AJ558" s="4" t="s">
        <v>6296</v>
      </c>
      <c r="AK558" s="4" t="s">
        <v>6296</v>
      </c>
      <c r="AL558" s="4" t="s">
        <v>6296</v>
      </c>
      <c r="AM558" s="4" t="s">
        <v>6296</v>
      </c>
      <c r="AN558" s="4" t="s">
        <v>6296</v>
      </c>
      <c r="AO558" s="4" t="s">
        <v>6296</v>
      </c>
      <c r="AP558" s="4" t="s">
        <v>4537</v>
      </c>
      <c r="AQ558" s="4" t="s">
        <v>47</v>
      </c>
    </row>
    <row r="559" spans="1:43" ht="12.6" customHeight="1" x14ac:dyDescent="0.25">
      <c r="A559" s="8" t="s">
        <v>294</v>
      </c>
      <c r="B559" s="9">
        <v>20151231</v>
      </c>
      <c r="C559" s="12">
        <f>_xll.FDS("SPX","FG_PRICE(12/30/2015)")</f>
        <v>2063.36</v>
      </c>
      <c r="D559" s="12">
        <f>_xll.FDS("SPX","FG_PRICE(12/30/2017)")</f>
        <v>2673.61</v>
      </c>
      <c r="E559" s="15">
        <f>D559/C559-1</f>
        <v>0.2957554668114144</v>
      </c>
      <c r="F559" s="8" t="s">
        <v>295</v>
      </c>
      <c r="G559" s="8" t="s">
        <v>296</v>
      </c>
      <c r="H559" s="13">
        <f>_xll.FDS(G559,"FG_PRICE(12/30/2015)")</f>
        <v>191.31</v>
      </c>
      <c r="I559" s="13">
        <f>_xll.FDS(G559,"FG_PRICE(12/31/2017)")</f>
        <v>119.59</v>
      </c>
      <c r="J559" s="13">
        <f>I559/H559-1</f>
        <v>-0.37488892373634419</v>
      </c>
      <c r="K559" s="13">
        <f>J559-E559</f>
        <v>-0.6706443905477586</v>
      </c>
      <c r="L559" s="13">
        <f>_xll.FDS(G559,"FF_ROE(ANN_R,12/30/2015)")</f>
        <v>23.114032008954108</v>
      </c>
      <c r="M559" s="8" t="s">
        <v>297</v>
      </c>
      <c r="N559" s="4" t="s">
        <v>298</v>
      </c>
      <c r="O559" s="4" t="s">
        <v>299</v>
      </c>
      <c r="P559" s="4" t="s">
        <v>106</v>
      </c>
      <c r="Q559" s="4" t="s">
        <v>55</v>
      </c>
      <c r="R559" s="4" t="s">
        <v>61</v>
      </c>
      <c r="S559" s="4" t="s">
        <v>62</v>
      </c>
      <c r="T559" s="6" t="e">
        <v>#N/A</v>
      </c>
      <c r="U559" s="5">
        <v>45</v>
      </c>
      <c r="V559" s="5">
        <v>51</v>
      </c>
      <c r="W559" s="5">
        <v>40</v>
      </c>
      <c r="X559" s="5">
        <v>47</v>
      </c>
      <c r="Y559" s="6">
        <v>9.66</v>
      </c>
      <c r="Z559" s="5">
        <v>31.72</v>
      </c>
      <c r="AA559" s="5">
        <v>16.55</v>
      </c>
      <c r="AB559" s="5">
        <v>13.1</v>
      </c>
      <c r="AC559" s="6">
        <v>0.25</v>
      </c>
      <c r="AD559" s="6">
        <v>0.45</v>
      </c>
      <c r="AE559" s="6">
        <v>0.3</v>
      </c>
      <c r="AF559" s="4" t="s">
        <v>6296</v>
      </c>
      <c r="AG559" s="4" t="s">
        <v>6296</v>
      </c>
      <c r="AH559" s="4" t="s">
        <v>6296</v>
      </c>
      <c r="AI559" s="4" t="s">
        <v>6296</v>
      </c>
      <c r="AJ559" s="4" t="s">
        <v>6296</v>
      </c>
      <c r="AK559" s="4" t="s">
        <v>42</v>
      </c>
      <c r="AL559" s="4" t="s">
        <v>6296</v>
      </c>
      <c r="AM559" s="4" t="s">
        <v>37</v>
      </c>
      <c r="AN559" s="4" t="s">
        <v>6296</v>
      </c>
      <c r="AO559" s="4" t="s">
        <v>6296</v>
      </c>
      <c r="AP559" s="4" t="s">
        <v>300</v>
      </c>
      <c r="AQ559" s="4" t="s">
        <v>47</v>
      </c>
    </row>
    <row r="560" spans="1:43" ht="12.6" customHeight="1" x14ac:dyDescent="0.25">
      <c r="A560" s="8" t="s">
        <v>230</v>
      </c>
      <c r="B560" s="9">
        <v>20151231</v>
      </c>
      <c r="C560" s="12">
        <f>_xll.FDS("SPX","FG_PRICE(12/30/2015)")</f>
        <v>2063.36</v>
      </c>
      <c r="D560" s="12">
        <f>_xll.FDS("SPX","FG_PRICE(12/30/2017)")</f>
        <v>2673.61</v>
      </c>
      <c r="E560" s="15">
        <f>D560/C560-1</f>
        <v>0.2957554668114144</v>
      </c>
      <c r="F560" s="8" t="s">
        <v>231</v>
      </c>
      <c r="G560" s="8" t="s">
        <v>232</v>
      </c>
      <c r="H560" s="13">
        <f>_xll.FDS(G560,"FG_PRICE(12/30/2015)")</f>
        <v>163.29</v>
      </c>
      <c r="I560" s="13">
        <f>_xll.FDS(G560,"FG_PRICE(12/31/2017)")</f>
        <v>173.9</v>
      </c>
      <c r="J560" s="13">
        <f>I560/H560-1</f>
        <v>6.4976422316124882E-2</v>
      </c>
      <c r="K560" s="13">
        <f>J560-E560</f>
        <v>-0.23077904449528952</v>
      </c>
      <c r="L560" s="13">
        <f>_xll.FDS(G560,"FF_ROE(ANN_R,12/30/2015)")</f>
        <v>21.548230772444331</v>
      </c>
      <c r="M560" s="8" t="s">
        <v>233</v>
      </c>
      <c r="N560" s="4" t="s">
        <v>233</v>
      </c>
      <c r="O560" s="4" t="s">
        <v>234</v>
      </c>
      <c r="P560" s="4" t="s">
        <v>106</v>
      </c>
      <c r="Q560" s="4" t="s">
        <v>55</v>
      </c>
      <c r="R560" s="4" t="s">
        <v>61</v>
      </c>
      <c r="S560" s="4" t="s">
        <v>62</v>
      </c>
      <c r="T560" s="6" t="e">
        <v>#N/A</v>
      </c>
      <c r="U560" s="5">
        <v>60</v>
      </c>
      <c r="V560" s="5">
        <v>74</v>
      </c>
      <c r="W560" s="5">
        <v>48</v>
      </c>
      <c r="X560" s="5">
        <v>66</v>
      </c>
      <c r="Y560" s="5">
        <v>76.55</v>
      </c>
      <c r="Z560" s="5">
        <v>80</v>
      </c>
      <c r="AA560" s="5">
        <v>58.62</v>
      </c>
      <c r="AB560" s="5">
        <v>67.59</v>
      </c>
      <c r="AC560" s="6">
        <v>0.25</v>
      </c>
      <c r="AD560" s="6">
        <v>0.45</v>
      </c>
      <c r="AE560" s="6">
        <v>0.3</v>
      </c>
      <c r="AF560" s="4" t="s">
        <v>6296</v>
      </c>
      <c r="AG560" s="4" t="s">
        <v>6296</v>
      </c>
      <c r="AH560" s="4" t="s">
        <v>6296</v>
      </c>
      <c r="AI560" s="4" t="s">
        <v>6296</v>
      </c>
      <c r="AJ560" s="4" t="s">
        <v>6296</v>
      </c>
      <c r="AK560" s="4" t="s">
        <v>37</v>
      </c>
      <c r="AL560" s="4" t="s">
        <v>37</v>
      </c>
      <c r="AM560" s="4" t="s">
        <v>37</v>
      </c>
      <c r="AN560" s="4" t="s">
        <v>6296</v>
      </c>
      <c r="AO560" s="4" t="s">
        <v>42</v>
      </c>
      <c r="AP560" s="4" t="s">
        <v>235</v>
      </c>
      <c r="AQ560" s="4" t="s">
        <v>47</v>
      </c>
    </row>
    <row r="561" spans="1:43" ht="12.6" customHeight="1" x14ac:dyDescent="0.25">
      <c r="A561" s="8" t="s">
        <v>499</v>
      </c>
      <c r="B561" s="9">
        <v>20151231</v>
      </c>
      <c r="C561" s="12">
        <f>_xll.FDS("SPX","FG_PRICE(12/30/2015)")</f>
        <v>2063.36</v>
      </c>
      <c r="D561" s="12">
        <f>_xll.FDS("SPX","FG_PRICE(12/30/2017)")</f>
        <v>2673.61</v>
      </c>
      <c r="E561" s="15">
        <f>D561/C561-1</f>
        <v>0.2957554668114144</v>
      </c>
      <c r="F561" s="8" t="s">
        <v>500</v>
      </c>
      <c r="G561" s="8" t="s">
        <v>501</v>
      </c>
      <c r="H561" s="13">
        <f>_xll.FDS(G561,"FG_PRICE(12/30/2015)")</f>
        <v>6.34</v>
      </c>
      <c r="I561" s="13" t="e">
        <f>_xll.FDS(G561,"FG_PRICE(12/31/2017)")</f>
        <v>#N/A</v>
      </c>
      <c r="J561" s="13" t="e">
        <f>I561/H561-1</f>
        <v>#N/A</v>
      </c>
      <c r="K561" s="13" t="e">
        <f>J561-E561</f>
        <v>#N/A</v>
      </c>
      <c r="L561" s="13">
        <f>_xll.FDS(G561,"FF_ROE(ANN_R,12/30/2015)")</f>
        <v>-122.1111603421474</v>
      </c>
      <c r="M561" s="8" t="s">
        <v>502</v>
      </c>
      <c r="N561" s="4" t="s">
        <v>503</v>
      </c>
      <c r="O561" s="4" t="s">
        <v>47</v>
      </c>
      <c r="P561" s="4" t="s">
        <v>106</v>
      </c>
      <c r="Q561" s="4" t="s">
        <v>55</v>
      </c>
      <c r="R561" s="4" t="s">
        <v>61</v>
      </c>
      <c r="S561" s="4" t="s">
        <v>62</v>
      </c>
      <c r="T561" s="6" t="e">
        <v>#N/A</v>
      </c>
      <c r="U561" s="5">
        <v>51</v>
      </c>
      <c r="V561" s="5">
        <v>44</v>
      </c>
      <c r="W561" s="5">
        <v>43</v>
      </c>
      <c r="X561" s="5">
        <v>67</v>
      </c>
      <c r="Y561" s="5">
        <v>45.52</v>
      </c>
      <c r="Z561" s="5">
        <v>11.03</v>
      </c>
      <c r="AA561" s="5">
        <v>30.34</v>
      </c>
      <c r="AB561" s="5">
        <v>70.34</v>
      </c>
      <c r="AC561" s="6">
        <v>0.25</v>
      </c>
      <c r="AD561" s="6">
        <v>0.45</v>
      </c>
      <c r="AE561" s="6">
        <v>0.3</v>
      </c>
      <c r="AF561" s="4" t="s">
        <v>6296</v>
      </c>
      <c r="AG561" s="4" t="s">
        <v>6296</v>
      </c>
      <c r="AH561" s="4" t="s">
        <v>6296</v>
      </c>
      <c r="AI561" s="4" t="s">
        <v>6296</v>
      </c>
      <c r="AJ561" s="4" t="s">
        <v>6296</v>
      </c>
      <c r="AK561" s="4" t="s">
        <v>6296</v>
      </c>
      <c r="AL561" s="4" t="s">
        <v>6296</v>
      </c>
      <c r="AM561" s="4" t="s">
        <v>6296</v>
      </c>
      <c r="AN561" s="4" t="s">
        <v>6296</v>
      </c>
      <c r="AO561" s="4" t="s">
        <v>6296</v>
      </c>
      <c r="AP561" s="4" t="s">
        <v>504</v>
      </c>
      <c r="AQ561" s="4" t="s">
        <v>47</v>
      </c>
    </row>
    <row r="562" spans="1:43" ht="12.6" customHeight="1" x14ac:dyDescent="0.25">
      <c r="A562" s="8" t="s">
        <v>2455</v>
      </c>
      <c r="B562" s="9">
        <v>20151231</v>
      </c>
      <c r="C562" s="12">
        <f>_xll.FDS("SPX","FG_PRICE(12/30/2015)")</f>
        <v>2063.36</v>
      </c>
      <c r="D562" s="12">
        <f>_xll.FDS("SPX","FG_PRICE(12/30/2017)")</f>
        <v>2673.61</v>
      </c>
      <c r="E562" s="15">
        <f>D562/C562-1</f>
        <v>0.2957554668114144</v>
      </c>
      <c r="F562" s="8" t="s">
        <v>2456</v>
      </c>
      <c r="G562" s="8" t="s">
        <v>2457</v>
      </c>
      <c r="H562" s="13">
        <f>_xll.FDS(G562,"FG_PRICE(12/30/2015)")</f>
        <v>42.17</v>
      </c>
      <c r="I562" s="13">
        <f>_xll.FDS(G562,"FG_PRICE(12/31/2017)")</f>
        <v>66.97</v>
      </c>
      <c r="J562" s="13">
        <f>I562/H562-1</f>
        <v>0.58809580270334361</v>
      </c>
      <c r="K562" s="13">
        <f>J562-E562</f>
        <v>0.2923403358919292</v>
      </c>
      <c r="L562" s="13">
        <f>_xll.FDS(G562,"FF_ROE(ANN_R,12/30/2015)")</f>
        <v>9.2522179974651451</v>
      </c>
      <c r="M562" s="8" t="s">
        <v>2458</v>
      </c>
      <c r="N562" s="4" t="s">
        <v>2459</v>
      </c>
      <c r="O562" s="4" t="s">
        <v>2460</v>
      </c>
      <c r="P562" s="4" t="s">
        <v>96</v>
      </c>
      <c r="Q562" s="4" t="s">
        <v>55</v>
      </c>
      <c r="R562" s="4" t="s">
        <v>61</v>
      </c>
      <c r="S562" s="4" t="s">
        <v>62</v>
      </c>
      <c r="T562" s="6" t="e">
        <v>#N/A</v>
      </c>
      <c r="U562" s="5">
        <v>71</v>
      </c>
      <c r="V562" s="5">
        <v>82</v>
      </c>
      <c r="W562" s="5">
        <v>71</v>
      </c>
      <c r="X562" s="5">
        <v>61</v>
      </c>
      <c r="Y562" s="5">
        <v>89.66</v>
      </c>
      <c r="Z562" s="5">
        <v>92.41</v>
      </c>
      <c r="AA562" s="5">
        <v>96.55</v>
      </c>
      <c r="AB562" s="5">
        <v>50.34</v>
      </c>
      <c r="AC562" s="6">
        <v>0.25</v>
      </c>
      <c r="AD562" s="6">
        <v>0.45</v>
      </c>
      <c r="AE562" s="6">
        <v>0.3</v>
      </c>
      <c r="AF562" s="4" t="s">
        <v>6296</v>
      </c>
      <c r="AG562" s="4" t="s">
        <v>6296</v>
      </c>
      <c r="AH562" s="4" t="s">
        <v>6296</v>
      </c>
      <c r="AI562" s="4" t="s">
        <v>6296</v>
      </c>
      <c r="AJ562" s="4" t="s">
        <v>6296</v>
      </c>
      <c r="AK562" s="4" t="s">
        <v>6296</v>
      </c>
      <c r="AL562" s="4" t="s">
        <v>6296</v>
      </c>
      <c r="AM562" s="4" t="s">
        <v>6296</v>
      </c>
      <c r="AN562" s="4" t="s">
        <v>6296</v>
      </c>
      <c r="AO562" s="4" t="s">
        <v>6296</v>
      </c>
      <c r="AP562" s="4" t="s">
        <v>2461</v>
      </c>
      <c r="AQ562" s="4" t="s">
        <v>47</v>
      </c>
    </row>
    <row r="563" spans="1:43" ht="12.6" customHeight="1" x14ac:dyDescent="0.25">
      <c r="A563" s="8" t="s">
        <v>2105</v>
      </c>
      <c r="B563" s="9">
        <v>20151231</v>
      </c>
      <c r="C563" s="12">
        <f>_xll.FDS("SPX","FG_PRICE(12/30/2015)")</f>
        <v>2063.36</v>
      </c>
      <c r="D563" s="12">
        <f>_xll.FDS("SPX","FG_PRICE(12/30/2017)")</f>
        <v>2673.61</v>
      </c>
      <c r="E563" s="15">
        <f>D563/C563-1</f>
        <v>0.2957554668114144</v>
      </c>
      <c r="F563" s="8" t="s">
        <v>2106</v>
      </c>
      <c r="G563" s="8" t="s">
        <v>2107</v>
      </c>
      <c r="H563" s="13">
        <f>_xll.FDS(G563,"FG_PRICE(12/30/2015)")</f>
        <v>284.01236</v>
      </c>
      <c r="I563" s="13">
        <f>_xll.FDS(G563,"FG_PRICE(12/31/2017)")</f>
        <v>318.57</v>
      </c>
      <c r="J563" s="13">
        <f>I563/H563-1</f>
        <v>0.12167653548599078</v>
      </c>
      <c r="K563" s="13">
        <f>J563-E563</f>
        <v>-0.17407893132542362</v>
      </c>
      <c r="L563" s="13">
        <f>_xll.FDS(G563,"FF_ROE(ANN_R,12/30/2015)")</f>
        <v>30.20995352780437</v>
      </c>
      <c r="M563" s="8" t="s">
        <v>2108</v>
      </c>
      <c r="N563" s="4" t="s">
        <v>2108</v>
      </c>
      <c r="O563" s="4" t="s">
        <v>2109</v>
      </c>
      <c r="P563" s="4" t="s">
        <v>106</v>
      </c>
      <c r="Q563" s="4" t="s">
        <v>55</v>
      </c>
      <c r="R563" s="4" t="s">
        <v>61</v>
      </c>
      <c r="S563" s="4" t="s">
        <v>62</v>
      </c>
      <c r="T563" s="6" t="e">
        <v>#N/A</v>
      </c>
      <c r="U563" s="5">
        <v>74</v>
      </c>
      <c r="V563" s="5">
        <v>83</v>
      </c>
      <c r="W563" s="5">
        <v>68</v>
      </c>
      <c r="X563" s="5">
        <v>77</v>
      </c>
      <c r="Y563" s="5">
        <v>93.1</v>
      </c>
      <c r="Z563" s="5">
        <v>93.79</v>
      </c>
      <c r="AA563" s="5">
        <v>92.41</v>
      </c>
      <c r="AB563" s="5">
        <v>91.72</v>
      </c>
      <c r="AC563" s="6">
        <v>0.25</v>
      </c>
      <c r="AD563" s="6">
        <v>0.45</v>
      </c>
      <c r="AE563" s="6">
        <v>0.3</v>
      </c>
      <c r="AF563" s="4" t="s">
        <v>6296</v>
      </c>
      <c r="AG563" s="4" t="s">
        <v>6296</v>
      </c>
      <c r="AH563" s="4" t="s">
        <v>6296</v>
      </c>
      <c r="AI563" s="4" t="s">
        <v>6296</v>
      </c>
      <c r="AJ563" s="4" t="s">
        <v>6296</v>
      </c>
      <c r="AK563" s="4" t="s">
        <v>42</v>
      </c>
      <c r="AL563" s="4" t="s">
        <v>6296</v>
      </c>
      <c r="AM563" s="4" t="s">
        <v>42</v>
      </c>
      <c r="AN563" s="4" t="s">
        <v>42</v>
      </c>
      <c r="AO563" s="4" t="s">
        <v>6296</v>
      </c>
      <c r="AP563" s="4" t="s">
        <v>2110</v>
      </c>
      <c r="AQ563" s="4" t="s">
        <v>47</v>
      </c>
    </row>
    <row r="564" spans="1:43" ht="12.6" customHeight="1" x14ac:dyDescent="0.25">
      <c r="A564" s="8" t="s">
        <v>628</v>
      </c>
      <c r="B564" s="9">
        <v>20151231</v>
      </c>
      <c r="C564" s="12">
        <f>_xll.FDS("SPX","FG_PRICE(12/30/2015)")</f>
        <v>2063.36</v>
      </c>
      <c r="D564" s="12">
        <f>_xll.FDS("SPX","FG_PRICE(12/30/2017)")</f>
        <v>2673.61</v>
      </c>
      <c r="E564" s="15">
        <f>D564/C564-1</f>
        <v>0.2957554668114144</v>
      </c>
      <c r="F564" s="8" t="s">
        <v>629</v>
      </c>
      <c r="G564" s="8" t="s">
        <v>630</v>
      </c>
      <c r="H564" s="13">
        <f>_xll.FDS(G564,"FG_PRICE(12/30/2015)")</f>
        <v>139.57</v>
      </c>
      <c r="I564" s="13">
        <f>_xll.FDS(G564,"FG_PRICE(12/31/2017)")</f>
        <v>238.67</v>
      </c>
      <c r="J564" s="13">
        <f>I564/H564-1</f>
        <v>0.71003797377659961</v>
      </c>
      <c r="K564" s="13">
        <f>J564-E564</f>
        <v>0.4142825069651852</v>
      </c>
      <c r="L564" s="13">
        <f>_xll.FDS(G564,"FF_ROE(ANN_R,12/30/2015)")</f>
        <v>4.0643869898444072</v>
      </c>
      <c r="M564" s="8" t="s">
        <v>631</v>
      </c>
      <c r="N564" s="4" t="s">
        <v>632</v>
      </c>
      <c r="O564" s="4" t="s">
        <v>633</v>
      </c>
      <c r="P564" s="4" t="s">
        <v>96</v>
      </c>
      <c r="Q564" s="4" t="s">
        <v>55</v>
      </c>
      <c r="R564" s="4" t="s">
        <v>61</v>
      </c>
      <c r="S564" s="4" t="s">
        <v>62</v>
      </c>
      <c r="T564" s="6" t="e">
        <v>#N/A</v>
      </c>
      <c r="U564" s="5">
        <v>50</v>
      </c>
      <c r="V564" s="5">
        <v>49</v>
      </c>
      <c r="W564" s="5">
        <v>44</v>
      </c>
      <c r="X564" s="5">
        <v>58</v>
      </c>
      <c r="Y564" s="5">
        <v>36.549999999999997</v>
      </c>
      <c r="Z564" s="5">
        <v>27.59</v>
      </c>
      <c r="AA564" s="5">
        <v>40</v>
      </c>
      <c r="AB564" s="5">
        <v>42.07</v>
      </c>
      <c r="AC564" s="6">
        <v>0.25</v>
      </c>
      <c r="AD564" s="6">
        <v>0.45</v>
      </c>
      <c r="AE564" s="6">
        <v>0.3</v>
      </c>
      <c r="AF564" s="4" t="s">
        <v>6296</v>
      </c>
      <c r="AG564" s="4" t="s">
        <v>6296</v>
      </c>
      <c r="AH564" s="4" t="s">
        <v>6296</v>
      </c>
      <c r="AI564" s="4" t="s">
        <v>6296</v>
      </c>
      <c r="AJ564" s="4" t="s">
        <v>6296</v>
      </c>
      <c r="AK564" s="4" t="s">
        <v>6296</v>
      </c>
      <c r="AL564" s="4" t="s">
        <v>6296</v>
      </c>
      <c r="AM564" s="4" t="s">
        <v>42</v>
      </c>
      <c r="AN564" s="4" t="s">
        <v>6296</v>
      </c>
      <c r="AO564" s="4" t="s">
        <v>6296</v>
      </c>
      <c r="AP564" s="4" t="s">
        <v>634</v>
      </c>
      <c r="AQ564" s="4" t="s">
        <v>47</v>
      </c>
    </row>
    <row r="565" spans="1:43" ht="12.6" customHeight="1" x14ac:dyDescent="0.25">
      <c r="A565" s="8" t="s">
        <v>2028</v>
      </c>
      <c r="B565" s="9">
        <v>20151231</v>
      </c>
      <c r="C565" s="12">
        <f>_xll.FDS("SPX","FG_PRICE(12/30/2015)")</f>
        <v>2063.36</v>
      </c>
      <c r="D565" s="12">
        <f>_xll.FDS("SPX","FG_PRICE(12/30/2017)")</f>
        <v>2673.61</v>
      </c>
      <c r="E565" s="15">
        <f>D565/C565-1</f>
        <v>0.2957554668114144</v>
      </c>
      <c r="F565" s="8" t="s">
        <v>2029</v>
      </c>
      <c r="G565" s="8" t="s">
        <v>2030</v>
      </c>
      <c r="H565" s="13">
        <f>_xll.FDS(G565,"FG_PRICE(12/30/2015)")</f>
        <v>105.77</v>
      </c>
      <c r="I565" s="13">
        <f>_xll.FDS(G565,"FG_PRICE(12/31/2017)")</f>
        <v>89.17</v>
      </c>
      <c r="J565" s="13">
        <f>I565/H565-1</f>
        <v>-0.15694431313226809</v>
      </c>
      <c r="K565" s="13">
        <f>J565-E565</f>
        <v>-0.45269977994368249</v>
      </c>
      <c r="L565" s="13">
        <f>_xll.FDS(G565,"FF_ROE(ANN_R,12/30/2015)")</f>
        <v>-9.3392844383020179</v>
      </c>
      <c r="M565" s="8" t="s">
        <v>2031</v>
      </c>
      <c r="N565" s="4" t="s">
        <v>2031</v>
      </c>
      <c r="O565" s="4" t="s">
        <v>2032</v>
      </c>
      <c r="P565" s="4" t="s">
        <v>106</v>
      </c>
      <c r="Q565" s="4" t="s">
        <v>55</v>
      </c>
      <c r="R565" s="4" t="s">
        <v>61</v>
      </c>
      <c r="S565" s="4" t="s">
        <v>62</v>
      </c>
      <c r="T565" s="6" t="e">
        <v>#N/A</v>
      </c>
      <c r="U565" s="5">
        <v>53</v>
      </c>
      <c r="V565" s="5">
        <v>47</v>
      </c>
      <c r="W565" s="5">
        <v>46</v>
      </c>
      <c r="X565" s="5">
        <v>67</v>
      </c>
      <c r="Y565" s="5">
        <v>52.41</v>
      </c>
      <c r="Z565" s="5">
        <v>21.38</v>
      </c>
      <c r="AA565" s="5">
        <v>48.97</v>
      </c>
      <c r="AB565" s="5">
        <v>70.34</v>
      </c>
      <c r="AC565" s="6">
        <v>0.25</v>
      </c>
      <c r="AD565" s="6">
        <v>0.45</v>
      </c>
      <c r="AE565" s="6">
        <v>0.3</v>
      </c>
      <c r="AF565" s="4" t="s">
        <v>6296</v>
      </c>
      <c r="AG565" s="4" t="s">
        <v>6296</v>
      </c>
      <c r="AH565" s="4" t="s">
        <v>6296</v>
      </c>
      <c r="AI565" s="4" t="s">
        <v>6296</v>
      </c>
      <c r="AJ565" s="4" t="s">
        <v>6296</v>
      </c>
      <c r="AK565" s="4" t="s">
        <v>6296</v>
      </c>
      <c r="AL565" s="4" t="s">
        <v>6296</v>
      </c>
      <c r="AM565" s="4" t="s">
        <v>6296</v>
      </c>
      <c r="AN565" s="4" t="s">
        <v>6296</v>
      </c>
      <c r="AO565" s="4" t="s">
        <v>6296</v>
      </c>
      <c r="AP565" s="4" t="s">
        <v>2033</v>
      </c>
      <c r="AQ565" s="4" t="s">
        <v>47</v>
      </c>
    </row>
    <row r="566" spans="1:43" ht="12.6" customHeight="1" x14ac:dyDescent="0.25">
      <c r="A566" s="8" t="s">
        <v>740</v>
      </c>
      <c r="B566" s="9">
        <v>20151231</v>
      </c>
      <c r="C566" s="12">
        <f>_xll.FDS("SPX","FG_PRICE(12/30/2015)")</f>
        <v>2063.36</v>
      </c>
      <c r="D566" s="12">
        <f>_xll.FDS("SPX","FG_PRICE(12/30/2017)")</f>
        <v>2673.61</v>
      </c>
      <c r="E566" s="15">
        <f>D566/C566-1</f>
        <v>0.2957554668114144</v>
      </c>
      <c r="F566" s="8" t="s">
        <v>741</v>
      </c>
      <c r="G566" s="8" t="s">
        <v>742</v>
      </c>
      <c r="H566" s="13">
        <f>_xll.FDS(G566,"FG_PRICE(12/30/2015)")</f>
        <v>69.52</v>
      </c>
      <c r="I566" s="13">
        <f>_xll.FDS(G566,"FG_PRICE(12/31/2017)")</f>
        <v>61.28</v>
      </c>
      <c r="J566" s="13">
        <f>I566/H566-1</f>
        <v>-0.11852704257767543</v>
      </c>
      <c r="K566" s="13">
        <f>J566-E566</f>
        <v>-0.41428250938908984</v>
      </c>
      <c r="L566" s="13">
        <f>_xll.FDS(G566,"FF_ROE(ANN_R,12/30/2015)")</f>
        <v>13.35732853429314</v>
      </c>
      <c r="M566" s="8" t="s">
        <v>743</v>
      </c>
      <c r="N566" s="4" t="s">
        <v>743</v>
      </c>
      <c r="O566" s="4" t="s">
        <v>744</v>
      </c>
      <c r="P566" s="4" t="s">
        <v>96</v>
      </c>
      <c r="Q566" s="4" t="s">
        <v>55</v>
      </c>
      <c r="R566" s="4" t="s">
        <v>61</v>
      </c>
      <c r="S566" s="4" t="s">
        <v>62</v>
      </c>
      <c r="T566" s="6" t="e">
        <v>#N/A</v>
      </c>
      <c r="U566" s="5">
        <v>73</v>
      </c>
      <c r="V566" s="5">
        <v>82</v>
      </c>
      <c r="W566" s="5">
        <v>69</v>
      </c>
      <c r="X566" s="5">
        <v>72</v>
      </c>
      <c r="Y566" s="5">
        <v>91.72</v>
      </c>
      <c r="Z566" s="5">
        <v>92.41</v>
      </c>
      <c r="AA566" s="5">
        <v>93.1</v>
      </c>
      <c r="AB566" s="5">
        <v>85.52</v>
      </c>
      <c r="AC566" s="6">
        <v>0.25</v>
      </c>
      <c r="AD566" s="6">
        <v>0.45</v>
      </c>
      <c r="AE566" s="6">
        <v>0.3</v>
      </c>
      <c r="AF566" s="4" t="s">
        <v>42</v>
      </c>
      <c r="AG566" s="4" t="s">
        <v>6296</v>
      </c>
      <c r="AH566" s="4" t="s">
        <v>6296</v>
      </c>
      <c r="AI566" s="4" t="s">
        <v>42</v>
      </c>
      <c r="AJ566" s="4" t="s">
        <v>6296</v>
      </c>
      <c r="AK566" s="4" t="s">
        <v>37</v>
      </c>
      <c r="AL566" s="4" t="s">
        <v>37</v>
      </c>
      <c r="AM566" s="4" t="s">
        <v>37</v>
      </c>
      <c r="AN566" s="4" t="s">
        <v>6296</v>
      </c>
      <c r="AO566" s="4" t="s">
        <v>6296</v>
      </c>
      <c r="AP566" s="4" t="s">
        <v>745</v>
      </c>
      <c r="AQ566" s="4" t="s">
        <v>47</v>
      </c>
    </row>
    <row r="567" spans="1:43" ht="12.6" customHeight="1" x14ac:dyDescent="0.25">
      <c r="A567" s="8" t="s">
        <v>2799</v>
      </c>
      <c r="B567" s="9">
        <v>20151231</v>
      </c>
      <c r="C567" s="12">
        <f>_xll.FDS("SPX","FG_PRICE(12/30/2015)")</f>
        <v>2063.36</v>
      </c>
      <c r="D567" s="12">
        <f>_xll.FDS("SPX","FG_PRICE(12/30/2017)")</f>
        <v>2673.61</v>
      </c>
      <c r="E567" s="15">
        <f>D567/C567-1</f>
        <v>0.2957554668114144</v>
      </c>
      <c r="F567" s="8" t="s">
        <v>2800</v>
      </c>
      <c r="G567" s="8" t="s">
        <v>2801</v>
      </c>
      <c r="H567" s="13">
        <f>_xll.FDS(G567,"FG_PRICE(12/30/2015)")</f>
        <v>24.96</v>
      </c>
      <c r="I567" s="13">
        <f>_xll.FDS(G567,"FG_PRICE(12/31/2017)")</f>
        <v>34.32</v>
      </c>
      <c r="J567" s="13">
        <f>I567/H567-1</f>
        <v>0.375</v>
      </c>
      <c r="K567" s="13">
        <f>J567-E567</f>
        <v>7.9244533188585597E-2</v>
      </c>
      <c r="L567" s="13">
        <f>_xll.FDS(G567,"FF_ROE(ANN_R,12/30/2015)")</f>
        <v>7.0347394540942938</v>
      </c>
      <c r="M567" s="8" t="s">
        <v>2802</v>
      </c>
      <c r="N567" s="4" t="s">
        <v>2802</v>
      </c>
      <c r="O567" s="4" t="s">
        <v>2803</v>
      </c>
      <c r="P567" s="4" t="s">
        <v>106</v>
      </c>
      <c r="Q567" s="4" t="s">
        <v>55</v>
      </c>
      <c r="R567" s="4" t="s">
        <v>61</v>
      </c>
      <c r="S567" s="4" t="s">
        <v>62</v>
      </c>
      <c r="T567" s="6" t="e">
        <v>#N/A</v>
      </c>
      <c r="U567" s="5">
        <v>49</v>
      </c>
      <c r="V567" s="5">
        <v>45</v>
      </c>
      <c r="W567" s="5">
        <v>50</v>
      </c>
      <c r="X567" s="5">
        <v>50</v>
      </c>
      <c r="Y567" s="5">
        <v>29.66</v>
      </c>
      <c r="Z567" s="5">
        <v>16.55</v>
      </c>
      <c r="AA567" s="5">
        <v>64.83</v>
      </c>
      <c r="AB567" s="5">
        <v>17.93</v>
      </c>
      <c r="AC567" s="6">
        <v>0.25</v>
      </c>
      <c r="AD567" s="6">
        <v>0.45</v>
      </c>
      <c r="AE567" s="6">
        <v>0.3</v>
      </c>
      <c r="AF567" s="4" t="s">
        <v>6296</v>
      </c>
      <c r="AG567" s="4" t="s">
        <v>6296</v>
      </c>
      <c r="AH567" s="4" t="s">
        <v>6296</v>
      </c>
      <c r="AI567" s="4" t="s">
        <v>6296</v>
      </c>
      <c r="AJ567" s="4" t="s">
        <v>6296</v>
      </c>
      <c r="AK567" s="4" t="s">
        <v>6296</v>
      </c>
      <c r="AL567" s="4" t="s">
        <v>6296</v>
      </c>
      <c r="AM567" s="4" t="s">
        <v>37</v>
      </c>
      <c r="AN567" s="4" t="s">
        <v>6296</v>
      </c>
      <c r="AO567" s="4" t="s">
        <v>6296</v>
      </c>
      <c r="AP567" s="4" t="s">
        <v>2804</v>
      </c>
      <c r="AQ567" s="4" t="s">
        <v>47</v>
      </c>
    </row>
    <row r="568" spans="1:43" ht="12.6" customHeight="1" x14ac:dyDescent="0.25">
      <c r="A568" s="8" t="s">
        <v>935</v>
      </c>
      <c r="B568" s="9">
        <v>20151231</v>
      </c>
      <c r="C568" s="12">
        <f>_xll.FDS("SPX","FG_PRICE(12/30/2015)")</f>
        <v>2063.36</v>
      </c>
      <c r="D568" s="12">
        <f>_xll.FDS("SPX","FG_PRICE(12/30/2017)")</f>
        <v>2673.61</v>
      </c>
      <c r="E568" s="15">
        <f>D568/C568-1</f>
        <v>0.2957554668114144</v>
      </c>
      <c r="F568" s="8" t="s">
        <v>936</v>
      </c>
      <c r="G568" s="8" t="s">
        <v>937</v>
      </c>
      <c r="H568" s="13">
        <f>_xll.FDS(G568,"FG_PRICE(12/30/2015)")</f>
        <v>120.68</v>
      </c>
      <c r="I568" s="13">
        <f>_xll.FDS(G568,"FG_PRICE(12/31/2017)")</f>
        <v>104.36</v>
      </c>
      <c r="J568" s="13">
        <f>I568/H568-1</f>
        <v>-0.13523367583692414</v>
      </c>
      <c r="K568" s="13">
        <f>J568-E568</f>
        <v>-0.43098914264833854</v>
      </c>
      <c r="L568" s="13">
        <f>_xll.FDS(G568,"FF_ROE(ANN_R,12/30/2015)")</f>
        <v>33.016087893220629</v>
      </c>
      <c r="M568" s="8" t="s">
        <v>938</v>
      </c>
      <c r="N568" s="4" t="s">
        <v>938</v>
      </c>
      <c r="O568" s="4" t="s">
        <v>939</v>
      </c>
      <c r="P568" s="4" t="s">
        <v>106</v>
      </c>
      <c r="Q568" s="4" t="s">
        <v>55</v>
      </c>
      <c r="R568" s="4" t="s">
        <v>61</v>
      </c>
      <c r="S568" s="4" t="s">
        <v>62</v>
      </c>
      <c r="T568" s="6" t="e">
        <v>#N/A</v>
      </c>
      <c r="U568" s="5">
        <v>54</v>
      </c>
      <c r="V568" s="5">
        <v>62</v>
      </c>
      <c r="W568" s="5">
        <v>50</v>
      </c>
      <c r="X568" s="5">
        <v>53</v>
      </c>
      <c r="Y568" s="5">
        <v>54.48</v>
      </c>
      <c r="Z568" s="5">
        <v>62.07</v>
      </c>
      <c r="AA568" s="5">
        <v>64.83</v>
      </c>
      <c r="AB568" s="5">
        <v>26.21</v>
      </c>
      <c r="AC568" s="6">
        <v>0.25</v>
      </c>
      <c r="AD568" s="6">
        <v>0.45</v>
      </c>
      <c r="AE568" s="6">
        <v>0.3</v>
      </c>
      <c r="AF568" s="4" t="s">
        <v>6296</v>
      </c>
      <c r="AG568" s="4" t="s">
        <v>6296</v>
      </c>
      <c r="AH568" s="4" t="s">
        <v>6296</v>
      </c>
      <c r="AI568" s="4" t="s">
        <v>6296</v>
      </c>
      <c r="AJ568" s="4" t="s">
        <v>6296</v>
      </c>
      <c r="AK568" s="4" t="s">
        <v>42</v>
      </c>
      <c r="AL568" s="4" t="s">
        <v>6296</v>
      </c>
      <c r="AM568" s="4" t="s">
        <v>42</v>
      </c>
      <c r="AN568" s="4" t="s">
        <v>6296</v>
      </c>
      <c r="AO568" s="4" t="s">
        <v>6296</v>
      </c>
      <c r="AP568" s="4" t="s">
        <v>940</v>
      </c>
      <c r="AQ568" s="4" t="s">
        <v>47</v>
      </c>
    </row>
    <row r="569" spans="1:43" ht="12.6" customHeight="1" x14ac:dyDescent="0.25">
      <c r="A569" s="8" t="s">
        <v>2747</v>
      </c>
      <c r="B569" s="9">
        <v>20151231</v>
      </c>
      <c r="C569" s="12">
        <f>_xll.FDS("SPX","FG_PRICE(12/30/2015)")</f>
        <v>2063.36</v>
      </c>
      <c r="D569" s="12">
        <f>_xll.FDS("SPX","FG_PRICE(12/30/2017)")</f>
        <v>2673.61</v>
      </c>
      <c r="E569" s="15">
        <f>D569/C569-1</f>
        <v>0.2957554668114144</v>
      </c>
      <c r="F569" s="8" t="s">
        <v>2748</v>
      </c>
      <c r="G569" s="8" t="s">
        <v>2749</v>
      </c>
      <c r="H569" s="13">
        <f>_xll.FDS(G569,"FG_PRICE(12/30/2015)")</f>
        <v>80.540000000000006</v>
      </c>
      <c r="I569" s="13">
        <f>_xll.FDS(G569,"FG_PRICE(12/31/2017)")</f>
        <v>109.45</v>
      </c>
      <c r="J569" s="13">
        <f>I569/H569-1</f>
        <v>0.35895207350384895</v>
      </c>
      <c r="K569" s="13">
        <f>J569-E569</f>
        <v>6.3196606692434543E-2</v>
      </c>
      <c r="L569" s="13">
        <f>_xll.FDS(G569,"FF_ROE(ANN_R,12/30/2015)")</f>
        <v>19.559133619202751</v>
      </c>
      <c r="M569" s="8" t="s">
        <v>2750</v>
      </c>
      <c r="N569" s="4" t="s">
        <v>2751</v>
      </c>
      <c r="O569" s="4" t="s">
        <v>2752</v>
      </c>
      <c r="P569" s="4" t="s">
        <v>96</v>
      </c>
      <c r="Q569" s="4" t="s">
        <v>55</v>
      </c>
      <c r="R569" s="4" t="s">
        <v>61</v>
      </c>
      <c r="S569" s="4" t="s">
        <v>62</v>
      </c>
      <c r="T569" s="6" t="e">
        <v>#N/A</v>
      </c>
      <c r="U569" s="5">
        <v>53</v>
      </c>
      <c r="V569" s="5">
        <v>46</v>
      </c>
      <c r="W569" s="5">
        <v>46</v>
      </c>
      <c r="X569" s="5">
        <v>67</v>
      </c>
      <c r="Y569" s="5">
        <v>52.41</v>
      </c>
      <c r="Z569" s="5">
        <v>18.62</v>
      </c>
      <c r="AA569" s="5">
        <v>48.97</v>
      </c>
      <c r="AB569" s="5">
        <v>70.34</v>
      </c>
      <c r="AC569" s="6">
        <v>0.25</v>
      </c>
      <c r="AD569" s="6">
        <v>0.45</v>
      </c>
      <c r="AE569" s="6">
        <v>0.3</v>
      </c>
      <c r="AF569" s="4" t="s">
        <v>6296</v>
      </c>
      <c r="AG569" s="4" t="s">
        <v>6296</v>
      </c>
      <c r="AH569" s="4" t="s">
        <v>6296</v>
      </c>
      <c r="AI569" s="4" t="s">
        <v>37</v>
      </c>
      <c r="AJ569" s="4" t="s">
        <v>6296</v>
      </c>
      <c r="AK569" s="4" t="s">
        <v>6296</v>
      </c>
      <c r="AL569" s="4" t="s">
        <v>6296</v>
      </c>
      <c r="AM569" s="4" t="s">
        <v>6296</v>
      </c>
      <c r="AN569" s="4" t="s">
        <v>6296</v>
      </c>
      <c r="AO569" s="4" t="s">
        <v>6296</v>
      </c>
      <c r="AP569" s="4" t="s">
        <v>2753</v>
      </c>
      <c r="AQ569" s="4" t="s">
        <v>47</v>
      </c>
    </row>
    <row r="570" spans="1:43" ht="12.6" customHeight="1" x14ac:dyDescent="0.25">
      <c r="A570" s="8" t="s">
        <v>1749</v>
      </c>
      <c r="B570" s="9">
        <v>20151231</v>
      </c>
      <c r="C570" s="12">
        <f>_xll.FDS("SPX","FG_PRICE(12/30/2015)")</f>
        <v>2063.36</v>
      </c>
      <c r="D570" s="12">
        <f>_xll.FDS("SPX","FG_PRICE(12/30/2017)")</f>
        <v>2673.61</v>
      </c>
      <c r="E570" s="15">
        <f>D570/C570-1</f>
        <v>0.2957554668114144</v>
      </c>
      <c r="F570" s="8" t="s">
        <v>1750</v>
      </c>
      <c r="G570" s="8" t="s">
        <v>1751</v>
      </c>
      <c r="H570" s="13">
        <f>_xll.FDS(G570,"FG_PRICE(12/30/2015)")</f>
        <v>102.16</v>
      </c>
      <c r="I570" s="13">
        <f>_xll.FDS(G570,"FG_PRICE(12/31/2017)")</f>
        <v>71.64</v>
      </c>
      <c r="J570" s="13">
        <f>I570/H570-1</f>
        <v>-0.29874706342991386</v>
      </c>
      <c r="K570" s="13">
        <f>J570-E570</f>
        <v>-0.59450253024132826</v>
      </c>
      <c r="L570" s="13">
        <f>_xll.FDS(G570,"FF_ROE(ANN_R,12/30/2015)")</f>
        <v>90.3225955732822</v>
      </c>
      <c r="M570" s="8" t="s">
        <v>1752</v>
      </c>
      <c r="N570" s="4" t="s">
        <v>1753</v>
      </c>
      <c r="O570" s="4" t="s">
        <v>1754</v>
      </c>
      <c r="P570" s="4" t="s">
        <v>106</v>
      </c>
      <c r="Q570" s="4" t="s">
        <v>55</v>
      </c>
      <c r="R570" s="4" t="s">
        <v>61</v>
      </c>
      <c r="S570" s="4" t="s">
        <v>62</v>
      </c>
      <c r="T570" s="6" t="e">
        <v>#N/A</v>
      </c>
      <c r="U570" s="5">
        <v>57</v>
      </c>
      <c r="V570" s="5">
        <v>51</v>
      </c>
      <c r="W570" s="5">
        <v>59</v>
      </c>
      <c r="X570" s="5">
        <v>61</v>
      </c>
      <c r="Y570" s="5">
        <v>64.83</v>
      </c>
      <c r="Z570" s="5">
        <v>31.72</v>
      </c>
      <c r="AA570" s="5">
        <v>85.52</v>
      </c>
      <c r="AB570" s="5">
        <v>50.34</v>
      </c>
      <c r="AC570" s="6">
        <v>0.25</v>
      </c>
      <c r="AD570" s="6">
        <v>0.45</v>
      </c>
      <c r="AE570" s="6">
        <v>0.3</v>
      </c>
      <c r="AF570" s="4" t="s">
        <v>6296</v>
      </c>
      <c r="AG570" s="4" t="s">
        <v>6296</v>
      </c>
      <c r="AH570" s="4" t="s">
        <v>6296</v>
      </c>
      <c r="AI570" s="4" t="s">
        <v>6296</v>
      </c>
      <c r="AJ570" s="4" t="s">
        <v>6296</v>
      </c>
      <c r="AK570" s="4" t="s">
        <v>37</v>
      </c>
      <c r="AL570" s="4" t="s">
        <v>46</v>
      </c>
      <c r="AM570" s="4" t="s">
        <v>42</v>
      </c>
      <c r="AN570" s="4" t="s">
        <v>6296</v>
      </c>
      <c r="AO570" s="4" t="s">
        <v>6296</v>
      </c>
      <c r="AP570" s="4" t="s">
        <v>1755</v>
      </c>
      <c r="AQ570" s="4" t="s">
        <v>47</v>
      </c>
    </row>
    <row r="571" spans="1:43" ht="12.6" customHeight="1" x14ac:dyDescent="0.25">
      <c r="A571" s="8" t="s">
        <v>5504</v>
      </c>
      <c r="B571" s="9">
        <v>20151231</v>
      </c>
      <c r="C571" s="12">
        <f>_xll.FDS("SPX","FG_PRICE(12/30/2015)")</f>
        <v>2063.36</v>
      </c>
      <c r="D571" s="12">
        <f>_xll.FDS("SPX","FG_PRICE(12/30/2017)")</f>
        <v>2673.61</v>
      </c>
      <c r="E571" s="15">
        <f>D571/C571-1</f>
        <v>0.2957554668114144</v>
      </c>
      <c r="F571" s="8" t="s">
        <v>5505</v>
      </c>
      <c r="G571" s="8" t="s">
        <v>5506</v>
      </c>
      <c r="H571" s="13">
        <f>_xll.FDS(G571,"FG_PRICE(12/30/2015)")</f>
        <v>150.06</v>
      </c>
      <c r="I571" s="13">
        <f>_xll.FDS(G571,"FG_PRICE(12/31/2017)")</f>
        <v>58.42</v>
      </c>
      <c r="J571" s="13">
        <f>I571/H571-1</f>
        <v>-0.61068905771024928</v>
      </c>
      <c r="K571" s="13">
        <f>J571-E571</f>
        <v>-0.90644452452166369</v>
      </c>
      <c r="L571" s="13">
        <f>_xll.FDS(G571,"FF_ROE(ANN_R,12/30/2015)")</f>
        <v>-180.80370690749521</v>
      </c>
      <c r="M571" s="8" t="s">
        <v>5507</v>
      </c>
      <c r="N571" s="4" t="s">
        <v>5508</v>
      </c>
      <c r="O571" s="4" t="s">
        <v>5509</v>
      </c>
      <c r="P571" s="4" t="s">
        <v>106</v>
      </c>
      <c r="Q571" s="4" t="s">
        <v>55</v>
      </c>
      <c r="R571" s="4" t="s">
        <v>61</v>
      </c>
      <c r="S571" s="4" t="s">
        <v>62</v>
      </c>
      <c r="T571" s="6" t="e">
        <v>#N/A</v>
      </c>
      <c r="U571" s="5">
        <v>48</v>
      </c>
      <c r="V571" s="5">
        <v>42</v>
      </c>
      <c r="W571" s="5">
        <v>43</v>
      </c>
      <c r="X571" s="5">
        <v>62</v>
      </c>
      <c r="Y571" s="5">
        <v>21.38</v>
      </c>
      <c r="Z571" s="6">
        <v>0.69</v>
      </c>
      <c r="AA571" s="5">
        <v>30.34</v>
      </c>
      <c r="AB571" s="5">
        <v>53.1</v>
      </c>
      <c r="AC571" s="6">
        <v>0.25</v>
      </c>
      <c r="AD571" s="6">
        <v>0.45</v>
      </c>
      <c r="AE571" s="6">
        <v>0.3</v>
      </c>
      <c r="AF571" s="4" t="s">
        <v>6296</v>
      </c>
      <c r="AG571" s="4" t="s">
        <v>6296</v>
      </c>
      <c r="AH571" s="4" t="s">
        <v>6296</v>
      </c>
      <c r="AI571" s="4" t="s">
        <v>6296</v>
      </c>
      <c r="AJ571" s="4" t="s">
        <v>6296</v>
      </c>
      <c r="AK571" s="4" t="s">
        <v>6296</v>
      </c>
      <c r="AL571" s="4" t="s">
        <v>6296</v>
      </c>
      <c r="AM571" s="4" t="s">
        <v>6296</v>
      </c>
      <c r="AN571" s="4" t="s">
        <v>6296</v>
      </c>
      <c r="AO571" s="4" t="s">
        <v>6296</v>
      </c>
      <c r="AP571" s="4" t="s">
        <v>5510</v>
      </c>
      <c r="AQ571" s="4" t="s">
        <v>47</v>
      </c>
    </row>
    <row r="572" spans="1:43" ht="12.6" customHeight="1" x14ac:dyDescent="0.25">
      <c r="A572" s="8" t="s">
        <v>2772</v>
      </c>
      <c r="B572" s="9">
        <v>20151231</v>
      </c>
      <c r="C572" s="12">
        <f>_xll.FDS("SPX","FG_PRICE(12/30/2015)")</f>
        <v>2063.36</v>
      </c>
      <c r="D572" s="12">
        <f>_xll.FDS("SPX","FG_PRICE(12/30/2017)")</f>
        <v>2673.61</v>
      </c>
      <c r="E572" s="15">
        <f>D572/C572-1</f>
        <v>0.2957554668114144</v>
      </c>
      <c r="F572" s="8" t="s">
        <v>2773</v>
      </c>
      <c r="G572" s="8" t="s">
        <v>2774</v>
      </c>
      <c r="H572" s="13">
        <f>_xll.FDS(G572,"FG_PRICE(12/30/2015)")</f>
        <v>191.07</v>
      </c>
      <c r="I572" s="13">
        <f>_xll.FDS(G572,"FG_PRICE(12/31/2017)")</f>
        <v>218.49</v>
      </c>
      <c r="J572" s="13">
        <f>I572/H572-1</f>
        <v>0.1435076150102057</v>
      </c>
      <c r="K572" s="13">
        <f>J572-E572</f>
        <v>-0.1522478518012087</v>
      </c>
      <c r="L572" s="13">
        <f>_xll.FDS(G572,"FF_ROE(ANN_R,12/30/2015)")</f>
        <v>23.58818424566088</v>
      </c>
      <c r="M572" s="8" t="s">
        <v>2775</v>
      </c>
      <c r="N572" s="4" t="s">
        <v>2776</v>
      </c>
      <c r="O572" s="4" t="s">
        <v>2777</v>
      </c>
      <c r="P572" s="4" t="s">
        <v>106</v>
      </c>
      <c r="Q572" s="4" t="s">
        <v>55</v>
      </c>
      <c r="R572" s="4" t="s">
        <v>61</v>
      </c>
      <c r="S572" s="4" t="s">
        <v>62</v>
      </c>
      <c r="T572" s="6" t="e">
        <v>#N/A</v>
      </c>
      <c r="U572" s="5">
        <v>55</v>
      </c>
      <c r="V572" s="5">
        <v>53</v>
      </c>
      <c r="W572" s="5">
        <v>52</v>
      </c>
      <c r="X572" s="5">
        <v>60</v>
      </c>
      <c r="Y572" s="5">
        <v>57.93</v>
      </c>
      <c r="Z572" s="5">
        <v>40.69</v>
      </c>
      <c r="AA572" s="5">
        <v>72.41</v>
      </c>
      <c r="AB572" s="5">
        <v>46.9</v>
      </c>
      <c r="AC572" s="6">
        <v>0.25</v>
      </c>
      <c r="AD572" s="6">
        <v>0.45</v>
      </c>
      <c r="AE572" s="6">
        <v>0.3</v>
      </c>
      <c r="AF572" s="4" t="s">
        <v>6296</v>
      </c>
      <c r="AG572" s="4" t="s">
        <v>6296</v>
      </c>
      <c r="AH572" s="4" t="s">
        <v>6296</v>
      </c>
      <c r="AI572" s="4" t="s">
        <v>6296</v>
      </c>
      <c r="AJ572" s="4" t="s">
        <v>6296</v>
      </c>
      <c r="AK572" s="4" t="s">
        <v>6296</v>
      </c>
      <c r="AL572" s="4" t="s">
        <v>6296</v>
      </c>
      <c r="AM572" s="4" t="s">
        <v>42</v>
      </c>
      <c r="AN572" s="4" t="s">
        <v>6296</v>
      </c>
      <c r="AO572" s="4" t="s">
        <v>6296</v>
      </c>
      <c r="AP572" s="4" t="s">
        <v>2778</v>
      </c>
      <c r="AQ572" s="4" t="s">
        <v>47</v>
      </c>
    </row>
    <row r="573" spans="1:43" ht="12.6" customHeight="1" x14ac:dyDescent="0.25">
      <c r="A573" s="8" t="s">
        <v>2193</v>
      </c>
      <c r="B573" s="9">
        <v>20151231</v>
      </c>
      <c r="C573" s="12">
        <f>_xll.FDS("SPX","FG_PRICE(12/30/2015)")</f>
        <v>2063.36</v>
      </c>
      <c r="D573" s="12">
        <f>_xll.FDS("SPX","FG_PRICE(12/30/2017)")</f>
        <v>2673.61</v>
      </c>
      <c r="E573" s="15">
        <f>D573/C573-1</f>
        <v>0.2957554668114144</v>
      </c>
      <c r="F573" s="8" t="s">
        <v>2194</v>
      </c>
      <c r="G573" s="8" t="s">
        <v>2195</v>
      </c>
      <c r="H573" s="13">
        <f>_xll.FDS(G573,"FG_PRICE(12/30/2015)")</f>
        <v>109.11</v>
      </c>
      <c r="I573" s="13">
        <f>_xll.FDS(G573,"FG_PRICE(12/31/2017)")</f>
        <v>94.71</v>
      </c>
      <c r="J573" s="13">
        <f>I573/H573-1</f>
        <v>-0.13197690404179274</v>
      </c>
      <c r="K573" s="13">
        <f>J573-E573</f>
        <v>-0.42773237085320714</v>
      </c>
      <c r="L573" s="13" t="e">
        <f>_xll.FDS(G573,"FF_ROE(ANN_R,12/30/2015)")</f>
        <v>#N/A</v>
      </c>
      <c r="M573" s="8" t="s">
        <v>2196</v>
      </c>
      <c r="N573" s="4" t="s">
        <v>2196</v>
      </c>
      <c r="O573" s="4" t="s">
        <v>2197</v>
      </c>
      <c r="P573" s="4" t="s">
        <v>106</v>
      </c>
      <c r="Q573" s="4" t="s">
        <v>55</v>
      </c>
      <c r="R573" s="4" t="s">
        <v>61</v>
      </c>
      <c r="S573" s="4" t="s">
        <v>62</v>
      </c>
      <c r="T573" s="6" t="e">
        <v>#N/A</v>
      </c>
      <c r="U573" s="5">
        <v>46</v>
      </c>
      <c r="V573" s="5">
        <v>51</v>
      </c>
      <c r="W573" s="5">
        <v>38</v>
      </c>
      <c r="X573" s="5">
        <v>53</v>
      </c>
      <c r="Y573" s="5">
        <v>14.48</v>
      </c>
      <c r="Z573" s="5">
        <v>31.72</v>
      </c>
      <c r="AA573" s="5">
        <v>10.34</v>
      </c>
      <c r="AB573" s="5">
        <v>26.21</v>
      </c>
      <c r="AC573" s="6">
        <v>0.25</v>
      </c>
      <c r="AD573" s="6">
        <v>0.45</v>
      </c>
      <c r="AE573" s="6">
        <v>0.3</v>
      </c>
      <c r="AF573" s="4" t="s">
        <v>6296</v>
      </c>
      <c r="AG573" s="4" t="s">
        <v>6296</v>
      </c>
      <c r="AH573" s="4" t="s">
        <v>6296</v>
      </c>
      <c r="AI573" s="4" t="s">
        <v>6296</v>
      </c>
      <c r="AJ573" s="4" t="s">
        <v>6296</v>
      </c>
      <c r="AK573" s="4" t="s">
        <v>6296</v>
      </c>
      <c r="AL573" s="4" t="s">
        <v>6296</v>
      </c>
      <c r="AM573" s="4" t="s">
        <v>6296</v>
      </c>
      <c r="AN573" s="4" t="s">
        <v>6296</v>
      </c>
      <c r="AO573" s="4" t="s">
        <v>6296</v>
      </c>
      <c r="AP573" s="4" t="s">
        <v>2198</v>
      </c>
      <c r="AQ573" s="4" t="s">
        <v>47</v>
      </c>
    </row>
    <row r="574" spans="1:43" ht="12.6" customHeight="1" x14ac:dyDescent="0.25">
      <c r="A574" s="8" t="s">
        <v>5998</v>
      </c>
      <c r="B574" s="9">
        <v>20151231</v>
      </c>
      <c r="C574" s="12">
        <f>_xll.FDS("SPX","FG_PRICE(12/30/2015)")</f>
        <v>2063.36</v>
      </c>
      <c r="D574" s="12">
        <f>_xll.FDS("SPX","FG_PRICE(12/30/2017)")</f>
        <v>2673.61</v>
      </c>
      <c r="E574" s="15">
        <f>D574/C574-1</f>
        <v>0.2957554668114144</v>
      </c>
      <c r="F574" s="8" t="s">
        <v>5999</v>
      </c>
      <c r="G574" s="8" t="s">
        <v>6000</v>
      </c>
      <c r="H574" s="13">
        <f>_xll.FDS(G574,"FG_PRICE(12/30/2015)")</f>
        <v>1.8840001</v>
      </c>
      <c r="I574" s="13">
        <f>_xll.FDS(G574,"FG_PRICE(12/31/2017)")</f>
        <v>4.0819999999999999</v>
      </c>
      <c r="J574" s="13">
        <f>I574/H574-1</f>
        <v>1.166666551663134</v>
      </c>
      <c r="K574" s="13">
        <f>J574-E574</f>
        <v>0.87091108485171964</v>
      </c>
      <c r="L574" s="13" t="e">
        <f>_xll.FDS(G574,"FF_ROE(ANN_R,12/30/2015)")</f>
        <v>#N/A</v>
      </c>
      <c r="M574" s="8" t="s">
        <v>6001</v>
      </c>
      <c r="N574" s="4" t="s">
        <v>6001</v>
      </c>
      <c r="O574" s="4" t="s">
        <v>6002</v>
      </c>
      <c r="P574" s="4" t="s">
        <v>35</v>
      </c>
      <c r="Q574" s="4" t="s">
        <v>55</v>
      </c>
      <c r="R574" s="4" t="s">
        <v>61</v>
      </c>
      <c r="S574" s="4" t="s">
        <v>62</v>
      </c>
      <c r="T574" s="6" t="e">
        <v>#N/A</v>
      </c>
      <c r="U574" s="5">
        <v>54</v>
      </c>
      <c r="V574" s="5">
        <v>44</v>
      </c>
      <c r="W574" s="5">
        <v>47</v>
      </c>
      <c r="X574" s="5">
        <v>72</v>
      </c>
      <c r="Y574" s="5">
        <v>54.48</v>
      </c>
      <c r="Z574" s="5">
        <v>11.03</v>
      </c>
      <c r="AA574" s="5">
        <v>54.48</v>
      </c>
      <c r="AB574" s="5">
        <v>85.52</v>
      </c>
      <c r="AC574" s="6">
        <v>0.25</v>
      </c>
      <c r="AD574" s="6">
        <v>0.45</v>
      </c>
      <c r="AE574" s="6">
        <v>0.3</v>
      </c>
      <c r="AF574" s="4" t="s">
        <v>6296</v>
      </c>
      <c r="AG574" s="4" t="s">
        <v>6296</v>
      </c>
      <c r="AH574" s="4" t="s">
        <v>6296</v>
      </c>
      <c r="AI574" s="4" t="s">
        <v>6296</v>
      </c>
      <c r="AJ574" s="4" t="s">
        <v>6296</v>
      </c>
      <c r="AK574" s="4" t="s">
        <v>6296</v>
      </c>
      <c r="AL574" s="4" t="s">
        <v>6296</v>
      </c>
      <c r="AM574" s="4" t="s">
        <v>6296</v>
      </c>
      <c r="AN574" s="4" t="s">
        <v>6296</v>
      </c>
      <c r="AO574" s="4" t="s">
        <v>6296</v>
      </c>
      <c r="AP574" s="4" t="s">
        <v>6003</v>
      </c>
      <c r="AQ574" s="4" t="s">
        <v>47</v>
      </c>
    </row>
    <row r="575" spans="1:43" ht="12.6" customHeight="1" x14ac:dyDescent="0.25">
      <c r="A575" s="8" t="s">
        <v>5787</v>
      </c>
      <c r="B575" s="9">
        <v>20151231</v>
      </c>
      <c r="C575" s="12">
        <f>_xll.FDS("SPX","FG_PRICE(12/30/2015)")</f>
        <v>2063.36</v>
      </c>
      <c r="D575" s="12">
        <f>_xll.FDS("SPX","FG_PRICE(12/30/2017)")</f>
        <v>2673.61</v>
      </c>
      <c r="E575" s="15">
        <f>D575/C575-1</f>
        <v>0.2957554668114144</v>
      </c>
      <c r="F575" s="8" t="s">
        <v>5788</v>
      </c>
      <c r="G575" s="8" t="s">
        <v>5789</v>
      </c>
      <c r="H575" s="13">
        <f>_xll.FDS(G575,"FG_PRICE(12/30/2015)")</f>
        <v>61.32</v>
      </c>
      <c r="I575" s="13">
        <f>_xll.FDS(G575,"FG_PRICE(12/31/2017)")</f>
        <v>50.3</v>
      </c>
      <c r="J575" s="13">
        <f>I575/H575-1</f>
        <v>-0.17971298108284417</v>
      </c>
      <c r="K575" s="13">
        <f>J575-E575</f>
        <v>-0.47546844789425857</v>
      </c>
      <c r="L575" s="13">
        <f>_xll.FDS(G575,"FF_ROE(ANN_R,12/30/2015)")</f>
        <v>-12.25584356382728</v>
      </c>
      <c r="M575" s="8" t="s">
        <v>5790</v>
      </c>
      <c r="N575" s="4" t="s">
        <v>5791</v>
      </c>
      <c r="O575" s="4" t="s">
        <v>5792</v>
      </c>
      <c r="P575" s="4" t="s">
        <v>106</v>
      </c>
      <c r="Q575" s="4" t="s">
        <v>55</v>
      </c>
      <c r="R575" s="4" t="s">
        <v>61</v>
      </c>
      <c r="S575" s="4" t="s">
        <v>62</v>
      </c>
      <c r="T575" s="6" t="e">
        <v>#N/A</v>
      </c>
      <c r="U575" s="5">
        <v>44</v>
      </c>
      <c r="V575" s="5">
        <v>54</v>
      </c>
      <c r="W575" s="5">
        <v>35</v>
      </c>
      <c r="X575" s="5">
        <v>49</v>
      </c>
      <c r="Y575" s="6">
        <v>6.21</v>
      </c>
      <c r="Z575" s="5">
        <v>44.83</v>
      </c>
      <c r="AA575" s="6">
        <v>1.38</v>
      </c>
      <c r="AB575" s="5">
        <v>16.55</v>
      </c>
      <c r="AC575" s="6">
        <v>0.25</v>
      </c>
      <c r="AD575" s="6">
        <v>0.45</v>
      </c>
      <c r="AE575" s="6">
        <v>0.3</v>
      </c>
      <c r="AF575" s="4" t="s">
        <v>6296</v>
      </c>
      <c r="AG575" s="4" t="s">
        <v>6296</v>
      </c>
      <c r="AH575" s="4" t="s">
        <v>6296</v>
      </c>
      <c r="AI575" s="4" t="s">
        <v>6296</v>
      </c>
      <c r="AJ575" s="4" t="s">
        <v>6296</v>
      </c>
      <c r="AK575" s="4" t="s">
        <v>6296</v>
      </c>
      <c r="AL575" s="4" t="s">
        <v>6296</v>
      </c>
      <c r="AM575" s="4" t="s">
        <v>6296</v>
      </c>
      <c r="AN575" s="4" t="s">
        <v>6296</v>
      </c>
      <c r="AO575" s="4" t="s">
        <v>6296</v>
      </c>
      <c r="AP575" s="4" t="s">
        <v>5793</v>
      </c>
      <c r="AQ575" s="4" t="s">
        <v>47</v>
      </c>
    </row>
    <row r="576" spans="1:43" ht="12.6" customHeight="1" x14ac:dyDescent="0.25">
      <c r="A576" s="8" t="s">
        <v>5530</v>
      </c>
      <c r="B576" s="9">
        <v>20151231</v>
      </c>
      <c r="C576" s="12">
        <f>_xll.FDS("SPX","FG_PRICE(12/30/2015)")</f>
        <v>2063.36</v>
      </c>
      <c r="D576" s="12">
        <f>_xll.FDS("SPX","FG_PRICE(12/30/2017)")</f>
        <v>2673.61</v>
      </c>
      <c r="E576" s="15">
        <f>D576/C576-1</f>
        <v>0.2957554668114144</v>
      </c>
      <c r="F576" s="8" t="s">
        <v>5531</v>
      </c>
      <c r="G576" s="8" t="s">
        <v>5532</v>
      </c>
      <c r="H576" s="13">
        <f>_xll.FDS(G576,"FG_PRICE(12/30/2015)")</f>
        <v>69.59</v>
      </c>
      <c r="I576" s="13">
        <f>_xll.FDS(G576,"FG_PRICE(12/31/2017)")</f>
        <v>97.9</v>
      </c>
      <c r="J576" s="13">
        <f>I576/H576-1</f>
        <v>0.40681132346601534</v>
      </c>
      <c r="K576" s="13">
        <f>J576-E576</f>
        <v>0.11105585665460094</v>
      </c>
      <c r="L576" s="13" t="e">
        <f>_xll.FDS(G576,"FF_ROE(ANN_R,12/30/2015)")</f>
        <v>#N/A</v>
      </c>
      <c r="M576" s="8" t="s">
        <v>5533</v>
      </c>
      <c r="N576" s="4" t="s">
        <v>5534</v>
      </c>
      <c r="O576" s="4" t="s">
        <v>5535</v>
      </c>
      <c r="P576" s="4" t="s">
        <v>96</v>
      </c>
      <c r="Q576" s="4" t="s">
        <v>55</v>
      </c>
      <c r="R576" s="4" t="s">
        <v>61</v>
      </c>
      <c r="S576" s="4" t="s">
        <v>62</v>
      </c>
      <c r="T576" s="6" t="e">
        <v>#N/A</v>
      </c>
      <c r="U576" s="5">
        <v>58</v>
      </c>
      <c r="V576" s="5">
        <v>68</v>
      </c>
      <c r="W576" s="5">
        <v>55</v>
      </c>
      <c r="X576" s="5">
        <v>53</v>
      </c>
      <c r="Y576" s="5">
        <v>68.97</v>
      </c>
      <c r="Z576" s="5">
        <v>71.03</v>
      </c>
      <c r="AA576" s="5">
        <v>78.62</v>
      </c>
      <c r="AB576" s="5">
        <v>26.21</v>
      </c>
      <c r="AC576" s="6">
        <v>0.25</v>
      </c>
      <c r="AD576" s="6">
        <v>0.45</v>
      </c>
      <c r="AE576" s="6">
        <v>0.3</v>
      </c>
      <c r="AF576" s="4" t="s">
        <v>6296</v>
      </c>
      <c r="AG576" s="4" t="s">
        <v>6296</v>
      </c>
      <c r="AH576" s="4" t="s">
        <v>6296</v>
      </c>
      <c r="AI576" s="4" t="s">
        <v>6296</v>
      </c>
      <c r="AJ576" s="4" t="s">
        <v>6296</v>
      </c>
      <c r="AK576" s="4" t="s">
        <v>6296</v>
      </c>
      <c r="AL576" s="4" t="s">
        <v>6296</v>
      </c>
      <c r="AM576" s="4" t="s">
        <v>6296</v>
      </c>
      <c r="AN576" s="4" t="s">
        <v>6296</v>
      </c>
      <c r="AO576" s="4" t="s">
        <v>6296</v>
      </c>
      <c r="AP576" s="4" t="s">
        <v>5536</v>
      </c>
      <c r="AQ576" s="4" t="s">
        <v>47</v>
      </c>
    </row>
    <row r="577" spans="1:43" ht="12.6" customHeight="1" x14ac:dyDescent="0.25">
      <c r="A577" s="8" t="s">
        <v>2219</v>
      </c>
      <c r="B577" s="9">
        <v>20151231</v>
      </c>
      <c r="C577" s="12">
        <f>_xll.FDS("SPX","FG_PRICE(12/30/2015)")</f>
        <v>2063.36</v>
      </c>
      <c r="D577" s="12">
        <f>_xll.FDS("SPX","FG_PRICE(12/30/2017)")</f>
        <v>2673.61</v>
      </c>
      <c r="E577" s="15">
        <f>D577/C577-1</f>
        <v>0.2957554668114144</v>
      </c>
      <c r="F577" s="8" t="s">
        <v>2220</v>
      </c>
      <c r="G577" s="8" t="s">
        <v>2221</v>
      </c>
      <c r="H577" s="13">
        <f>_xll.FDS(G577,"FG_PRICE(12/30/2015)")</f>
        <v>103.78</v>
      </c>
      <c r="I577" s="13">
        <f>_xll.FDS(G577,"FG_PRICE(12/31/2017)")</f>
        <v>139.72</v>
      </c>
      <c r="J577" s="13">
        <f>I577/H577-1</f>
        <v>0.34630950086721901</v>
      </c>
      <c r="K577" s="13">
        <f>J577-E577</f>
        <v>5.0554034055804609E-2</v>
      </c>
      <c r="L577" s="13">
        <f>_xll.FDS(G577,"FF_ROE(ANN_R,12/30/2015)")</f>
        <v>22.70157504954626</v>
      </c>
      <c r="M577" s="8" t="s">
        <v>2222</v>
      </c>
      <c r="N577" s="4" t="s">
        <v>2222</v>
      </c>
      <c r="O577" s="4" t="s">
        <v>2223</v>
      </c>
      <c r="P577" s="4" t="s">
        <v>96</v>
      </c>
      <c r="Q577" s="4" t="s">
        <v>55</v>
      </c>
      <c r="R577" s="4" t="s">
        <v>61</v>
      </c>
      <c r="S577" s="4" t="s">
        <v>62</v>
      </c>
      <c r="T577" s="6" t="e">
        <v>#N/A</v>
      </c>
      <c r="U577" s="5">
        <v>78</v>
      </c>
      <c r="V577" s="5">
        <v>95</v>
      </c>
      <c r="W577" s="5">
        <v>69</v>
      </c>
      <c r="X577" s="5">
        <v>78</v>
      </c>
      <c r="Y577" s="5">
        <v>97.93</v>
      </c>
      <c r="Z577" s="7">
        <v>100</v>
      </c>
      <c r="AA577" s="5">
        <v>93.1</v>
      </c>
      <c r="AB577" s="5">
        <v>93.79</v>
      </c>
      <c r="AC577" s="6">
        <v>0.25</v>
      </c>
      <c r="AD577" s="6">
        <v>0.45</v>
      </c>
      <c r="AE577" s="6">
        <v>0.3</v>
      </c>
      <c r="AF577" s="4" t="s">
        <v>6296</v>
      </c>
      <c r="AG577" s="4" t="s">
        <v>6296</v>
      </c>
      <c r="AH577" s="4" t="s">
        <v>6296</v>
      </c>
      <c r="AI577" s="4" t="s">
        <v>6296</v>
      </c>
      <c r="AJ577" s="4" t="s">
        <v>6296</v>
      </c>
      <c r="AK577" s="4" t="s">
        <v>248</v>
      </c>
      <c r="AL577" s="4" t="s">
        <v>42</v>
      </c>
      <c r="AM577" s="4" t="s">
        <v>37</v>
      </c>
      <c r="AN577" s="4" t="s">
        <v>42</v>
      </c>
      <c r="AO577" s="4" t="s">
        <v>6296</v>
      </c>
      <c r="AP577" s="4" t="s">
        <v>2224</v>
      </c>
      <c r="AQ577" s="4" t="s">
        <v>47</v>
      </c>
    </row>
    <row r="578" spans="1:43" ht="12.6" customHeight="1" x14ac:dyDescent="0.25">
      <c r="A578" s="8" t="s">
        <v>2416</v>
      </c>
      <c r="B578" s="9">
        <v>20151231</v>
      </c>
      <c r="C578" s="12">
        <f>_xll.FDS("SPX","FG_PRICE(12/30/2015)")</f>
        <v>2063.36</v>
      </c>
      <c r="D578" s="12">
        <f>_xll.FDS("SPX","FG_PRICE(12/30/2017)")</f>
        <v>2673.61</v>
      </c>
      <c r="E578" s="15">
        <f>D578/C578-1</f>
        <v>0.2957554668114144</v>
      </c>
      <c r="F578" s="8" t="s">
        <v>2417</v>
      </c>
      <c r="G578" s="8" t="s">
        <v>2418</v>
      </c>
      <c r="H578" s="13">
        <f>_xll.FDS(G578,"FG_PRICE(12/30/2015)")</f>
        <v>86.2</v>
      </c>
      <c r="I578" s="13">
        <f>_xll.FDS(G578,"FG_PRICE(12/31/2017)")</f>
        <v>84.46</v>
      </c>
      <c r="J578" s="13">
        <f>I578/H578-1</f>
        <v>-2.0185614849188016E-2</v>
      </c>
      <c r="K578" s="13">
        <f>J578-E578</f>
        <v>-0.31594108166060242</v>
      </c>
      <c r="L578" s="13">
        <f>_xll.FDS(G578,"FF_ROE(ANN_R,12/30/2015)")</f>
        <v>14.48585954685104</v>
      </c>
      <c r="M578" s="8" t="s">
        <v>2419</v>
      </c>
      <c r="N578" s="4" t="s">
        <v>2420</v>
      </c>
      <c r="O578" s="4" t="s">
        <v>2421</v>
      </c>
      <c r="P578" s="4" t="s">
        <v>96</v>
      </c>
      <c r="Q578" s="4" t="s">
        <v>55</v>
      </c>
      <c r="R578" s="4" t="s">
        <v>61</v>
      </c>
      <c r="S578" s="4" t="s">
        <v>62</v>
      </c>
      <c r="T578" s="6" t="e">
        <v>#N/A</v>
      </c>
      <c r="U578" s="5">
        <v>67</v>
      </c>
      <c r="V578" s="5">
        <v>80</v>
      </c>
      <c r="W578" s="5">
        <v>63</v>
      </c>
      <c r="X578" s="5">
        <v>64</v>
      </c>
      <c r="Y578" s="5">
        <v>86.9</v>
      </c>
      <c r="Z578" s="5">
        <v>89.66</v>
      </c>
      <c r="AA578" s="5">
        <v>87.59</v>
      </c>
      <c r="AB578" s="5">
        <v>61.38</v>
      </c>
      <c r="AC578" s="6">
        <v>0.25</v>
      </c>
      <c r="AD578" s="6">
        <v>0.45</v>
      </c>
      <c r="AE578" s="6">
        <v>0.3</v>
      </c>
      <c r="AF578" s="4" t="s">
        <v>6296</v>
      </c>
      <c r="AG578" s="4" t="s">
        <v>6296</v>
      </c>
      <c r="AH578" s="4" t="s">
        <v>6296</v>
      </c>
      <c r="AI578" s="4" t="s">
        <v>46</v>
      </c>
      <c r="AJ578" s="4" t="s">
        <v>6296</v>
      </c>
      <c r="AK578" s="4" t="s">
        <v>46</v>
      </c>
      <c r="AL578" s="4" t="s">
        <v>37</v>
      </c>
      <c r="AM578" s="4" t="s">
        <v>46</v>
      </c>
      <c r="AN578" s="4" t="s">
        <v>6296</v>
      </c>
      <c r="AO578" s="4" t="s">
        <v>37</v>
      </c>
      <c r="AP578" s="4" t="s">
        <v>2422</v>
      </c>
      <c r="AQ578" s="4" t="s">
        <v>47</v>
      </c>
    </row>
    <row r="579" spans="1:43" ht="12.6" customHeight="1" x14ac:dyDescent="0.25">
      <c r="A579" s="8" t="s">
        <v>6421</v>
      </c>
      <c r="B579" s="9">
        <v>20151231</v>
      </c>
      <c r="C579" s="12">
        <f>_xll.FDS("SPX","FG_PRICE(12/30/2015)")</f>
        <v>2063.36</v>
      </c>
      <c r="D579" s="12">
        <f>_xll.FDS("SPX","FG_PRICE(12/30/2017)")</f>
        <v>2673.61</v>
      </c>
      <c r="E579" s="15">
        <f>D579/C579-1</f>
        <v>0.2957554668114144</v>
      </c>
      <c r="F579" s="8" t="s">
        <v>6422</v>
      </c>
      <c r="G579" s="8" t="s">
        <v>6423</v>
      </c>
      <c r="H579" s="13">
        <f>_xll.FDS(G579,"FG_PRICE(12/30/2015)")</f>
        <v>47.98</v>
      </c>
      <c r="I579" s="13" t="e">
        <f>_xll.FDS(G579,"FG_PRICE(12/31/2017)")</f>
        <v>#N/A</v>
      </c>
      <c r="J579" s="13" t="e">
        <f>I579/H579-1</f>
        <v>#N/A</v>
      </c>
      <c r="K579" s="13" t="e">
        <f>J579-E579</f>
        <v>#N/A</v>
      </c>
      <c r="L579" s="13">
        <f>_xll.FDS(G579,"FF_ROE(ANN_R,12/30/2015)")</f>
        <v>105.0656917107208</v>
      </c>
      <c r="M579" s="8" t="s">
        <v>6424</v>
      </c>
      <c r="N579" s="4" t="s">
        <v>6425</v>
      </c>
      <c r="O579" s="4" t="s">
        <v>47</v>
      </c>
      <c r="P579" s="4" t="s">
        <v>106</v>
      </c>
      <c r="Q579" s="4" t="s">
        <v>55</v>
      </c>
      <c r="R579" s="4" t="s">
        <v>61</v>
      </c>
      <c r="S579" s="4" t="s">
        <v>62</v>
      </c>
      <c r="T579" s="6" t="e">
        <v>#N/A</v>
      </c>
      <c r="U579" s="5">
        <v>50</v>
      </c>
      <c r="V579" s="5">
        <v>51</v>
      </c>
      <c r="W579" s="5">
        <v>39</v>
      </c>
      <c r="X579" s="5">
        <v>66</v>
      </c>
      <c r="Y579" s="5">
        <v>36.549999999999997</v>
      </c>
      <c r="Z579" s="5">
        <v>31.72</v>
      </c>
      <c r="AA579" s="5">
        <v>13.1</v>
      </c>
      <c r="AB579" s="5">
        <v>67.59</v>
      </c>
      <c r="AC579" s="6">
        <v>0.25</v>
      </c>
      <c r="AD579" s="6">
        <v>0.45</v>
      </c>
      <c r="AE579" s="6">
        <v>0.3</v>
      </c>
      <c r="AF579" s="4" t="s">
        <v>6296</v>
      </c>
      <c r="AG579" s="4" t="s">
        <v>6296</v>
      </c>
      <c r="AH579" s="4" t="s">
        <v>6296</v>
      </c>
      <c r="AI579" s="4" t="s">
        <v>6296</v>
      </c>
      <c r="AJ579" s="4" t="s">
        <v>6296</v>
      </c>
      <c r="AK579" s="4" t="s">
        <v>6296</v>
      </c>
      <c r="AL579" s="4" t="s">
        <v>6296</v>
      </c>
      <c r="AM579" s="4" t="s">
        <v>6296</v>
      </c>
      <c r="AN579" s="4" t="s">
        <v>6296</v>
      </c>
      <c r="AO579" s="4" t="s">
        <v>6296</v>
      </c>
      <c r="AP579" s="4" t="s">
        <v>6426</v>
      </c>
      <c r="AQ579" s="4" t="s">
        <v>47</v>
      </c>
    </row>
    <row r="580" spans="1:43" ht="12.6" customHeight="1" x14ac:dyDescent="0.25">
      <c r="A580" s="8" t="s">
        <v>3541</v>
      </c>
      <c r="B580" s="9">
        <v>20151231</v>
      </c>
      <c r="C580" s="12">
        <f>_xll.FDS("SPX","FG_PRICE(12/30/2015)")</f>
        <v>2063.36</v>
      </c>
      <c r="D580" s="12">
        <f>_xll.FDS("SPX","FG_PRICE(12/30/2017)")</f>
        <v>2673.61</v>
      </c>
      <c r="E580" s="15">
        <f>D580/C580-1</f>
        <v>0.2957554668114144</v>
      </c>
      <c r="F580" s="8" t="s">
        <v>3542</v>
      </c>
      <c r="G580" s="8" t="s">
        <v>3543</v>
      </c>
      <c r="H580" s="13">
        <f>_xll.FDS(G580,"FG_PRICE(12/30/2015)")</f>
        <v>53.25</v>
      </c>
      <c r="I580" s="13">
        <f>_xll.FDS(G580,"FG_PRICE(12/31/2017)")</f>
        <v>56.27</v>
      </c>
      <c r="J580" s="13">
        <f>I580/H580-1</f>
        <v>5.6713615023474162E-2</v>
      </c>
      <c r="K580" s="13">
        <f>J580-E580</f>
        <v>-0.23904185178794024</v>
      </c>
      <c r="L580" s="13">
        <f>_xll.FDS(G580,"FF_ROE(ANN_R,12/30/2015)")</f>
        <v>24.224688046173231</v>
      </c>
      <c r="M580" s="8" t="s">
        <v>3544</v>
      </c>
      <c r="N580" s="4" t="s">
        <v>3545</v>
      </c>
      <c r="O580" s="4" t="s">
        <v>3546</v>
      </c>
      <c r="P580" s="4" t="s">
        <v>96</v>
      </c>
      <c r="Q580" s="4" t="s">
        <v>55</v>
      </c>
      <c r="R580" s="4" t="s">
        <v>61</v>
      </c>
      <c r="S580" s="4" t="s">
        <v>62</v>
      </c>
      <c r="T580" s="6" t="e">
        <v>#N/A</v>
      </c>
      <c r="U580" s="5">
        <v>75</v>
      </c>
      <c r="V580" s="5">
        <v>80</v>
      </c>
      <c r="W580" s="5">
        <v>74</v>
      </c>
      <c r="X580" s="5">
        <v>74</v>
      </c>
      <c r="Y580" s="5">
        <v>94.48</v>
      </c>
      <c r="Z580" s="5">
        <v>89.66</v>
      </c>
      <c r="AA580" s="5">
        <v>97.24</v>
      </c>
      <c r="AB580" s="5">
        <v>88.97</v>
      </c>
      <c r="AC580" s="6">
        <v>0.25</v>
      </c>
      <c r="AD580" s="6">
        <v>0.45</v>
      </c>
      <c r="AE580" s="6">
        <v>0.3</v>
      </c>
      <c r="AF580" s="4" t="s">
        <v>6296</v>
      </c>
      <c r="AG580" s="4" t="s">
        <v>6296</v>
      </c>
      <c r="AH580" s="4" t="s">
        <v>6296</v>
      </c>
      <c r="AI580" s="4" t="s">
        <v>42</v>
      </c>
      <c r="AJ580" s="4" t="s">
        <v>42</v>
      </c>
      <c r="AK580" s="4" t="s">
        <v>45</v>
      </c>
      <c r="AL580" s="4" t="s">
        <v>37</v>
      </c>
      <c r="AM580" s="4" t="s">
        <v>37</v>
      </c>
      <c r="AN580" s="4" t="s">
        <v>37</v>
      </c>
      <c r="AO580" s="4" t="s">
        <v>37</v>
      </c>
      <c r="AP580" s="4" t="s">
        <v>3547</v>
      </c>
      <c r="AQ580" s="4" t="s">
        <v>47</v>
      </c>
    </row>
    <row r="581" spans="1:43" ht="12.6" customHeight="1" x14ac:dyDescent="0.25">
      <c r="A581" s="8" t="s">
        <v>734</v>
      </c>
      <c r="B581" s="9">
        <v>20151231</v>
      </c>
      <c r="C581" s="12">
        <f>_xll.FDS("SPX","FG_PRICE(12/30/2015)")</f>
        <v>2063.36</v>
      </c>
      <c r="D581" s="12">
        <f>_xll.FDS("SPX","FG_PRICE(12/30/2017)")</f>
        <v>2673.61</v>
      </c>
      <c r="E581" s="15">
        <f>D581/C581-1</f>
        <v>0.2957554668114144</v>
      </c>
      <c r="F581" s="8" t="s">
        <v>735</v>
      </c>
      <c r="G581" s="8" t="s">
        <v>736</v>
      </c>
      <c r="H581" s="13">
        <f>_xll.FDS(G581,"FG_PRICE(12/30/2015)")</f>
        <v>344.14</v>
      </c>
      <c r="I581" s="13">
        <f>_xll.FDS(G581,"FG_PRICE(12/31/2017)")</f>
        <v>619.52</v>
      </c>
      <c r="J581" s="13">
        <f>I581/H581-1</f>
        <v>0.80019759400244084</v>
      </c>
      <c r="K581" s="13">
        <f>J581-E581</f>
        <v>0.50444212719102643</v>
      </c>
      <c r="L581" s="13">
        <f>_xll.FDS(G581,"FF_ROE(ANN_R,12/30/2015)")</f>
        <v>40.883765540323708</v>
      </c>
      <c r="M581" s="8" t="s">
        <v>737</v>
      </c>
      <c r="N581" s="4" t="s">
        <v>737</v>
      </c>
      <c r="O581" s="4" t="s">
        <v>738</v>
      </c>
      <c r="P581" s="4" t="s">
        <v>96</v>
      </c>
      <c r="Q581" s="4" t="s">
        <v>55</v>
      </c>
      <c r="R581" s="4" t="s">
        <v>61</v>
      </c>
      <c r="S581" s="4" t="s">
        <v>62</v>
      </c>
      <c r="T581" s="6" t="e">
        <v>#N/A</v>
      </c>
      <c r="U581" s="5">
        <v>50</v>
      </c>
      <c r="V581" s="5">
        <v>73</v>
      </c>
      <c r="W581" s="5">
        <v>37</v>
      </c>
      <c r="X581" s="5">
        <v>51</v>
      </c>
      <c r="Y581" s="5">
        <v>36.549999999999997</v>
      </c>
      <c r="Z581" s="5">
        <v>78.62</v>
      </c>
      <c r="AA581" s="6">
        <v>5.52</v>
      </c>
      <c r="AB581" s="5">
        <v>22.07</v>
      </c>
      <c r="AC581" s="6">
        <v>0.25</v>
      </c>
      <c r="AD581" s="6">
        <v>0.45</v>
      </c>
      <c r="AE581" s="6">
        <v>0.3</v>
      </c>
      <c r="AF581" s="4" t="s">
        <v>6296</v>
      </c>
      <c r="AG581" s="4" t="s">
        <v>6296</v>
      </c>
      <c r="AH581" s="4" t="s">
        <v>6296</v>
      </c>
      <c r="AI581" s="4" t="s">
        <v>6296</v>
      </c>
      <c r="AJ581" s="4" t="s">
        <v>6296</v>
      </c>
      <c r="AK581" s="4" t="s">
        <v>6296</v>
      </c>
      <c r="AL581" s="4" t="s">
        <v>6296</v>
      </c>
      <c r="AM581" s="4" t="s">
        <v>6296</v>
      </c>
      <c r="AN581" s="4" t="s">
        <v>6296</v>
      </c>
      <c r="AO581" s="4" t="s">
        <v>6296</v>
      </c>
      <c r="AP581" s="4" t="s">
        <v>739</v>
      </c>
      <c r="AQ581" s="4" t="s">
        <v>47</v>
      </c>
    </row>
    <row r="582" spans="1:43" ht="12.6" customHeight="1" x14ac:dyDescent="0.25">
      <c r="A582" s="8" t="s">
        <v>2779</v>
      </c>
      <c r="B582" s="9">
        <v>20151231</v>
      </c>
      <c r="C582" s="12">
        <f>_xll.FDS("SPX","FG_PRICE(12/30/2015)")</f>
        <v>2063.36</v>
      </c>
      <c r="D582" s="12">
        <f>_xll.FDS("SPX","FG_PRICE(12/30/2017)")</f>
        <v>2673.61</v>
      </c>
      <c r="E582" s="15">
        <f>D582/C582-1</f>
        <v>0.2957554668114144</v>
      </c>
      <c r="F582" s="8" t="s">
        <v>2780</v>
      </c>
      <c r="G582" s="8" t="s">
        <v>2781</v>
      </c>
      <c r="H582" s="13">
        <f>_xll.FDS(G582,"FG_PRICE(12/30/2015)")</f>
        <v>43.9</v>
      </c>
      <c r="I582" s="13">
        <f>_xll.FDS(G582,"FG_PRICE(12/31/2017)")</f>
        <v>34.344999999999999</v>
      </c>
      <c r="J582" s="13">
        <f>I582/H582-1</f>
        <v>-0.2176537585421412</v>
      </c>
      <c r="K582" s="13">
        <f>J582-E582</f>
        <v>-0.5134092253535556</v>
      </c>
      <c r="L582" s="13">
        <f>_xll.FDS(G582,"FF_ROE(ANN_R,12/30/2015)")</f>
        <v>11.61394774302765</v>
      </c>
      <c r="M582" s="8" t="s">
        <v>2782</v>
      </c>
      <c r="N582" s="4" t="s">
        <v>2783</v>
      </c>
      <c r="O582" s="4" t="s">
        <v>2784</v>
      </c>
      <c r="P582" s="4" t="s">
        <v>106</v>
      </c>
      <c r="Q582" s="4" t="s">
        <v>55</v>
      </c>
      <c r="R582" s="4" t="s">
        <v>61</v>
      </c>
      <c r="S582" s="4" t="s">
        <v>62</v>
      </c>
      <c r="T582" s="6" t="e">
        <v>#N/A</v>
      </c>
      <c r="U582" s="5">
        <v>45</v>
      </c>
      <c r="V582" s="5">
        <v>47</v>
      </c>
      <c r="W582" s="5">
        <v>37</v>
      </c>
      <c r="X582" s="5">
        <v>54</v>
      </c>
      <c r="Y582" s="6">
        <v>9.66</v>
      </c>
      <c r="Z582" s="5">
        <v>21.38</v>
      </c>
      <c r="AA582" s="6">
        <v>5.52</v>
      </c>
      <c r="AB582" s="5">
        <v>29.66</v>
      </c>
      <c r="AC582" s="6">
        <v>0.25</v>
      </c>
      <c r="AD582" s="6">
        <v>0.45</v>
      </c>
      <c r="AE582" s="6">
        <v>0.3</v>
      </c>
      <c r="AF582" s="4" t="s">
        <v>6296</v>
      </c>
      <c r="AG582" s="4" t="s">
        <v>6296</v>
      </c>
      <c r="AH582" s="4" t="s">
        <v>6296</v>
      </c>
      <c r="AI582" s="4" t="s">
        <v>6296</v>
      </c>
      <c r="AJ582" s="4" t="s">
        <v>6296</v>
      </c>
      <c r="AK582" s="4" t="s">
        <v>6296</v>
      </c>
      <c r="AL582" s="4" t="s">
        <v>46</v>
      </c>
      <c r="AM582" s="4" t="s">
        <v>6296</v>
      </c>
      <c r="AN582" s="4" t="s">
        <v>6296</v>
      </c>
      <c r="AO582" s="4" t="s">
        <v>6296</v>
      </c>
      <c r="AP582" s="4" t="s">
        <v>2785</v>
      </c>
      <c r="AQ582" s="4" t="s">
        <v>47</v>
      </c>
    </row>
    <row r="583" spans="1:43" ht="12.6" customHeight="1" x14ac:dyDescent="0.25">
      <c r="A583" s="8" t="s">
        <v>5485</v>
      </c>
      <c r="B583" s="9">
        <v>20151231</v>
      </c>
      <c r="C583" s="12">
        <f>_xll.FDS("SPX","FG_PRICE(12/30/2015)")</f>
        <v>2063.36</v>
      </c>
      <c r="D583" s="12">
        <f>_xll.FDS("SPX","FG_PRICE(12/30/2017)")</f>
        <v>2673.61</v>
      </c>
      <c r="E583" s="15">
        <f>D583/C583-1</f>
        <v>0.2957554668114144</v>
      </c>
      <c r="F583" s="8" t="s">
        <v>5486</v>
      </c>
      <c r="G583" s="8" t="s">
        <v>5487</v>
      </c>
      <c r="H583" s="13">
        <f>_xll.FDS(G583,"FG_PRICE(12/30/2015)")</f>
        <v>76.53</v>
      </c>
      <c r="I583" s="13">
        <f>_xll.FDS(G583,"FG_PRICE(12/31/2017)")</f>
        <v>98.85</v>
      </c>
      <c r="J583" s="13">
        <f>I583/H583-1</f>
        <v>0.29165033320266542</v>
      </c>
      <c r="K583" s="13">
        <f>J583-E583</f>
        <v>-4.1051336087489787E-3</v>
      </c>
      <c r="L583" s="13">
        <f>_xll.FDS(G583,"FF_ROE(ANN_R,12/30/2015)")</f>
        <v>-141.2341134628299</v>
      </c>
      <c r="M583" s="8" t="s">
        <v>5488</v>
      </c>
      <c r="N583" s="4" t="s">
        <v>5489</v>
      </c>
      <c r="O583" s="4" t="s">
        <v>5490</v>
      </c>
      <c r="P583" s="4" t="s">
        <v>96</v>
      </c>
      <c r="Q583" s="4" t="s">
        <v>55</v>
      </c>
      <c r="R583" s="4" t="s">
        <v>61</v>
      </c>
      <c r="S583" s="4" t="s">
        <v>62</v>
      </c>
      <c r="T583" s="6" t="e">
        <v>#N/A</v>
      </c>
      <c r="U583" s="5">
        <v>48</v>
      </c>
      <c r="V583" s="5">
        <v>55</v>
      </c>
      <c r="W583" s="5">
        <v>35</v>
      </c>
      <c r="X583" s="5">
        <v>62</v>
      </c>
      <c r="Y583" s="5">
        <v>21.38</v>
      </c>
      <c r="Z583" s="5">
        <v>48.97</v>
      </c>
      <c r="AA583" s="6">
        <v>1.38</v>
      </c>
      <c r="AB583" s="5">
        <v>53.1</v>
      </c>
      <c r="AC583" s="6">
        <v>0.25</v>
      </c>
      <c r="AD583" s="6">
        <v>0.45</v>
      </c>
      <c r="AE583" s="6">
        <v>0.3</v>
      </c>
      <c r="AF583" s="4" t="s">
        <v>6296</v>
      </c>
      <c r="AG583" s="4" t="s">
        <v>6296</v>
      </c>
      <c r="AH583" s="4" t="s">
        <v>6296</v>
      </c>
      <c r="AI583" s="4" t="s">
        <v>6296</v>
      </c>
      <c r="AJ583" s="4" t="s">
        <v>6296</v>
      </c>
      <c r="AK583" s="4" t="s">
        <v>6296</v>
      </c>
      <c r="AL583" s="4" t="s">
        <v>6296</v>
      </c>
      <c r="AM583" s="4" t="s">
        <v>6296</v>
      </c>
      <c r="AN583" s="4" t="s">
        <v>6296</v>
      </c>
      <c r="AO583" s="4" t="s">
        <v>6296</v>
      </c>
      <c r="AP583" s="4" t="s">
        <v>5491</v>
      </c>
      <c r="AQ583" s="4" t="s">
        <v>47</v>
      </c>
    </row>
    <row r="584" spans="1:43" ht="12.6" customHeight="1" x14ac:dyDescent="0.25">
      <c r="A584" s="8" t="s">
        <v>3116</v>
      </c>
      <c r="B584" s="9">
        <v>20151231</v>
      </c>
      <c r="C584" s="12">
        <f>_xll.FDS("SPX","FG_PRICE(12/30/2015)")</f>
        <v>2063.36</v>
      </c>
      <c r="D584" s="12">
        <f>_xll.FDS("SPX","FG_PRICE(12/30/2017)")</f>
        <v>2673.61</v>
      </c>
      <c r="E584" s="15">
        <f>D584/C584-1</f>
        <v>0.2957554668114144</v>
      </c>
      <c r="F584" s="8" t="s">
        <v>3117</v>
      </c>
      <c r="G584" s="8" t="s">
        <v>3118</v>
      </c>
      <c r="H584" s="13">
        <f>_xll.FDS(G584,"FG_PRICE(12/30/2015)")</f>
        <v>32.75</v>
      </c>
      <c r="I584" s="13">
        <f>_xll.FDS(G584,"FG_PRICE(12/31/2017)")</f>
        <v>36.22</v>
      </c>
      <c r="J584" s="13">
        <f>I584/H584-1</f>
        <v>0.10595419847328236</v>
      </c>
      <c r="K584" s="13">
        <f>J584-E584</f>
        <v>-0.18980126833813205</v>
      </c>
      <c r="L584" s="13">
        <f>_xll.FDS(G584,"FF_ROE(ANN_R,12/30/2015)")</f>
        <v>12.31234079453688</v>
      </c>
      <c r="M584" s="8" t="s">
        <v>3119</v>
      </c>
      <c r="N584" s="4" t="s">
        <v>3119</v>
      </c>
      <c r="O584" s="4" t="s">
        <v>3120</v>
      </c>
      <c r="P584" s="4" t="s">
        <v>96</v>
      </c>
      <c r="Q584" s="4" t="s">
        <v>55</v>
      </c>
      <c r="R584" s="4" t="s">
        <v>61</v>
      </c>
      <c r="S584" s="4" t="s">
        <v>62</v>
      </c>
      <c r="T584" s="6" t="e">
        <v>#N/A</v>
      </c>
      <c r="U584" s="5">
        <v>66</v>
      </c>
      <c r="V584" s="5">
        <v>78</v>
      </c>
      <c r="W584" s="5">
        <v>59</v>
      </c>
      <c r="X584" s="5">
        <v>67</v>
      </c>
      <c r="Y584" s="5">
        <v>85.52</v>
      </c>
      <c r="Z584" s="5">
        <v>85.52</v>
      </c>
      <c r="AA584" s="5">
        <v>85.52</v>
      </c>
      <c r="AB584" s="5">
        <v>70.34</v>
      </c>
      <c r="AC584" s="6">
        <v>0.25</v>
      </c>
      <c r="AD584" s="6">
        <v>0.45</v>
      </c>
      <c r="AE584" s="6">
        <v>0.3</v>
      </c>
      <c r="AF584" s="4" t="s">
        <v>37</v>
      </c>
      <c r="AG584" s="4" t="s">
        <v>6296</v>
      </c>
      <c r="AH584" s="4" t="s">
        <v>6296</v>
      </c>
      <c r="AI584" s="4" t="s">
        <v>42</v>
      </c>
      <c r="AJ584" s="4" t="s">
        <v>42</v>
      </c>
      <c r="AK584" s="4" t="s">
        <v>46</v>
      </c>
      <c r="AL584" s="4" t="s">
        <v>37</v>
      </c>
      <c r="AM584" s="4" t="s">
        <v>46</v>
      </c>
      <c r="AN584" s="4" t="s">
        <v>42</v>
      </c>
      <c r="AO584" s="4" t="s">
        <v>37</v>
      </c>
      <c r="AP584" s="4" t="s">
        <v>3121</v>
      </c>
      <c r="AQ584" s="4" t="s">
        <v>47</v>
      </c>
    </row>
    <row r="585" spans="1:43" ht="12.6" customHeight="1" x14ac:dyDescent="0.25">
      <c r="A585" s="8" t="s">
        <v>1477</v>
      </c>
      <c r="B585" s="9">
        <v>20151231</v>
      </c>
      <c r="C585" s="12">
        <f>_xll.FDS("SPX","FG_PRICE(12/30/2015)")</f>
        <v>2063.36</v>
      </c>
      <c r="D585" s="12">
        <f>_xll.FDS("SPX","FG_PRICE(12/30/2017)")</f>
        <v>2673.61</v>
      </c>
      <c r="E585" s="15">
        <f>D585/C585-1</f>
        <v>0.2957554668114144</v>
      </c>
      <c r="F585" s="8" t="s">
        <v>1478</v>
      </c>
      <c r="G585" s="8" t="s">
        <v>1479</v>
      </c>
      <c r="H585" s="13">
        <f>_xll.FDS(G585,"FG_PRICE(12/30/2015)")</f>
        <v>53.93</v>
      </c>
      <c r="I585" s="13">
        <f>_xll.FDS(G585,"FG_PRICE(12/31/2017)")</f>
        <v>73.12</v>
      </c>
      <c r="J585" s="13">
        <f>I585/H585-1</f>
        <v>0.35583163359911008</v>
      </c>
      <c r="K585" s="13">
        <f>J585-E585</f>
        <v>6.0076166787695673E-2</v>
      </c>
      <c r="L585" s="13">
        <f>_xll.FDS(G585,"FF_ROE(ANN_R,12/30/2015)")</f>
        <v>7.985256859194731</v>
      </c>
      <c r="M585" s="8" t="s">
        <v>1480</v>
      </c>
      <c r="N585" s="4" t="s">
        <v>1481</v>
      </c>
      <c r="O585" s="4" t="s">
        <v>1482</v>
      </c>
      <c r="P585" s="4" t="s">
        <v>96</v>
      </c>
      <c r="Q585" s="4" t="s">
        <v>55</v>
      </c>
      <c r="R585" s="4" t="s">
        <v>61</v>
      </c>
      <c r="S585" s="4" t="s">
        <v>62</v>
      </c>
      <c r="T585" s="6" t="e">
        <v>#N/A</v>
      </c>
      <c r="U585" s="5">
        <v>60</v>
      </c>
      <c r="V585" s="5">
        <v>67</v>
      </c>
      <c r="W585" s="5">
        <v>55</v>
      </c>
      <c r="X585" s="5">
        <v>61</v>
      </c>
      <c r="Y585" s="5">
        <v>76.55</v>
      </c>
      <c r="Z585" s="5">
        <v>68.97</v>
      </c>
      <c r="AA585" s="5">
        <v>78.62</v>
      </c>
      <c r="AB585" s="5">
        <v>50.34</v>
      </c>
      <c r="AC585" s="6">
        <v>0.25</v>
      </c>
      <c r="AD585" s="6">
        <v>0.45</v>
      </c>
      <c r="AE585" s="6">
        <v>0.3</v>
      </c>
      <c r="AF585" s="4" t="s">
        <v>6296</v>
      </c>
      <c r="AG585" s="4" t="s">
        <v>6296</v>
      </c>
      <c r="AH585" s="4" t="s">
        <v>6296</v>
      </c>
      <c r="AI585" s="4" t="s">
        <v>6296</v>
      </c>
      <c r="AJ585" s="4" t="s">
        <v>6296</v>
      </c>
      <c r="AK585" s="4" t="s">
        <v>6296</v>
      </c>
      <c r="AL585" s="4" t="s">
        <v>6296</v>
      </c>
      <c r="AM585" s="4" t="s">
        <v>6296</v>
      </c>
      <c r="AN585" s="4" t="s">
        <v>6296</v>
      </c>
      <c r="AO585" s="4" t="s">
        <v>6296</v>
      </c>
      <c r="AP585" s="4" t="s">
        <v>1483</v>
      </c>
      <c r="AQ585" s="4" t="s">
        <v>47</v>
      </c>
    </row>
    <row r="586" spans="1:43" ht="12.6" customHeight="1" x14ac:dyDescent="0.25">
      <c r="A586" s="8" t="s">
        <v>3369</v>
      </c>
      <c r="B586" s="9">
        <v>20151231</v>
      </c>
      <c r="C586" s="12">
        <f>_xll.FDS("SPX","FG_PRICE(12/30/2015)")</f>
        <v>2063.36</v>
      </c>
      <c r="D586" s="12">
        <f>_xll.FDS("SPX","FG_PRICE(12/30/2017)")</f>
        <v>2673.61</v>
      </c>
      <c r="E586" s="15">
        <f>D586/C586-1</f>
        <v>0.2957554668114144</v>
      </c>
      <c r="F586" s="8" t="s">
        <v>3370</v>
      </c>
      <c r="G586" s="8" t="s">
        <v>3371</v>
      </c>
      <c r="H586" s="13">
        <f>_xll.FDS(G586,"FG_PRICE(12/30/2015)")</f>
        <v>548.19000000000005</v>
      </c>
      <c r="I586" s="13">
        <f>_xll.FDS(G586,"FG_PRICE(12/31/2017)")</f>
        <v>375.96</v>
      </c>
      <c r="J586" s="13">
        <f>I586/H586-1</f>
        <v>-0.31417939035735798</v>
      </c>
      <c r="K586" s="13">
        <f>J586-E586</f>
        <v>-0.60993485716877238</v>
      </c>
      <c r="L586" s="13">
        <f>_xll.FDS(G586,"FF_ROE(ANN_R,12/30/2015)")</f>
        <v>15.48922759673647</v>
      </c>
      <c r="M586" s="8" t="s">
        <v>3372</v>
      </c>
      <c r="N586" s="4" t="s">
        <v>3373</v>
      </c>
      <c r="O586" s="4" t="s">
        <v>3374</v>
      </c>
      <c r="P586" s="4" t="s">
        <v>106</v>
      </c>
      <c r="Q586" s="4" t="s">
        <v>55</v>
      </c>
      <c r="R586" s="4" t="s">
        <v>61</v>
      </c>
      <c r="S586" s="4" t="s">
        <v>62</v>
      </c>
      <c r="T586" s="6" t="e">
        <v>#N/A</v>
      </c>
      <c r="U586" s="5">
        <v>50</v>
      </c>
      <c r="V586" s="5">
        <v>48</v>
      </c>
      <c r="W586" s="5">
        <v>38</v>
      </c>
      <c r="X586" s="5">
        <v>70</v>
      </c>
      <c r="Y586" s="5">
        <v>36.549999999999997</v>
      </c>
      <c r="Z586" s="5">
        <v>26.21</v>
      </c>
      <c r="AA586" s="5">
        <v>10.34</v>
      </c>
      <c r="AB586" s="5">
        <v>80.69</v>
      </c>
      <c r="AC586" s="6">
        <v>0.25</v>
      </c>
      <c r="AD586" s="6">
        <v>0.45</v>
      </c>
      <c r="AE586" s="6">
        <v>0.3</v>
      </c>
      <c r="AF586" s="4" t="s">
        <v>6296</v>
      </c>
      <c r="AG586" s="4" t="s">
        <v>6296</v>
      </c>
      <c r="AH586" s="4" t="s">
        <v>6296</v>
      </c>
      <c r="AI586" s="4" t="s">
        <v>6296</v>
      </c>
      <c r="AJ586" s="4" t="s">
        <v>6296</v>
      </c>
      <c r="AK586" s="4" t="s">
        <v>6296</v>
      </c>
      <c r="AL586" s="4" t="s">
        <v>37</v>
      </c>
      <c r="AM586" s="4" t="s">
        <v>6296</v>
      </c>
      <c r="AN586" s="4" t="s">
        <v>6296</v>
      </c>
      <c r="AO586" s="4" t="s">
        <v>6296</v>
      </c>
      <c r="AP586" s="4" t="s">
        <v>3375</v>
      </c>
      <c r="AQ586" s="4" t="s">
        <v>47</v>
      </c>
    </row>
    <row r="587" spans="1:43" ht="12.6" customHeight="1" x14ac:dyDescent="0.25">
      <c r="A587" s="8" t="s">
        <v>6014</v>
      </c>
      <c r="B587" s="9">
        <v>20151231</v>
      </c>
      <c r="C587" s="12">
        <f>_xll.FDS("SPX","FG_PRICE(12/30/2015)")</f>
        <v>2063.36</v>
      </c>
      <c r="D587" s="12">
        <f>_xll.FDS("SPX","FG_PRICE(12/30/2017)")</f>
        <v>2673.61</v>
      </c>
      <c r="E587" s="15">
        <f>D587/C587-1</f>
        <v>0.2957554668114144</v>
      </c>
      <c r="F587" s="8" t="s">
        <v>6015</v>
      </c>
      <c r="G587" s="8" t="s">
        <v>6016</v>
      </c>
      <c r="H587" s="13">
        <f>_xll.FDS(G587,"FG_PRICE(12/30/2015)")</f>
        <v>91.21</v>
      </c>
      <c r="I587" s="13">
        <f>_xll.FDS(G587,"FG_PRICE(12/31/2017)")</f>
        <v>129.55000000000001</v>
      </c>
      <c r="J587" s="13">
        <f>I587/H587-1</f>
        <v>0.42034864598180044</v>
      </c>
      <c r="K587" s="13">
        <f>J587-E587</f>
        <v>0.12459317917038604</v>
      </c>
      <c r="L587" s="13">
        <f>_xll.FDS(G587,"FF_ROE(ANN_R,12/30/2015)")</f>
        <v>13.120813542808429</v>
      </c>
      <c r="M587" s="8" t="s">
        <v>6017</v>
      </c>
      <c r="N587" s="4" t="s">
        <v>6017</v>
      </c>
      <c r="O587" s="4" t="s">
        <v>6018</v>
      </c>
      <c r="P587" s="4" t="s">
        <v>106</v>
      </c>
      <c r="Q587" s="4" t="s">
        <v>55</v>
      </c>
      <c r="R587" s="4" t="s">
        <v>61</v>
      </c>
      <c r="S587" s="4" t="s">
        <v>62</v>
      </c>
      <c r="T587" s="6" t="e">
        <v>#N/A</v>
      </c>
      <c r="U587" s="5">
        <v>46</v>
      </c>
      <c r="V587" s="5">
        <v>42</v>
      </c>
      <c r="W587" s="5">
        <v>42</v>
      </c>
      <c r="X587" s="5">
        <v>57</v>
      </c>
      <c r="Y587" s="5">
        <v>14.48</v>
      </c>
      <c r="Z587" s="6">
        <v>0.69</v>
      </c>
      <c r="AA587" s="5">
        <v>26.9</v>
      </c>
      <c r="AB587" s="5">
        <v>38.619999999999997</v>
      </c>
      <c r="AC587" s="6">
        <v>0.25</v>
      </c>
      <c r="AD587" s="6">
        <v>0.45</v>
      </c>
      <c r="AE587" s="6">
        <v>0.3</v>
      </c>
      <c r="AF587" s="4" t="s">
        <v>6296</v>
      </c>
      <c r="AG587" s="4" t="s">
        <v>6296</v>
      </c>
      <c r="AH587" s="4" t="s">
        <v>6296</v>
      </c>
      <c r="AI587" s="4" t="s">
        <v>6296</v>
      </c>
      <c r="AJ587" s="4" t="s">
        <v>6296</v>
      </c>
      <c r="AK587" s="4" t="s">
        <v>6296</v>
      </c>
      <c r="AL587" s="4" t="s">
        <v>6296</v>
      </c>
      <c r="AM587" s="4" t="s">
        <v>42</v>
      </c>
      <c r="AN587" s="4" t="s">
        <v>6296</v>
      </c>
      <c r="AO587" s="4" t="s">
        <v>6296</v>
      </c>
      <c r="AP587" s="4" t="s">
        <v>6019</v>
      </c>
      <c r="AQ587" s="4" t="s">
        <v>47</v>
      </c>
    </row>
    <row r="588" spans="1:43" ht="12.6" customHeight="1" x14ac:dyDescent="0.25">
      <c r="A588" s="8" t="s">
        <v>3998</v>
      </c>
      <c r="B588" s="9">
        <v>20151231</v>
      </c>
      <c r="C588" s="12">
        <f>_xll.FDS("SPX","FG_PRICE(12/30/2015)")</f>
        <v>2063.36</v>
      </c>
      <c r="D588" s="12">
        <f>_xll.FDS("SPX","FG_PRICE(12/30/2017)")</f>
        <v>2673.61</v>
      </c>
      <c r="E588" s="15">
        <f>D588/C588-1</f>
        <v>0.2957554668114144</v>
      </c>
      <c r="F588" s="8" t="s">
        <v>3999</v>
      </c>
      <c r="G588" s="8" t="s">
        <v>4000</v>
      </c>
      <c r="H588" s="13">
        <f>_xll.FDS(G588,"FG_PRICE(12/30/2015)")</f>
        <v>142.86000000000001</v>
      </c>
      <c r="I588" s="13">
        <f>_xll.FDS(G588,"FG_PRICE(12/31/2017)")</f>
        <v>189.88</v>
      </c>
      <c r="J588" s="13">
        <f>I588/H588-1</f>
        <v>0.32913341733165313</v>
      </c>
      <c r="K588" s="13">
        <f>J588-E588</f>
        <v>3.3377950520238731E-2</v>
      </c>
      <c r="L588" s="13">
        <f>_xll.FDS(G588,"FF_ROE(ANN_R,12/30/2015)")</f>
        <v>10.135225455964839</v>
      </c>
      <c r="M588" s="8" t="s">
        <v>4001</v>
      </c>
      <c r="N588" s="4" t="s">
        <v>4001</v>
      </c>
      <c r="O588" s="4" t="s">
        <v>4002</v>
      </c>
      <c r="P588" s="4" t="s">
        <v>96</v>
      </c>
      <c r="Q588" s="4" t="s">
        <v>55</v>
      </c>
      <c r="R588" s="4" t="s">
        <v>61</v>
      </c>
      <c r="S588" s="4" t="s">
        <v>62</v>
      </c>
      <c r="T588" s="6" t="e">
        <v>#N/A</v>
      </c>
      <c r="U588" s="5">
        <v>58</v>
      </c>
      <c r="V588" s="5">
        <v>66</v>
      </c>
      <c r="W588" s="5">
        <v>52</v>
      </c>
      <c r="X588" s="5">
        <v>58</v>
      </c>
      <c r="Y588" s="5">
        <v>68.97</v>
      </c>
      <c r="Z588" s="5">
        <v>66.209999999999994</v>
      </c>
      <c r="AA588" s="5">
        <v>72.41</v>
      </c>
      <c r="AB588" s="5">
        <v>42.07</v>
      </c>
      <c r="AC588" s="6">
        <v>0.25</v>
      </c>
      <c r="AD588" s="6">
        <v>0.45</v>
      </c>
      <c r="AE588" s="6">
        <v>0.3</v>
      </c>
      <c r="AF588" s="4" t="s">
        <v>6296</v>
      </c>
      <c r="AG588" s="4" t="s">
        <v>6296</v>
      </c>
      <c r="AH588" s="4" t="s">
        <v>6296</v>
      </c>
      <c r="AI588" s="4" t="s">
        <v>42</v>
      </c>
      <c r="AJ588" s="4" t="s">
        <v>6296</v>
      </c>
      <c r="AK588" s="4" t="s">
        <v>6296</v>
      </c>
      <c r="AL588" s="4" t="s">
        <v>6296</v>
      </c>
      <c r="AM588" s="4" t="s">
        <v>42</v>
      </c>
      <c r="AN588" s="4" t="s">
        <v>6296</v>
      </c>
      <c r="AO588" s="4" t="s">
        <v>6296</v>
      </c>
      <c r="AP588" s="4" t="s">
        <v>4003</v>
      </c>
      <c r="AQ588" s="4" t="s">
        <v>47</v>
      </c>
    </row>
    <row r="589" spans="1:43" ht="12.6" customHeight="1" x14ac:dyDescent="0.25">
      <c r="A589" s="8" t="s">
        <v>1995</v>
      </c>
      <c r="B589" s="9">
        <v>20151231</v>
      </c>
      <c r="C589" s="12">
        <f>_xll.FDS("SPX","FG_PRICE(12/30/2015)")</f>
        <v>2063.36</v>
      </c>
      <c r="D589" s="12">
        <f>_xll.FDS("SPX","FG_PRICE(12/30/2017)")</f>
        <v>2673.61</v>
      </c>
      <c r="E589" s="15">
        <f>D589/C589-1</f>
        <v>0.2957554668114144</v>
      </c>
      <c r="F589" s="8" t="s">
        <v>1996</v>
      </c>
      <c r="G589" s="8" t="s">
        <v>1997</v>
      </c>
      <c r="H589" s="13">
        <f>_xll.FDS(G589,"FG_PRICE(12/30/2015)")</f>
        <v>158.53</v>
      </c>
      <c r="I589" s="13">
        <f>_xll.FDS(G589,"FG_PRICE(12/31/2017)")</f>
        <v>147.94999999999999</v>
      </c>
      <c r="J589" s="13">
        <f>I589/H589-1</f>
        <v>-6.6738156815744687E-2</v>
      </c>
      <c r="K589" s="13">
        <f>J589-E589</f>
        <v>-0.36249362362715909</v>
      </c>
      <c r="L589" s="13">
        <f>_xll.FDS(G589,"FF_ROE(ANN_R,12/30/2015)")</f>
        <v>26.953698074894369</v>
      </c>
      <c r="M589" s="8" t="s">
        <v>1998</v>
      </c>
      <c r="N589" s="4" t="s">
        <v>1998</v>
      </c>
      <c r="O589" s="4" t="s">
        <v>1999</v>
      </c>
      <c r="P589" s="4" t="s">
        <v>106</v>
      </c>
      <c r="Q589" s="4" t="s">
        <v>55</v>
      </c>
      <c r="R589" s="4" t="s">
        <v>61</v>
      </c>
      <c r="S589" s="4" t="s">
        <v>62</v>
      </c>
      <c r="T589" s="6" t="e">
        <v>#N/A</v>
      </c>
      <c r="U589" s="5">
        <v>50</v>
      </c>
      <c r="V589" s="5">
        <v>56</v>
      </c>
      <c r="W589" s="5">
        <v>43</v>
      </c>
      <c r="X589" s="5">
        <v>57</v>
      </c>
      <c r="Y589" s="5">
        <v>36.549999999999997</v>
      </c>
      <c r="Z589" s="5">
        <v>50.34</v>
      </c>
      <c r="AA589" s="5">
        <v>30.34</v>
      </c>
      <c r="AB589" s="5">
        <v>38.619999999999997</v>
      </c>
      <c r="AC589" s="6">
        <v>0.25</v>
      </c>
      <c r="AD589" s="6">
        <v>0.45</v>
      </c>
      <c r="AE589" s="6">
        <v>0.3</v>
      </c>
      <c r="AF589" s="4" t="s">
        <v>6296</v>
      </c>
      <c r="AG589" s="4" t="s">
        <v>6296</v>
      </c>
      <c r="AH589" s="4" t="s">
        <v>6296</v>
      </c>
      <c r="AI589" s="4" t="s">
        <v>6296</v>
      </c>
      <c r="AJ589" s="4" t="s">
        <v>6296</v>
      </c>
      <c r="AK589" s="4" t="s">
        <v>6296</v>
      </c>
      <c r="AL589" s="4" t="s">
        <v>6296</v>
      </c>
      <c r="AM589" s="4" t="s">
        <v>6296</v>
      </c>
      <c r="AN589" s="4" t="s">
        <v>6296</v>
      </c>
      <c r="AO589" s="4" t="s">
        <v>6296</v>
      </c>
      <c r="AP589" s="4" t="s">
        <v>2000</v>
      </c>
      <c r="AQ589" s="4" t="s">
        <v>47</v>
      </c>
    </row>
    <row r="590" spans="1:43" ht="12.6" customHeight="1" x14ac:dyDescent="0.25">
      <c r="A590" s="8" t="s">
        <v>4225</v>
      </c>
      <c r="B590" s="9">
        <v>20151231</v>
      </c>
      <c r="C590" s="12">
        <f>_xll.FDS("SPX","FG_PRICE(12/30/2015)")</f>
        <v>2063.36</v>
      </c>
      <c r="D590" s="12">
        <f>_xll.FDS("SPX","FG_PRICE(12/30/2017)")</f>
        <v>2673.61</v>
      </c>
      <c r="E590" s="15">
        <f>D590/C590-1</f>
        <v>0.2957554668114144</v>
      </c>
      <c r="F590" s="8" t="s">
        <v>4226</v>
      </c>
      <c r="G590" s="8" t="s">
        <v>4227</v>
      </c>
      <c r="H590" s="13">
        <f>_xll.FDS(G590,"FG_PRICE(12/30/2015)")</f>
        <v>126.4</v>
      </c>
      <c r="I590" s="13">
        <f>_xll.FDS(G590,"FG_PRICE(12/31/2017)")</f>
        <v>149.86000000000001</v>
      </c>
      <c r="J590" s="13">
        <f>I590/H590-1</f>
        <v>0.1856012658227848</v>
      </c>
      <c r="K590" s="13">
        <f>J590-E590</f>
        <v>-0.1101542009886296</v>
      </c>
      <c r="L590" s="13">
        <f>_xll.FDS(G590,"FF_ROE(ANN_R,12/30/2015)")</f>
        <v>-60.676125920298936</v>
      </c>
      <c r="M590" s="8" t="s">
        <v>4228</v>
      </c>
      <c r="N590" s="4" t="s">
        <v>4228</v>
      </c>
      <c r="O590" s="4" t="s">
        <v>4229</v>
      </c>
      <c r="P590" s="4" t="s">
        <v>106</v>
      </c>
      <c r="Q590" s="4" t="s">
        <v>55</v>
      </c>
      <c r="R590" s="4" t="s">
        <v>61</v>
      </c>
      <c r="S590" s="4" t="s">
        <v>62</v>
      </c>
      <c r="T590" s="6" t="e">
        <v>#N/A</v>
      </c>
      <c r="U590" s="5">
        <v>45</v>
      </c>
      <c r="V590" s="5">
        <v>49</v>
      </c>
      <c r="W590" s="5">
        <v>39</v>
      </c>
      <c r="X590" s="5">
        <v>50</v>
      </c>
      <c r="Y590" s="6">
        <v>9.66</v>
      </c>
      <c r="Z590" s="5">
        <v>27.59</v>
      </c>
      <c r="AA590" s="5">
        <v>13.1</v>
      </c>
      <c r="AB590" s="5">
        <v>17.93</v>
      </c>
      <c r="AC590" s="6">
        <v>0.25</v>
      </c>
      <c r="AD590" s="6">
        <v>0.45</v>
      </c>
      <c r="AE590" s="6">
        <v>0.3</v>
      </c>
      <c r="AF590" s="4" t="s">
        <v>6296</v>
      </c>
      <c r="AG590" s="4" t="s">
        <v>6296</v>
      </c>
      <c r="AH590" s="4" t="s">
        <v>6296</v>
      </c>
      <c r="AI590" s="4" t="s">
        <v>6296</v>
      </c>
      <c r="AJ590" s="4" t="s">
        <v>6296</v>
      </c>
      <c r="AK590" s="4" t="s">
        <v>42</v>
      </c>
      <c r="AL590" s="4" t="s">
        <v>6296</v>
      </c>
      <c r="AM590" s="4" t="s">
        <v>6296</v>
      </c>
      <c r="AN590" s="4" t="s">
        <v>42</v>
      </c>
      <c r="AO590" s="4" t="s">
        <v>6296</v>
      </c>
      <c r="AP590" s="4" t="s">
        <v>4230</v>
      </c>
      <c r="AQ590" s="4" t="s">
        <v>47</v>
      </c>
    </row>
    <row r="591" spans="1:43" ht="12.6" customHeight="1" x14ac:dyDescent="0.25">
      <c r="A591" s="8" t="s">
        <v>4275</v>
      </c>
      <c r="B591" s="9">
        <v>20151231</v>
      </c>
      <c r="C591" s="12">
        <f>_xll.FDS("SPX","FG_PRICE(12/30/2015)")</f>
        <v>2063.36</v>
      </c>
      <c r="D591" s="12">
        <f>_xll.FDS("SPX","FG_PRICE(12/30/2017)")</f>
        <v>2673.61</v>
      </c>
      <c r="E591" s="15">
        <f>D591/C591-1</f>
        <v>0.2957554668114144</v>
      </c>
      <c r="F591" s="8" t="s">
        <v>4276</v>
      </c>
      <c r="G591" s="8" t="s">
        <v>4277</v>
      </c>
      <c r="H591" s="13">
        <f>_xll.FDS(G591,"FG_PRICE(12/30/2015)")</f>
        <v>135.63999999999999</v>
      </c>
      <c r="I591" s="13">
        <f>_xll.FDS(G591,"FG_PRICE(12/31/2017)")</f>
        <v>193.19</v>
      </c>
      <c r="J591" s="13">
        <f>I591/H591-1</f>
        <v>0.42428487171925688</v>
      </c>
      <c r="K591" s="13">
        <f>J591-E591</f>
        <v>0.12852940490784248</v>
      </c>
      <c r="L591" s="13">
        <f>_xll.FDS(G591,"FF_ROE(ANN_R,12/30/2015)")</f>
        <v>23.599726505185171</v>
      </c>
      <c r="M591" s="8" t="s">
        <v>4278</v>
      </c>
      <c r="N591" s="4" t="s">
        <v>4278</v>
      </c>
      <c r="O591" s="4" t="s">
        <v>4279</v>
      </c>
      <c r="P591" s="4" t="s">
        <v>96</v>
      </c>
      <c r="Q591" s="4" t="s">
        <v>55</v>
      </c>
      <c r="R591" s="4" t="s">
        <v>61</v>
      </c>
      <c r="S591" s="4" t="s">
        <v>62</v>
      </c>
      <c r="T591" s="6" t="e">
        <v>#N/A</v>
      </c>
      <c r="U591" s="5">
        <v>62</v>
      </c>
      <c r="V591" s="5">
        <v>58</v>
      </c>
      <c r="W591" s="5">
        <v>51</v>
      </c>
      <c r="X591" s="5">
        <v>82</v>
      </c>
      <c r="Y591" s="5">
        <v>80.69</v>
      </c>
      <c r="Z591" s="5">
        <v>55.17</v>
      </c>
      <c r="AA591" s="5">
        <v>68.97</v>
      </c>
      <c r="AB591" s="5">
        <v>97.93</v>
      </c>
      <c r="AC591" s="6">
        <v>0.25</v>
      </c>
      <c r="AD591" s="6">
        <v>0.45</v>
      </c>
      <c r="AE591" s="6">
        <v>0.3</v>
      </c>
      <c r="AF591" s="4" t="s">
        <v>6296</v>
      </c>
      <c r="AG591" s="4" t="s">
        <v>6296</v>
      </c>
      <c r="AH591" s="4" t="s">
        <v>6296</v>
      </c>
      <c r="AI591" s="4" t="s">
        <v>6296</v>
      </c>
      <c r="AJ591" s="4" t="s">
        <v>6296</v>
      </c>
      <c r="AK591" s="4" t="s">
        <v>6296</v>
      </c>
      <c r="AL591" s="4" t="s">
        <v>6296</v>
      </c>
      <c r="AM591" s="4" t="s">
        <v>6296</v>
      </c>
      <c r="AN591" s="4" t="s">
        <v>6296</v>
      </c>
      <c r="AO591" s="4" t="s">
        <v>6296</v>
      </c>
      <c r="AP591" s="4" t="s">
        <v>4280</v>
      </c>
      <c r="AQ591" s="4" t="s">
        <v>47</v>
      </c>
    </row>
    <row r="592" spans="1:43" ht="12.6" customHeight="1" x14ac:dyDescent="0.25">
      <c r="A592" s="8" t="s">
        <v>5660</v>
      </c>
      <c r="B592" s="9">
        <v>20151231</v>
      </c>
      <c r="C592" s="12">
        <f>_xll.FDS("SPX","FG_PRICE(12/30/2015)")</f>
        <v>2063.36</v>
      </c>
      <c r="D592" s="12">
        <f>_xll.FDS("SPX","FG_PRICE(12/30/2017)")</f>
        <v>2673.61</v>
      </c>
      <c r="E592" s="15">
        <f>D592/C592-1</f>
        <v>0.2957554668114144</v>
      </c>
      <c r="F592" s="8" t="s">
        <v>5661</v>
      </c>
      <c r="G592" s="8" t="s">
        <v>5662</v>
      </c>
      <c r="H592" s="13">
        <f>_xll.FDS(G592,"FG_PRICE(12/30/2015)")</f>
        <v>48.26</v>
      </c>
      <c r="I592" s="13">
        <f>_xll.FDS(G592,"FG_PRICE(12/31/2017)")</f>
        <v>72.040000000000006</v>
      </c>
      <c r="J592" s="13">
        <f>I592/H592-1</f>
        <v>0.4927476170741818</v>
      </c>
      <c r="K592" s="13">
        <f>J592-E592</f>
        <v>0.1969921502627674</v>
      </c>
      <c r="L592" s="13">
        <f>_xll.FDS(G592,"FF_ROE(ANN_R,12/30/2015)")</f>
        <v>51.799200355397602</v>
      </c>
      <c r="M592" s="8" t="s">
        <v>5663</v>
      </c>
      <c r="N592" s="4" t="s">
        <v>5664</v>
      </c>
      <c r="O592" s="4" t="s">
        <v>5665</v>
      </c>
      <c r="P592" s="4" t="s">
        <v>96</v>
      </c>
      <c r="Q592" s="4" t="s">
        <v>55</v>
      </c>
      <c r="R592" s="4" t="s">
        <v>61</v>
      </c>
      <c r="S592" s="4" t="s">
        <v>62</v>
      </c>
      <c r="T592" s="6" t="e">
        <v>#N/A</v>
      </c>
      <c r="U592" s="5">
        <v>56</v>
      </c>
      <c r="V592" s="5">
        <v>53</v>
      </c>
      <c r="W592" s="5">
        <v>51</v>
      </c>
      <c r="X592" s="5">
        <v>67</v>
      </c>
      <c r="Y592" s="5">
        <v>61.38</v>
      </c>
      <c r="Z592" s="5">
        <v>40.69</v>
      </c>
      <c r="AA592" s="5">
        <v>68.97</v>
      </c>
      <c r="AB592" s="5">
        <v>70.34</v>
      </c>
      <c r="AC592" s="6">
        <v>0.25</v>
      </c>
      <c r="AD592" s="6">
        <v>0.45</v>
      </c>
      <c r="AE592" s="6">
        <v>0.3</v>
      </c>
      <c r="AF592" s="4" t="s">
        <v>6296</v>
      </c>
      <c r="AG592" s="4" t="s">
        <v>6296</v>
      </c>
      <c r="AH592" s="4" t="s">
        <v>6296</v>
      </c>
      <c r="AI592" s="4" t="s">
        <v>6296</v>
      </c>
      <c r="AJ592" s="4" t="s">
        <v>6296</v>
      </c>
      <c r="AK592" s="4" t="s">
        <v>42</v>
      </c>
      <c r="AL592" s="4" t="s">
        <v>6296</v>
      </c>
      <c r="AM592" s="4" t="s">
        <v>6296</v>
      </c>
      <c r="AN592" s="4" t="s">
        <v>6296</v>
      </c>
      <c r="AO592" s="4" t="s">
        <v>6296</v>
      </c>
      <c r="AP592" s="4" t="s">
        <v>5666</v>
      </c>
      <c r="AQ592" s="4" t="s">
        <v>47</v>
      </c>
    </row>
    <row r="593" spans="1:43" ht="12.6" customHeight="1" x14ac:dyDescent="0.25">
      <c r="A593" s="8" t="s">
        <v>6507</v>
      </c>
      <c r="B593" s="9">
        <v>20151231</v>
      </c>
      <c r="C593" s="12">
        <f>_xll.FDS("SPX","FG_PRICE(12/30/2015)")</f>
        <v>2063.36</v>
      </c>
      <c r="D593" s="12">
        <f>_xll.FDS("SPX","FG_PRICE(12/30/2017)")</f>
        <v>2673.61</v>
      </c>
      <c r="E593" s="15">
        <f>D593/C593-1</f>
        <v>0.2957554668114144</v>
      </c>
      <c r="F593" s="8" t="s">
        <v>6508</v>
      </c>
      <c r="G593" s="8" t="s">
        <v>6509</v>
      </c>
      <c r="H593" s="13">
        <f>_xll.FDS(G593,"FG_PRICE(12/30/2015)")</f>
        <v>1.19</v>
      </c>
      <c r="I593" s="13">
        <f>_xll.FDS(G593,"FG_PRICE(12/31/2017)")</f>
        <v>2.4</v>
      </c>
      <c r="J593" s="13">
        <f>I593/H593-1</f>
        <v>1.0168067226890756</v>
      </c>
      <c r="K593" s="13">
        <f>J593-E593</f>
        <v>0.72105125587766117</v>
      </c>
      <c r="L593" s="13">
        <f>_xll.FDS(G593,"FF_ROE(ANN_R,12/30/2015)")</f>
        <v>-0.52103913606453178</v>
      </c>
      <c r="M593" s="8" t="s">
        <v>6510</v>
      </c>
      <c r="N593" s="4" t="s">
        <v>6510</v>
      </c>
      <c r="O593" s="4" t="s">
        <v>5811</v>
      </c>
      <c r="P593" s="4" t="s">
        <v>108</v>
      </c>
      <c r="Q593" s="4" t="s">
        <v>77</v>
      </c>
      <c r="R593" s="4" t="s">
        <v>61</v>
      </c>
      <c r="S593" s="4" t="s">
        <v>62</v>
      </c>
      <c r="T593" s="6" t="e">
        <v>#N/A</v>
      </c>
      <c r="U593" s="5">
        <v>54</v>
      </c>
      <c r="V593" s="5">
        <v>46</v>
      </c>
      <c r="W593" s="5">
        <v>53</v>
      </c>
      <c r="X593" s="5">
        <v>68</v>
      </c>
      <c r="Y593" s="5">
        <v>23.68</v>
      </c>
      <c r="Z593" s="5">
        <v>14.47</v>
      </c>
      <c r="AA593" s="5">
        <v>28.95</v>
      </c>
      <c r="AB593" s="5">
        <v>56.58</v>
      </c>
      <c r="AC593" s="6">
        <v>0.35</v>
      </c>
      <c r="AD593" s="6">
        <v>0.4</v>
      </c>
      <c r="AE593" s="6">
        <v>0.25</v>
      </c>
      <c r="AF593" s="4" t="s">
        <v>6296</v>
      </c>
      <c r="AG593" s="4" t="s">
        <v>6296</v>
      </c>
      <c r="AH593" s="4" t="s">
        <v>6296</v>
      </c>
      <c r="AI593" s="4" t="s">
        <v>6296</v>
      </c>
      <c r="AJ593" s="4" t="s">
        <v>6296</v>
      </c>
      <c r="AK593" s="4" t="s">
        <v>6296</v>
      </c>
      <c r="AL593" s="4" t="s">
        <v>42</v>
      </c>
      <c r="AM593" s="4" t="s">
        <v>6296</v>
      </c>
      <c r="AN593" s="4" t="s">
        <v>6296</v>
      </c>
      <c r="AO593" s="4" t="s">
        <v>6296</v>
      </c>
      <c r="AP593" s="4" t="s">
        <v>6511</v>
      </c>
      <c r="AQ593" s="4" t="s">
        <v>47</v>
      </c>
    </row>
    <row r="594" spans="1:43" ht="12.6" customHeight="1" x14ac:dyDescent="0.25">
      <c r="A594" s="8" t="s">
        <v>5145</v>
      </c>
      <c r="B594" s="9">
        <v>20151231</v>
      </c>
      <c r="C594" s="12">
        <f>_xll.FDS("SPX","FG_PRICE(12/30/2015)")</f>
        <v>2063.36</v>
      </c>
      <c r="D594" s="12">
        <f>_xll.FDS("SPX","FG_PRICE(12/30/2017)")</f>
        <v>2673.61</v>
      </c>
      <c r="E594" s="15">
        <f>D594/C594-1</f>
        <v>0.2957554668114144</v>
      </c>
      <c r="F594" s="8" t="s">
        <v>5146</v>
      </c>
      <c r="G594" s="8" t="s">
        <v>5147</v>
      </c>
      <c r="H594" s="13">
        <f>_xll.FDS(G594,"FG_PRICE(12/30/2015)")</f>
        <v>2.48</v>
      </c>
      <c r="I594" s="13">
        <f>_xll.FDS(G594,"FG_PRICE(12/31/2017)")</f>
        <v>2.23</v>
      </c>
      <c r="J594" s="13">
        <f>I594/H594-1</f>
        <v>-0.10080645161290325</v>
      </c>
      <c r="K594" s="13">
        <f>J594-E594</f>
        <v>-0.39656191842431765</v>
      </c>
      <c r="L594" s="13">
        <f>_xll.FDS(G594,"FF_ROE(ANN_R,12/30/2015)")</f>
        <v>11.64554684493665</v>
      </c>
      <c r="M594" s="8" t="s">
        <v>5148</v>
      </c>
      <c r="N594" s="4" t="s">
        <v>5148</v>
      </c>
      <c r="O594" s="4" t="s">
        <v>4519</v>
      </c>
      <c r="P594" s="4" t="s">
        <v>108</v>
      </c>
      <c r="Q594" s="4" t="s">
        <v>77</v>
      </c>
      <c r="R594" s="4" t="s">
        <v>61</v>
      </c>
      <c r="S594" s="4" t="s">
        <v>62</v>
      </c>
      <c r="T594" s="6" t="e">
        <v>#N/A</v>
      </c>
      <c r="U594" s="5">
        <v>56</v>
      </c>
      <c r="V594" s="5">
        <v>46</v>
      </c>
      <c r="W594" s="5">
        <v>57</v>
      </c>
      <c r="X594" s="5">
        <v>68</v>
      </c>
      <c r="Y594" s="5">
        <v>35.53</v>
      </c>
      <c r="Z594" s="5">
        <v>14.47</v>
      </c>
      <c r="AA594" s="5">
        <v>43.42</v>
      </c>
      <c r="AB594" s="5">
        <v>56.58</v>
      </c>
      <c r="AC594" s="6">
        <v>0.35</v>
      </c>
      <c r="AD594" s="6">
        <v>0.4</v>
      </c>
      <c r="AE594" s="6">
        <v>0.25</v>
      </c>
      <c r="AF594" s="4" t="s">
        <v>6296</v>
      </c>
      <c r="AG594" s="4" t="s">
        <v>6296</v>
      </c>
      <c r="AH594" s="4" t="s">
        <v>6296</v>
      </c>
      <c r="AI594" s="4" t="s">
        <v>6296</v>
      </c>
      <c r="AJ594" s="4" t="s">
        <v>6296</v>
      </c>
      <c r="AK594" s="4" t="s">
        <v>6296</v>
      </c>
      <c r="AL594" s="4" t="s">
        <v>6296</v>
      </c>
      <c r="AM594" s="4" t="s">
        <v>6296</v>
      </c>
      <c r="AN594" s="4" t="s">
        <v>6296</v>
      </c>
      <c r="AO594" s="4" t="s">
        <v>6296</v>
      </c>
      <c r="AP594" s="4" t="s">
        <v>5149</v>
      </c>
      <c r="AQ594" s="4" t="s">
        <v>47</v>
      </c>
    </row>
    <row r="595" spans="1:43" ht="12.6" customHeight="1" x14ac:dyDescent="0.25">
      <c r="A595" s="8" t="s">
        <v>6342</v>
      </c>
      <c r="B595" s="9">
        <v>20151231</v>
      </c>
      <c r="C595" s="12">
        <f>_xll.FDS("SPX","FG_PRICE(12/30/2015)")</f>
        <v>2063.36</v>
      </c>
      <c r="D595" s="12">
        <f>_xll.FDS("SPX","FG_PRICE(12/30/2017)")</f>
        <v>2673.61</v>
      </c>
      <c r="E595" s="15">
        <f>D595/C595-1</f>
        <v>0.2957554668114144</v>
      </c>
      <c r="F595" s="8" t="s">
        <v>6343</v>
      </c>
      <c r="G595" s="8" t="s">
        <v>6344</v>
      </c>
      <c r="H595" s="13">
        <f>_xll.FDS(G595,"FG_PRICE(12/30/2015)")</f>
        <v>0.1701</v>
      </c>
      <c r="I595" s="13">
        <f>_xll.FDS(G595,"FG_PRICE(12/31/2017)")</f>
        <v>0.89</v>
      </c>
      <c r="J595" s="13">
        <f>I595/H595-1</f>
        <v>4.2322163433274547</v>
      </c>
      <c r="K595" s="13">
        <f>J595-E595</f>
        <v>3.9364608765160405</v>
      </c>
      <c r="L595" s="13">
        <f>_xll.FDS(G595,"FF_ROE(ANN_R,12/30/2015)")</f>
        <v>-200.53784833373649</v>
      </c>
      <c r="M595" s="8" t="s">
        <v>6345</v>
      </c>
      <c r="N595" s="4" t="s">
        <v>6345</v>
      </c>
      <c r="O595" s="4" t="s">
        <v>6346</v>
      </c>
      <c r="P595" s="4" t="s">
        <v>108</v>
      </c>
      <c r="Q595" s="4" t="s">
        <v>77</v>
      </c>
      <c r="R595" s="4" t="s">
        <v>61</v>
      </c>
      <c r="S595" s="4" t="s">
        <v>62</v>
      </c>
      <c r="T595" s="6" t="e">
        <v>#N/A</v>
      </c>
      <c r="U595" s="5">
        <v>67</v>
      </c>
      <c r="V595" s="5">
        <v>51</v>
      </c>
      <c r="W595" s="5">
        <v>71</v>
      </c>
      <c r="X595" s="5">
        <v>81</v>
      </c>
      <c r="Y595" s="5">
        <v>71.05</v>
      </c>
      <c r="Z595" s="5">
        <v>38.159999999999997</v>
      </c>
      <c r="AA595" s="5">
        <v>82.89</v>
      </c>
      <c r="AB595" s="5">
        <v>78.95</v>
      </c>
      <c r="AC595" s="6">
        <v>0.35</v>
      </c>
      <c r="AD595" s="6">
        <v>0.4</v>
      </c>
      <c r="AE595" s="6">
        <v>0.25</v>
      </c>
      <c r="AF595" s="4" t="s">
        <v>37</v>
      </c>
      <c r="AG595" s="4" t="s">
        <v>6296</v>
      </c>
      <c r="AH595" s="4" t="s">
        <v>6296</v>
      </c>
      <c r="AI595" s="4" t="s">
        <v>37</v>
      </c>
      <c r="AJ595" s="4" t="s">
        <v>6296</v>
      </c>
      <c r="AK595" s="4" t="s">
        <v>6296</v>
      </c>
      <c r="AL595" s="4" t="s">
        <v>42</v>
      </c>
      <c r="AM595" s="4" t="s">
        <v>6296</v>
      </c>
      <c r="AN595" s="4" t="s">
        <v>6296</v>
      </c>
      <c r="AO595" s="4" t="s">
        <v>6296</v>
      </c>
      <c r="AP595" s="4" t="s">
        <v>6347</v>
      </c>
      <c r="AQ595" s="4" t="s">
        <v>47</v>
      </c>
    </row>
    <row r="596" spans="1:43" ht="12.6" customHeight="1" x14ac:dyDescent="0.25">
      <c r="A596" s="8" t="s">
        <v>2879</v>
      </c>
      <c r="B596" s="9">
        <v>20151231</v>
      </c>
      <c r="C596" s="12">
        <f>_xll.FDS("SPX","FG_PRICE(12/30/2015)")</f>
        <v>2063.36</v>
      </c>
      <c r="D596" s="12">
        <f>_xll.FDS("SPX","FG_PRICE(12/30/2017)")</f>
        <v>2673.61</v>
      </c>
      <c r="E596" s="15">
        <f>D596/C596-1</f>
        <v>0.2957554668114144</v>
      </c>
      <c r="F596" s="8" t="s">
        <v>2880</v>
      </c>
      <c r="G596" s="8" t="s">
        <v>2881</v>
      </c>
      <c r="H596" s="13">
        <f>_xll.FDS(G596,"FG_PRICE(12/30/2015)")</f>
        <v>17.77</v>
      </c>
      <c r="I596" s="13">
        <f>_xll.FDS(G596,"FG_PRICE(12/31/2017)")</f>
        <v>37.520000000000003</v>
      </c>
      <c r="J596" s="13">
        <f>I596/H596-1</f>
        <v>1.111423747889702</v>
      </c>
      <c r="K596" s="13">
        <f>J596-E596</f>
        <v>0.81566828107828759</v>
      </c>
      <c r="L596" s="13">
        <f>_xll.FDS(G596,"FF_ROE(ANN_R,12/30/2015)")</f>
        <v>5.368601518491305</v>
      </c>
      <c r="M596" s="8" t="s">
        <v>2882</v>
      </c>
      <c r="N596" s="4" t="s">
        <v>2883</v>
      </c>
      <c r="O596" s="4" t="s">
        <v>2884</v>
      </c>
      <c r="P596" s="4" t="s">
        <v>96</v>
      </c>
      <c r="Q596" s="4" t="s">
        <v>77</v>
      </c>
      <c r="R596" s="4" t="s">
        <v>61</v>
      </c>
      <c r="S596" s="4" t="s">
        <v>62</v>
      </c>
      <c r="T596" s="6" t="e">
        <v>#N/A</v>
      </c>
      <c r="U596" s="5">
        <v>69</v>
      </c>
      <c r="V596" s="5">
        <v>55</v>
      </c>
      <c r="W596" s="5">
        <v>67</v>
      </c>
      <c r="X596" s="5">
        <v>92</v>
      </c>
      <c r="Y596" s="5">
        <v>77.63</v>
      </c>
      <c r="Z596" s="5">
        <v>51.32</v>
      </c>
      <c r="AA596" s="5">
        <v>71.05</v>
      </c>
      <c r="AB596" s="5">
        <v>97.37</v>
      </c>
      <c r="AC596" s="6">
        <v>0.35</v>
      </c>
      <c r="AD596" s="6">
        <v>0.4</v>
      </c>
      <c r="AE596" s="6">
        <v>0.25</v>
      </c>
      <c r="AF596" s="4" t="s">
        <v>46</v>
      </c>
      <c r="AG596" s="4" t="s">
        <v>6296</v>
      </c>
      <c r="AH596" s="4" t="s">
        <v>6296</v>
      </c>
      <c r="AI596" s="4" t="s">
        <v>37</v>
      </c>
      <c r="AJ596" s="4" t="s">
        <v>6296</v>
      </c>
      <c r="AK596" s="4" t="s">
        <v>6296</v>
      </c>
      <c r="AL596" s="4" t="s">
        <v>46</v>
      </c>
      <c r="AM596" s="4" t="s">
        <v>42</v>
      </c>
      <c r="AN596" s="4" t="s">
        <v>6296</v>
      </c>
      <c r="AO596" s="4" t="s">
        <v>42</v>
      </c>
      <c r="AP596" s="4" t="s">
        <v>2885</v>
      </c>
      <c r="AQ596" s="4" t="s">
        <v>47</v>
      </c>
    </row>
    <row r="597" spans="1:43" ht="12.6" customHeight="1" x14ac:dyDescent="0.25">
      <c r="A597" s="8" t="s">
        <v>5925</v>
      </c>
      <c r="B597" s="9">
        <v>20151231</v>
      </c>
      <c r="C597" s="12">
        <f>_xll.FDS("SPX","FG_PRICE(12/30/2015)")</f>
        <v>2063.36</v>
      </c>
      <c r="D597" s="12">
        <f>_xll.FDS("SPX","FG_PRICE(12/30/2017)")</f>
        <v>2673.61</v>
      </c>
      <c r="E597" s="15">
        <f>D597/C597-1</f>
        <v>0.2957554668114144</v>
      </c>
      <c r="F597" s="8" t="s">
        <v>5926</v>
      </c>
      <c r="G597" s="8" t="s">
        <v>5927</v>
      </c>
      <c r="H597" s="13">
        <f>_xll.FDS(G597,"FG_PRICE(12/30/2015)")</f>
        <v>13.88</v>
      </c>
      <c r="I597" s="13">
        <f>_xll.FDS(G597,"FG_PRICE(12/31/2017)")</f>
        <v>14.52</v>
      </c>
      <c r="J597" s="13">
        <f>I597/H597-1</f>
        <v>4.6109510086455252E-2</v>
      </c>
      <c r="K597" s="13">
        <f>J597-E597</f>
        <v>-0.24964595672495915</v>
      </c>
      <c r="L597" s="13" t="e">
        <f>_xll.FDS(G597,"FF_ROE(ANN_R,12/30/2015)")</f>
        <v>#N/A</v>
      </c>
      <c r="M597" s="8" t="s">
        <v>5928</v>
      </c>
      <c r="N597" s="4" t="s">
        <v>5929</v>
      </c>
      <c r="O597" s="4" t="s">
        <v>4492</v>
      </c>
      <c r="P597" s="4" t="s">
        <v>108</v>
      </c>
      <c r="Q597" s="4" t="s">
        <v>77</v>
      </c>
      <c r="R597" s="4" t="s">
        <v>61</v>
      </c>
      <c r="S597" s="4" t="s">
        <v>62</v>
      </c>
      <c r="T597" s="6" t="e">
        <v>#N/A</v>
      </c>
      <c r="U597" s="5">
        <v>47</v>
      </c>
      <c r="V597" s="5">
        <v>49</v>
      </c>
      <c r="W597" s="5">
        <v>44</v>
      </c>
      <c r="X597" s="5">
        <v>48</v>
      </c>
      <c r="Y597" s="6">
        <v>6.58</v>
      </c>
      <c r="Z597" s="5">
        <v>32.89</v>
      </c>
      <c r="AA597" s="6">
        <v>3.95</v>
      </c>
      <c r="AB597" s="6">
        <v>2.63</v>
      </c>
      <c r="AC597" s="6">
        <v>0.35</v>
      </c>
      <c r="AD597" s="6">
        <v>0.4</v>
      </c>
      <c r="AE597" s="6">
        <v>0.25</v>
      </c>
      <c r="AF597" s="4" t="s">
        <v>6296</v>
      </c>
      <c r="AG597" s="4" t="s">
        <v>6296</v>
      </c>
      <c r="AH597" s="4" t="s">
        <v>6296</v>
      </c>
      <c r="AI597" s="4" t="s">
        <v>6296</v>
      </c>
      <c r="AJ597" s="4" t="s">
        <v>6296</v>
      </c>
      <c r="AK597" s="4" t="s">
        <v>6296</v>
      </c>
      <c r="AL597" s="4" t="s">
        <v>6296</v>
      </c>
      <c r="AM597" s="4" t="s">
        <v>6296</v>
      </c>
      <c r="AN597" s="4" t="s">
        <v>6296</v>
      </c>
      <c r="AO597" s="4" t="s">
        <v>6296</v>
      </c>
      <c r="AP597" s="4" t="s">
        <v>5930</v>
      </c>
      <c r="AQ597" s="4" t="s">
        <v>47</v>
      </c>
    </row>
    <row r="598" spans="1:43" ht="12.6" customHeight="1" x14ac:dyDescent="0.25">
      <c r="A598" s="8" t="s">
        <v>3450</v>
      </c>
      <c r="B598" s="9">
        <v>20151231</v>
      </c>
      <c r="C598" s="12">
        <f>_xll.FDS("SPX","FG_PRICE(12/30/2015)")</f>
        <v>2063.36</v>
      </c>
      <c r="D598" s="12">
        <f>_xll.FDS("SPX","FG_PRICE(12/30/2017)")</f>
        <v>2673.61</v>
      </c>
      <c r="E598" s="15">
        <f>D598/C598-1</f>
        <v>0.2957554668114144</v>
      </c>
      <c r="F598" s="8" t="s">
        <v>3451</v>
      </c>
      <c r="G598" s="8" t="s">
        <v>3452</v>
      </c>
      <c r="H598" s="13">
        <f>_xll.FDS(G598,"FG_PRICE(12/30/2015)")</f>
        <v>35.93</v>
      </c>
      <c r="I598" s="13">
        <f>_xll.FDS(G598,"FG_PRICE(12/31/2017)")</f>
        <v>82.12</v>
      </c>
      <c r="J598" s="13">
        <f>I598/H598-1</f>
        <v>1.2855552463122741</v>
      </c>
      <c r="K598" s="13">
        <f>J598-E598</f>
        <v>0.98979977950085973</v>
      </c>
      <c r="L598" s="13">
        <f>_xll.FDS(G598,"FF_ROE(ANN_R,12/30/2015)")</f>
        <v>2.2075908584114989</v>
      </c>
      <c r="M598" s="8" t="s">
        <v>3453</v>
      </c>
      <c r="N598" s="4" t="s">
        <v>3454</v>
      </c>
      <c r="O598" s="4" t="s">
        <v>3455</v>
      </c>
      <c r="P598" s="4" t="s">
        <v>106</v>
      </c>
      <c r="Q598" s="4" t="s">
        <v>77</v>
      </c>
      <c r="R598" s="4" t="s">
        <v>61</v>
      </c>
      <c r="S598" s="4" t="s">
        <v>62</v>
      </c>
      <c r="T598" s="6" t="e">
        <v>#N/A</v>
      </c>
      <c r="U598" s="5">
        <v>48</v>
      </c>
      <c r="V598" s="5">
        <v>39</v>
      </c>
      <c r="W598" s="5">
        <v>48</v>
      </c>
      <c r="X598" s="5">
        <v>60</v>
      </c>
      <c r="Y598" s="6">
        <v>9.2100000000000009</v>
      </c>
      <c r="Z598" s="6">
        <v>5.26</v>
      </c>
      <c r="AA598" s="5">
        <v>11.84</v>
      </c>
      <c r="AB598" s="5">
        <v>31.58</v>
      </c>
      <c r="AC598" s="6">
        <v>0.35</v>
      </c>
      <c r="AD598" s="6">
        <v>0.4</v>
      </c>
      <c r="AE598" s="6">
        <v>0.25</v>
      </c>
      <c r="AF598" s="4" t="s">
        <v>6296</v>
      </c>
      <c r="AG598" s="4" t="s">
        <v>6296</v>
      </c>
      <c r="AH598" s="4" t="s">
        <v>6296</v>
      </c>
      <c r="AI598" s="4" t="s">
        <v>6296</v>
      </c>
      <c r="AJ598" s="4" t="s">
        <v>6296</v>
      </c>
      <c r="AK598" s="4" t="s">
        <v>6296</v>
      </c>
      <c r="AL598" s="4" t="s">
        <v>6296</v>
      </c>
      <c r="AM598" s="4" t="s">
        <v>6296</v>
      </c>
      <c r="AN598" s="4" t="s">
        <v>6296</v>
      </c>
      <c r="AO598" s="4" t="s">
        <v>6296</v>
      </c>
      <c r="AP598" s="4" t="s">
        <v>3456</v>
      </c>
      <c r="AQ598" s="4" t="s">
        <v>47</v>
      </c>
    </row>
    <row r="599" spans="1:43" ht="12.6" customHeight="1" x14ac:dyDescent="0.25">
      <c r="A599" s="8" t="s">
        <v>5308</v>
      </c>
      <c r="B599" s="9">
        <v>20151231</v>
      </c>
      <c r="C599" s="12">
        <f>_xll.FDS("SPX","FG_PRICE(12/30/2015)")</f>
        <v>2063.36</v>
      </c>
      <c r="D599" s="12">
        <f>_xll.FDS("SPX","FG_PRICE(12/30/2017)")</f>
        <v>2673.61</v>
      </c>
      <c r="E599" s="15">
        <f>D599/C599-1</f>
        <v>0.2957554668114144</v>
      </c>
      <c r="F599" s="8" t="s">
        <v>5309</v>
      </c>
      <c r="G599" s="8" t="s">
        <v>5310</v>
      </c>
      <c r="H599" s="13">
        <f>_xll.FDS(G599,"FG_PRICE(12/30/2015)")</f>
        <v>11.83</v>
      </c>
      <c r="I599" s="13">
        <f>_xll.FDS(G599,"FG_PRICE(12/31/2017)")</f>
        <v>6.03</v>
      </c>
      <c r="J599" s="13">
        <f>I599/H599-1</f>
        <v>-0.49027895181741332</v>
      </c>
      <c r="K599" s="13">
        <f>J599-E599</f>
        <v>-0.78603441862882772</v>
      </c>
      <c r="L599" s="13">
        <f>_xll.FDS(G599,"FF_ROE(ANN_R,12/30/2015)")</f>
        <v>10.90194909177846</v>
      </c>
      <c r="M599" s="8" t="s">
        <v>5311</v>
      </c>
      <c r="N599" s="4" t="s">
        <v>5311</v>
      </c>
      <c r="O599" s="4" t="s">
        <v>4021</v>
      </c>
      <c r="P599" s="4" t="s">
        <v>108</v>
      </c>
      <c r="Q599" s="4" t="s">
        <v>77</v>
      </c>
      <c r="R599" s="4" t="s">
        <v>61</v>
      </c>
      <c r="S599" s="4" t="s">
        <v>62</v>
      </c>
      <c r="T599" s="6" t="e">
        <v>#N/A</v>
      </c>
      <c r="U599" s="5">
        <v>59</v>
      </c>
      <c r="V599" s="5">
        <v>49</v>
      </c>
      <c r="W599" s="5">
        <v>56</v>
      </c>
      <c r="X599" s="5">
        <v>77</v>
      </c>
      <c r="Y599" s="5">
        <v>43.42</v>
      </c>
      <c r="Z599" s="5">
        <v>32.89</v>
      </c>
      <c r="AA599" s="5">
        <v>36.840000000000003</v>
      </c>
      <c r="AB599" s="5">
        <v>73.680000000000007</v>
      </c>
      <c r="AC599" s="6">
        <v>0.35</v>
      </c>
      <c r="AD599" s="6">
        <v>0.4</v>
      </c>
      <c r="AE599" s="6">
        <v>0.25</v>
      </c>
      <c r="AF599" s="4" t="s">
        <v>37</v>
      </c>
      <c r="AG599" s="4" t="s">
        <v>6296</v>
      </c>
      <c r="AH599" s="4" t="s">
        <v>6296</v>
      </c>
      <c r="AI599" s="4" t="s">
        <v>6296</v>
      </c>
      <c r="AJ599" s="4" t="s">
        <v>6296</v>
      </c>
      <c r="AK599" s="4" t="s">
        <v>6296</v>
      </c>
      <c r="AL599" s="4" t="s">
        <v>248</v>
      </c>
      <c r="AM599" s="4" t="s">
        <v>6296</v>
      </c>
      <c r="AN599" s="4" t="s">
        <v>6296</v>
      </c>
      <c r="AO599" s="4" t="s">
        <v>6296</v>
      </c>
      <c r="AP599" s="4" t="s">
        <v>5312</v>
      </c>
      <c r="AQ599" s="4" t="s">
        <v>47</v>
      </c>
    </row>
    <row r="600" spans="1:43" ht="12.6" customHeight="1" x14ac:dyDescent="0.25">
      <c r="A600" s="8" t="s">
        <v>6479</v>
      </c>
      <c r="B600" s="9">
        <v>20151231</v>
      </c>
      <c r="C600" s="12">
        <f>_xll.FDS("SPX","FG_PRICE(12/30/2015)")</f>
        <v>2063.36</v>
      </c>
      <c r="D600" s="12">
        <f>_xll.FDS("SPX","FG_PRICE(12/30/2017)")</f>
        <v>2673.61</v>
      </c>
      <c r="E600" s="15">
        <f>D600/C600-1</f>
        <v>0.2957554668114144</v>
      </c>
      <c r="F600" s="8" t="s">
        <v>6224</v>
      </c>
      <c r="G600" s="8" t="s">
        <v>6225</v>
      </c>
      <c r="H600" s="13">
        <f>_xll.FDS(G600,"FG_PRICE(12/30/2015)")</f>
        <v>17.399999999999999</v>
      </c>
      <c r="I600" s="13">
        <f>_xll.FDS(G600,"FG_PRICE(12/31/2017)")</f>
        <v>20.190000000000001</v>
      </c>
      <c r="J600" s="13">
        <f>I600/H600-1</f>
        <v>0.16034482758620716</v>
      </c>
      <c r="K600" s="13">
        <f>J600-E600</f>
        <v>-0.13541063922520724</v>
      </c>
      <c r="L600" s="13">
        <f>_xll.FDS(G600,"FF_ROE(ANN_R,12/30/2015)")</f>
        <v>-2.5710344827586211</v>
      </c>
      <c r="M600" s="8" t="s">
        <v>6226</v>
      </c>
      <c r="N600" s="4" t="s">
        <v>6480</v>
      </c>
      <c r="O600" s="4" t="s">
        <v>6227</v>
      </c>
      <c r="P600" s="4" t="s">
        <v>106</v>
      </c>
      <c r="Q600" s="4" t="s">
        <v>63</v>
      </c>
      <c r="R600" s="4" t="s">
        <v>61</v>
      </c>
      <c r="S600" s="4" t="s">
        <v>62</v>
      </c>
      <c r="T600" s="6" t="e">
        <v>#N/A</v>
      </c>
      <c r="U600" s="5">
        <v>45</v>
      </c>
      <c r="V600" s="5">
        <v>41</v>
      </c>
      <c r="W600" s="5">
        <v>46</v>
      </c>
      <c r="X600" s="5">
        <v>48</v>
      </c>
      <c r="Y600" s="5">
        <v>14.29</v>
      </c>
      <c r="Z600" s="5">
        <v>21.75</v>
      </c>
      <c r="AA600" s="6">
        <v>6.82</v>
      </c>
      <c r="AB600" s="5">
        <v>37.01</v>
      </c>
      <c r="AC600" s="6">
        <v>0.4</v>
      </c>
      <c r="AD600" s="6">
        <v>0.3</v>
      </c>
      <c r="AE600" s="6">
        <v>0.3</v>
      </c>
      <c r="AF600" s="4" t="s">
        <v>6296</v>
      </c>
      <c r="AG600" s="4" t="s">
        <v>6296</v>
      </c>
      <c r="AH600" s="4" t="s">
        <v>6296</v>
      </c>
      <c r="AI600" s="4" t="s">
        <v>6296</v>
      </c>
      <c r="AJ600" s="4" t="s">
        <v>6296</v>
      </c>
      <c r="AK600" s="4" t="s">
        <v>6296</v>
      </c>
      <c r="AL600" s="4" t="s">
        <v>6296</v>
      </c>
      <c r="AM600" s="4" t="s">
        <v>6296</v>
      </c>
      <c r="AN600" s="4" t="s">
        <v>42</v>
      </c>
      <c r="AO600" s="4" t="s">
        <v>6296</v>
      </c>
      <c r="AP600" s="4" t="s">
        <v>6481</v>
      </c>
      <c r="AQ600" s="4" t="s">
        <v>47</v>
      </c>
    </row>
    <row r="601" spans="1:43" ht="12.6" customHeight="1" x14ac:dyDescent="0.25">
      <c r="A601" s="8" t="s">
        <v>432</v>
      </c>
      <c r="B601" s="9">
        <v>20151231</v>
      </c>
      <c r="C601" s="12">
        <f>_xll.FDS("SPX","FG_PRICE(12/30/2015)")</f>
        <v>2063.36</v>
      </c>
      <c r="D601" s="12">
        <f>_xll.FDS("SPX","FG_PRICE(12/30/2017)")</f>
        <v>2673.61</v>
      </c>
      <c r="E601" s="15">
        <f>D601/C601-1</f>
        <v>0.2957554668114144</v>
      </c>
      <c r="F601" s="8" t="s">
        <v>433</v>
      </c>
      <c r="G601" s="8" t="s">
        <v>434</v>
      </c>
      <c r="H601" s="13">
        <f>_xll.FDS(G601,"FG_PRICE(12/30/2015)")</f>
        <v>40.36</v>
      </c>
      <c r="I601" s="13">
        <f>_xll.FDS(G601,"FG_PRICE(12/31/2017)")</f>
        <v>43.71</v>
      </c>
      <c r="J601" s="13">
        <f>I601/H601-1</f>
        <v>8.3002973240832612E-2</v>
      </c>
      <c r="K601" s="13">
        <f>J601-E601</f>
        <v>-0.21275249357058179</v>
      </c>
      <c r="L601" s="13">
        <f>_xll.FDS(G601,"FF_ROE(ANN_R,12/30/2015)")</f>
        <v>1.779434327384575</v>
      </c>
      <c r="M601" s="8" t="s">
        <v>435</v>
      </c>
      <c r="N601" s="4" t="s">
        <v>436</v>
      </c>
      <c r="O601" s="4" t="s">
        <v>437</v>
      </c>
      <c r="P601" s="4" t="s">
        <v>96</v>
      </c>
      <c r="Q601" s="4" t="s">
        <v>63</v>
      </c>
      <c r="R601" s="4" t="s">
        <v>61</v>
      </c>
      <c r="S601" s="4" t="s">
        <v>62</v>
      </c>
      <c r="T601" s="6" t="e">
        <v>#N/A</v>
      </c>
      <c r="U601" s="5">
        <v>51</v>
      </c>
      <c r="V601" s="5">
        <v>42</v>
      </c>
      <c r="W601" s="5">
        <v>56</v>
      </c>
      <c r="X601" s="5">
        <v>58</v>
      </c>
      <c r="Y601" s="5">
        <v>47.4</v>
      </c>
      <c r="Z601" s="5">
        <v>27.6</v>
      </c>
      <c r="AA601" s="5">
        <v>50.97</v>
      </c>
      <c r="AB601" s="5">
        <v>72.08</v>
      </c>
      <c r="AC601" s="6">
        <v>0.4</v>
      </c>
      <c r="AD601" s="6">
        <v>0.3</v>
      </c>
      <c r="AE601" s="6">
        <v>0.3</v>
      </c>
      <c r="AF601" s="4" t="s">
        <v>6296</v>
      </c>
      <c r="AG601" s="4" t="s">
        <v>6296</v>
      </c>
      <c r="AH601" s="4" t="s">
        <v>6296</v>
      </c>
      <c r="AI601" s="4" t="s">
        <v>6296</v>
      </c>
      <c r="AJ601" s="4" t="s">
        <v>6296</v>
      </c>
      <c r="AK601" s="4" t="s">
        <v>6296</v>
      </c>
      <c r="AL601" s="4" t="s">
        <v>6296</v>
      </c>
      <c r="AM601" s="4" t="s">
        <v>6296</v>
      </c>
      <c r="AN601" s="4" t="s">
        <v>6296</v>
      </c>
      <c r="AO601" s="4" t="s">
        <v>6296</v>
      </c>
      <c r="AP601" s="4" t="s">
        <v>438</v>
      </c>
      <c r="AQ601" s="4" t="s">
        <v>47</v>
      </c>
    </row>
    <row r="602" spans="1:43" ht="12.6" customHeight="1" x14ac:dyDescent="0.25">
      <c r="A602" s="8" t="s">
        <v>5492</v>
      </c>
      <c r="B602" s="9">
        <v>20151231</v>
      </c>
      <c r="C602" s="12">
        <f>_xll.FDS("SPX","FG_PRICE(12/30/2015)")</f>
        <v>2063.36</v>
      </c>
      <c r="D602" s="12">
        <f>_xll.FDS("SPX","FG_PRICE(12/30/2017)")</f>
        <v>2673.61</v>
      </c>
      <c r="E602" s="15">
        <f>D602/C602-1</f>
        <v>0.2957554668114144</v>
      </c>
      <c r="F602" s="8" t="s">
        <v>5493</v>
      </c>
      <c r="G602" s="8" t="s">
        <v>5494</v>
      </c>
      <c r="H602" s="13">
        <f>_xll.FDS(G602,"FG_PRICE(12/30/2015)")</f>
        <v>98.1</v>
      </c>
      <c r="I602" s="13">
        <f>_xll.FDS(G602,"FG_PRICE(12/31/2017)")</f>
        <v>142.66999999999999</v>
      </c>
      <c r="J602" s="13">
        <f>I602/H602-1</f>
        <v>0.45433231396534146</v>
      </c>
      <c r="K602" s="13">
        <f>J602-E602</f>
        <v>0.15857684715392706</v>
      </c>
      <c r="L602" s="13">
        <f>_xll.FDS(G602,"FF_ROE(ANN_R,12/30/2015)")</f>
        <v>22.033661759746781</v>
      </c>
      <c r="M602" s="8" t="s">
        <v>5495</v>
      </c>
      <c r="N602" s="4" t="s">
        <v>5495</v>
      </c>
      <c r="O602" s="4" t="s">
        <v>5496</v>
      </c>
      <c r="P602" s="4" t="s">
        <v>96</v>
      </c>
      <c r="Q602" s="4" t="s">
        <v>63</v>
      </c>
      <c r="R602" s="4" t="s">
        <v>61</v>
      </c>
      <c r="S602" s="4" t="s">
        <v>62</v>
      </c>
      <c r="T602" s="6" t="e">
        <v>#N/A</v>
      </c>
      <c r="U602" s="5">
        <v>68</v>
      </c>
      <c r="V602" s="5">
        <v>79</v>
      </c>
      <c r="W602" s="5">
        <v>55</v>
      </c>
      <c r="X602" s="5">
        <v>68</v>
      </c>
      <c r="Y602" s="5">
        <v>87.66</v>
      </c>
      <c r="Z602" s="5">
        <v>91.23</v>
      </c>
      <c r="AA602" s="5">
        <v>25.97</v>
      </c>
      <c r="AB602" s="5">
        <v>89.29</v>
      </c>
      <c r="AC602" s="6">
        <v>0.4</v>
      </c>
      <c r="AD602" s="6">
        <v>0.3</v>
      </c>
      <c r="AE602" s="6">
        <v>0.3</v>
      </c>
      <c r="AF602" s="4" t="s">
        <v>6296</v>
      </c>
      <c r="AG602" s="4" t="s">
        <v>6296</v>
      </c>
      <c r="AH602" s="4" t="s">
        <v>6296</v>
      </c>
      <c r="AI602" s="4" t="s">
        <v>6296</v>
      </c>
      <c r="AJ602" s="4" t="s">
        <v>6296</v>
      </c>
      <c r="AK602" s="4" t="s">
        <v>42</v>
      </c>
      <c r="AL602" s="4" t="s">
        <v>6296</v>
      </c>
      <c r="AM602" s="4" t="s">
        <v>6296</v>
      </c>
      <c r="AN602" s="4" t="s">
        <v>6296</v>
      </c>
      <c r="AO602" s="4" t="s">
        <v>6296</v>
      </c>
      <c r="AP602" s="4" t="s">
        <v>5497</v>
      </c>
      <c r="AQ602" s="4" t="s">
        <v>47</v>
      </c>
    </row>
    <row r="603" spans="1:43" ht="12.6" customHeight="1" x14ac:dyDescent="0.25">
      <c r="A603" s="8" t="s">
        <v>159</v>
      </c>
      <c r="B603" s="9">
        <v>20151231</v>
      </c>
      <c r="C603" s="12">
        <f>_xll.FDS("SPX","FG_PRICE(12/30/2015)")</f>
        <v>2063.36</v>
      </c>
      <c r="D603" s="12">
        <f>_xll.FDS("SPX","FG_PRICE(12/30/2017)")</f>
        <v>2673.61</v>
      </c>
      <c r="E603" s="15">
        <f>D603/C603-1</f>
        <v>0.2957554668114144</v>
      </c>
      <c r="F603" s="8" t="s">
        <v>160</v>
      </c>
      <c r="G603" s="8" t="s">
        <v>161</v>
      </c>
      <c r="H603" s="13">
        <f>_xll.FDS(G603,"FG_PRICE(12/30/2015)")</f>
        <v>91.39</v>
      </c>
      <c r="I603" s="13">
        <f>_xll.FDS(G603,"FG_PRICE(12/31/2017)")</f>
        <v>130.59</v>
      </c>
      <c r="J603" s="13">
        <f>I603/H603-1</f>
        <v>0.42893095524674485</v>
      </c>
      <c r="K603" s="13">
        <f>J603-E603</f>
        <v>0.13317548843533045</v>
      </c>
      <c r="L603" s="13">
        <f>_xll.FDS(G603,"FF_ROE(ANN_R,12/30/2015)")</f>
        <v>2.3285305481000691</v>
      </c>
      <c r="M603" s="8" t="s">
        <v>162</v>
      </c>
      <c r="N603" s="4" t="s">
        <v>163</v>
      </c>
      <c r="O603" s="4" t="s">
        <v>164</v>
      </c>
      <c r="P603" s="4" t="s">
        <v>96</v>
      </c>
      <c r="Q603" s="4" t="s">
        <v>63</v>
      </c>
      <c r="R603" s="4" t="s">
        <v>61</v>
      </c>
      <c r="S603" s="4" t="s">
        <v>62</v>
      </c>
      <c r="T603" s="6" t="e">
        <v>#N/A</v>
      </c>
      <c r="U603" s="5">
        <v>61</v>
      </c>
      <c r="V603" s="5">
        <v>65</v>
      </c>
      <c r="W603" s="5">
        <v>55</v>
      </c>
      <c r="X603" s="5">
        <v>60</v>
      </c>
      <c r="Y603" s="5">
        <v>74.680000000000007</v>
      </c>
      <c r="Z603" s="5">
        <v>78.25</v>
      </c>
      <c r="AA603" s="5">
        <v>25.97</v>
      </c>
      <c r="AB603" s="5">
        <v>76.62</v>
      </c>
      <c r="AC603" s="6">
        <v>0.4</v>
      </c>
      <c r="AD603" s="6">
        <v>0.3</v>
      </c>
      <c r="AE603" s="6">
        <v>0.3</v>
      </c>
      <c r="AF603" s="4" t="s">
        <v>6296</v>
      </c>
      <c r="AG603" s="4" t="s">
        <v>6296</v>
      </c>
      <c r="AH603" s="4" t="s">
        <v>6296</v>
      </c>
      <c r="AI603" s="4" t="s">
        <v>6296</v>
      </c>
      <c r="AJ603" s="4" t="s">
        <v>6296</v>
      </c>
      <c r="AK603" s="4" t="s">
        <v>6296</v>
      </c>
      <c r="AL603" s="4" t="s">
        <v>6296</v>
      </c>
      <c r="AM603" s="4" t="s">
        <v>6296</v>
      </c>
      <c r="AN603" s="4" t="s">
        <v>6296</v>
      </c>
      <c r="AO603" s="4" t="s">
        <v>6296</v>
      </c>
      <c r="AP603" s="4" t="s">
        <v>165</v>
      </c>
      <c r="AQ603" s="4" t="s">
        <v>47</v>
      </c>
    </row>
    <row r="604" spans="1:43" ht="12.6" customHeight="1" x14ac:dyDescent="0.25">
      <c r="A604" s="8" t="s">
        <v>760</v>
      </c>
      <c r="B604" s="9">
        <v>20151231</v>
      </c>
      <c r="C604" s="12">
        <f>_xll.FDS("SPX","FG_PRICE(12/30/2015)")</f>
        <v>2063.36</v>
      </c>
      <c r="D604" s="12">
        <f>_xll.FDS("SPX","FG_PRICE(12/30/2017)")</f>
        <v>2673.61</v>
      </c>
      <c r="E604" s="15">
        <f>D604/C604-1</f>
        <v>0.2957554668114144</v>
      </c>
      <c r="F604" s="8" t="s">
        <v>761</v>
      </c>
      <c r="G604" s="8" t="s">
        <v>762</v>
      </c>
      <c r="H604" s="13">
        <f>_xll.FDS(G604,"FG_PRICE(12/30/2015)")</f>
        <v>185.32</v>
      </c>
      <c r="I604" s="13">
        <f>_xll.FDS(G604,"FG_PRICE(12/31/2017)")</f>
        <v>178.41</v>
      </c>
      <c r="J604" s="13">
        <f>I604/H604-1</f>
        <v>-3.7286855169436639E-2</v>
      </c>
      <c r="K604" s="13">
        <f>J604-E604</f>
        <v>-0.33304232198085104</v>
      </c>
      <c r="L604" s="13">
        <f>_xll.FDS(G604,"FF_ROE(ANN_R,12/30/2015)")</f>
        <v>7.2990069398749178</v>
      </c>
      <c r="M604" s="8" t="s">
        <v>763</v>
      </c>
      <c r="N604" s="4" t="s">
        <v>764</v>
      </c>
      <c r="O604" s="4" t="s">
        <v>765</v>
      </c>
      <c r="P604" s="4" t="s">
        <v>96</v>
      </c>
      <c r="Q604" s="4" t="s">
        <v>63</v>
      </c>
      <c r="R604" s="4" t="s">
        <v>61</v>
      </c>
      <c r="S604" s="4" t="s">
        <v>62</v>
      </c>
      <c r="T604" s="6" t="e">
        <v>#N/A</v>
      </c>
      <c r="U604" s="5">
        <v>63</v>
      </c>
      <c r="V604" s="5">
        <v>64</v>
      </c>
      <c r="W604" s="5">
        <v>67</v>
      </c>
      <c r="X604" s="5">
        <v>59</v>
      </c>
      <c r="Y604" s="5">
        <v>80.19</v>
      </c>
      <c r="Z604" s="5">
        <v>77.27</v>
      </c>
      <c r="AA604" s="5">
        <v>84.09</v>
      </c>
      <c r="AB604" s="5">
        <v>74.680000000000007</v>
      </c>
      <c r="AC604" s="6">
        <v>0.4</v>
      </c>
      <c r="AD604" s="6">
        <v>0.3</v>
      </c>
      <c r="AE604" s="6">
        <v>0.3</v>
      </c>
      <c r="AF604" s="4" t="s">
        <v>6296</v>
      </c>
      <c r="AG604" s="4" t="s">
        <v>6296</v>
      </c>
      <c r="AH604" s="4" t="s">
        <v>6296</v>
      </c>
      <c r="AI604" s="4" t="s">
        <v>6296</v>
      </c>
      <c r="AJ604" s="4" t="s">
        <v>6296</v>
      </c>
      <c r="AK604" s="4" t="s">
        <v>42</v>
      </c>
      <c r="AL604" s="4" t="s">
        <v>6296</v>
      </c>
      <c r="AM604" s="4" t="s">
        <v>6296</v>
      </c>
      <c r="AN604" s="4" t="s">
        <v>42</v>
      </c>
      <c r="AO604" s="4" t="s">
        <v>6296</v>
      </c>
      <c r="AP604" s="4" t="s">
        <v>766</v>
      </c>
      <c r="AQ604" s="4" t="s">
        <v>47</v>
      </c>
    </row>
    <row r="605" spans="1:43" ht="12.6" customHeight="1" x14ac:dyDescent="0.25">
      <c r="A605" s="8" t="s">
        <v>2449</v>
      </c>
      <c r="B605" s="9">
        <v>20151231</v>
      </c>
      <c r="C605" s="12">
        <f>_xll.FDS("SPX","FG_PRICE(12/30/2015)")</f>
        <v>2063.36</v>
      </c>
      <c r="D605" s="12">
        <f>_xll.FDS("SPX","FG_PRICE(12/30/2017)")</f>
        <v>2673.61</v>
      </c>
      <c r="E605" s="15">
        <f>D605/C605-1</f>
        <v>0.2957554668114144</v>
      </c>
      <c r="F605" s="8" t="s">
        <v>2450</v>
      </c>
      <c r="G605" s="8" t="s">
        <v>2451</v>
      </c>
      <c r="H605" s="13">
        <f>_xll.FDS(G605,"FG_PRICE(12/30/2015)")</f>
        <v>13.74</v>
      </c>
      <c r="I605" s="13">
        <f>_xll.FDS(G605,"FG_PRICE(12/31/2017)")</f>
        <v>18.190000000000001</v>
      </c>
      <c r="J605" s="13">
        <f>I605/H605-1</f>
        <v>0.32387190684133915</v>
      </c>
      <c r="K605" s="13">
        <f>J605-E605</f>
        <v>2.811644002992475E-2</v>
      </c>
      <c r="L605" s="13">
        <f>_xll.FDS(G605,"FF_ROE(ANN_R,12/30/2015)")</f>
        <v>0.28299596614441752</v>
      </c>
      <c r="M605" s="8" t="s">
        <v>2452</v>
      </c>
      <c r="N605" s="4" t="s">
        <v>2452</v>
      </c>
      <c r="O605" s="4" t="s">
        <v>2453</v>
      </c>
      <c r="P605" s="4" t="s">
        <v>96</v>
      </c>
      <c r="Q605" s="4" t="s">
        <v>63</v>
      </c>
      <c r="R605" s="4" t="s">
        <v>61</v>
      </c>
      <c r="S605" s="4" t="s">
        <v>62</v>
      </c>
      <c r="T605" s="6" t="e">
        <v>#N/A</v>
      </c>
      <c r="U605" s="5">
        <v>61</v>
      </c>
      <c r="V605" s="5">
        <v>59</v>
      </c>
      <c r="W605" s="5">
        <v>63</v>
      </c>
      <c r="X605" s="5">
        <v>63</v>
      </c>
      <c r="Y605" s="5">
        <v>74.680000000000007</v>
      </c>
      <c r="Z605" s="5">
        <v>69.81</v>
      </c>
      <c r="AA605" s="5">
        <v>76.95</v>
      </c>
      <c r="AB605" s="5">
        <v>82.14</v>
      </c>
      <c r="AC605" s="6">
        <v>0.4</v>
      </c>
      <c r="AD605" s="6">
        <v>0.3</v>
      </c>
      <c r="AE605" s="6">
        <v>0.3</v>
      </c>
      <c r="AF605" s="4" t="s">
        <v>6296</v>
      </c>
      <c r="AG605" s="4" t="s">
        <v>6296</v>
      </c>
      <c r="AH605" s="4" t="s">
        <v>6296</v>
      </c>
      <c r="AI605" s="4" t="s">
        <v>6296</v>
      </c>
      <c r="AJ605" s="4" t="s">
        <v>6296</v>
      </c>
      <c r="AK605" s="4" t="s">
        <v>6296</v>
      </c>
      <c r="AL605" s="4" t="s">
        <v>6296</v>
      </c>
      <c r="AM605" s="4" t="s">
        <v>6296</v>
      </c>
      <c r="AN605" s="4" t="s">
        <v>6296</v>
      </c>
      <c r="AO605" s="4" t="s">
        <v>6296</v>
      </c>
      <c r="AP605" s="4" t="s">
        <v>2454</v>
      </c>
      <c r="AQ605" s="4" t="s">
        <v>47</v>
      </c>
    </row>
    <row r="606" spans="1:43" ht="12.6" customHeight="1" x14ac:dyDescent="0.25">
      <c r="A606" s="8" t="s">
        <v>5827</v>
      </c>
      <c r="B606" s="9">
        <v>20151231</v>
      </c>
      <c r="C606" s="12">
        <f>_xll.FDS("SPX","FG_PRICE(12/30/2015)")</f>
        <v>2063.36</v>
      </c>
      <c r="D606" s="12">
        <f>_xll.FDS("SPX","FG_PRICE(12/30/2017)")</f>
        <v>2673.61</v>
      </c>
      <c r="E606" s="15">
        <f>D606/C606-1</f>
        <v>0.2957554668114144</v>
      </c>
      <c r="F606" s="8" t="s">
        <v>5828</v>
      </c>
      <c r="G606" s="8" t="s">
        <v>5829</v>
      </c>
      <c r="H606" s="13">
        <f>_xll.FDS(G606,"FG_PRICE(12/30/2015)")</f>
        <v>26.04</v>
      </c>
      <c r="I606" s="13">
        <f>_xll.FDS(G606,"FG_PRICE(12/31/2017)")</f>
        <v>18.66</v>
      </c>
      <c r="J606" s="13">
        <f>I606/H606-1</f>
        <v>-0.28341013824884786</v>
      </c>
      <c r="K606" s="13">
        <f>J606-E606</f>
        <v>-0.57916560506026227</v>
      </c>
      <c r="L606" s="13">
        <f>_xll.FDS(G606,"FF_ROE(ANN_R,12/30/2015)")</f>
        <v>3.3267266188833089</v>
      </c>
      <c r="M606" s="8" t="s">
        <v>5830</v>
      </c>
      <c r="N606" s="4" t="s">
        <v>5831</v>
      </c>
      <c r="O606" s="4" t="s">
        <v>5832</v>
      </c>
      <c r="P606" s="4" t="s">
        <v>96</v>
      </c>
      <c r="Q606" s="4" t="s">
        <v>63</v>
      </c>
      <c r="R606" s="4" t="s">
        <v>61</v>
      </c>
      <c r="S606" s="4" t="s">
        <v>62</v>
      </c>
      <c r="T606" s="6" t="e">
        <v>#N/A</v>
      </c>
      <c r="U606" s="5">
        <v>46</v>
      </c>
      <c r="V606" s="5">
        <v>46</v>
      </c>
      <c r="W606" s="5">
        <v>42</v>
      </c>
      <c r="X606" s="5">
        <v>49</v>
      </c>
      <c r="Y606" s="5">
        <v>19.48</v>
      </c>
      <c r="Z606" s="5">
        <v>40.26</v>
      </c>
      <c r="AA606" s="6">
        <v>1.62</v>
      </c>
      <c r="AB606" s="5">
        <v>44.16</v>
      </c>
      <c r="AC606" s="6">
        <v>0.4</v>
      </c>
      <c r="AD606" s="6">
        <v>0.3</v>
      </c>
      <c r="AE606" s="6">
        <v>0.3</v>
      </c>
      <c r="AF606" s="4" t="s">
        <v>6296</v>
      </c>
      <c r="AG606" s="4" t="s">
        <v>6296</v>
      </c>
      <c r="AH606" s="4" t="s">
        <v>6296</v>
      </c>
      <c r="AI606" s="4" t="s">
        <v>6296</v>
      </c>
      <c r="AJ606" s="4" t="s">
        <v>6296</v>
      </c>
      <c r="AK606" s="4" t="s">
        <v>6296</v>
      </c>
      <c r="AL606" s="4" t="s">
        <v>6296</v>
      </c>
      <c r="AM606" s="4" t="s">
        <v>6296</v>
      </c>
      <c r="AN606" s="4" t="s">
        <v>6296</v>
      </c>
      <c r="AO606" s="4" t="s">
        <v>6296</v>
      </c>
      <c r="AP606" s="4" t="s">
        <v>5833</v>
      </c>
      <c r="AQ606" s="4" t="s">
        <v>47</v>
      </c>
    </row>
    <row r="607" spans="1:43" ht="12.6" customHeight="1" x14ac:dyDescent="0.25">
      <c r="A607" s="8" t="s">
        <v>203</v>
      </c>
      <c r="B607" s="9">
        <v>20151231</v>
      </c>
      <c r="C607" s="12">
        <f>_xll.FDS("SPX","FG_PRICE(12/30/2015)")</f>
        <v>2063.36</v>
      </c>
      <c r="D607" s="12">
        <f>_xll.FDS("SPX","FG_PRICE(12/30/2017)")</f>
        <v>2673.61</v>
      </c>
      <c r="E607" s="15">
        <f>D607/C607-1</f>
        <v>0.2957554668114144</v>
      </c>
      <c r="F607" s="8" t="s">
        <v>204</v>
      </c>
      <c r="G607" s="8" t="s">
        <v>205</v>
      </c>
      <c r="H607" s="13">
        <f>_xll.FDS(G607,"FG_PRICE(12/30/2015)")</f>
        <v>128.6</v>
      </c>
      <c r="I607" s="13">
        <f>_xll.FDS(G607,"FG_PRICE(12/31/2017)")</f>
        <v>130.03</v>
      </c>
      <c r="J607" s="13">
        <f>I607/H607-1</f>
        <v>1.1119751166407621E-2</v>
      </c>
      <c r="K607" s="13">
        <f>J607-E607</f>
        <v>-0.28463571564500678</v>
      </c>
      <c r="L607" s="13">
        <f>_xll.FDS(G607,"FF_ROE(ANN_R,12/30/2015)")</f>
        <v>7.7564873075908602</v>
      </c>
      <c r="M607" s="8" t="s">
        <v>206</v>
      </c>
      <c r="N607" s="4" t="s">
        <v>207</v>
      </c>
      <c r="O607" s="4" t="s">
        <v>208</v>
      </c>
      <c r="P607" s="4" t="s">
        <v>96</v>
      </c>
      <c r="Q607" s="4" t="s">
        <v>63</v>
      </c>
      <c r="R607" s="4" t="s">
        <v>61</v>
      </c>
      <c r="S607" s="4" t="s">
        <v>62</v>
      </c>
      <c r="T607" s="6" t="e">
        <v>#N/A</v>
      </c>
      <c r="U607" s="5">
        <v>67</v>
      </c>
      <c r="V607" s="5">
        <v>72</v>
      </c>
      <c r="W607" s="5">
        <v>50</v>
      </c>
      <c r="X607" s="5">
        <v>78</v>
      </c>
      <c r="Y607" s="5">
        <v>85.06</v>
      </c>
      <c r="Z607" s="5">
        <v>86.36</v>
      </c>
      <c r="AA607" s="5">
        <v>17.53</v>
      </c>
      <c r="AB607" s="5">
        <v>95.78</v>
      </c>
      <c r="AC607" s="6">
        <v>0.4</v>
      </c>
      <c r="AD607" s="6">
        <v>0.3</v>
      </c>
      <c r="AE607" s="6">
        <v>0.3</v>
      </c>
      <c r="AF607" s="4" t="s">
        <v>6296</v>
      </c>
      <c r="AG607" s="4" t="s">
        <v>6296</v>
      </c>
      <c r="AH607" s="4" t="s">
        <v>6296</v>
      </c>
      <c r="AI607" s="4" t="s">
        <v>6296</v>
      </c>
      <c r="AJ607" s="4" t="s">
        <v>6296</v>
      </c>
      <c r="AK607" s="4" t="s">
        <v>6296</v>
      </c>
      <c r="AL607" s="4" t="s">
        <v>6296</v>
      </c>
      <c r="AM607" s="4" t="s">
        <v>6296</v>
      </c>
      <c r="AN607" s="4" t="s">
        <v>6296</v>
      </c>
      <c r="AO607" s="4" t="s">
        <v>6296</v>
      </c>
      <c r="AP607" s="4" t="s">
        <v>209</v>
      </c>
      <c r="AQ607" s="4" t="s">
        <v>47</v>
      </c>
    </row>
    <row r="608" spans="1:43" ht="12.6" customHeight="1" x14ac:dyDescent="0.25">
      <c r="A608" s="8" t="s">
        <v>5408</v>
      </c>
      <c r="B608" s="9">
        <v>20151231</v>
      </c>
      <c r="C608" s="12">
        <f>_xll.FDS("SPX","FG_PRICE(12/30/2015)")</f>
        <v>2063.36</v>
      </c>
      <c r="D608" s="12">
        <f>_xll.FDS("SPX","FG_PRICE(12/30/2017)")</f>
        <v>2673.61</v>
      </c>
      <c r="E608" s="15">
        <f>D608/C608-1</f>
        <v>0.2957554668114144</v>
      </c>
      <c r="F608" s="8" t="s">
        <v>5409</v>
      </c>
      <c r="G608" s="8" t="s">
        <v>5410</v>
      </c>
      <c r="H608" s="13">
        <f>_xll.FDS(G608,"FG_PRICE(12/30/2015)")</f>
        <v>34.64</v>
      </c>
      <c r="I608" s="13">
        <f>_xll.FDS(G608,"FG_PRICE(12/31/2017)")</f>
        <v>43.31</v>
      </c>
      <c r="J608" s="13">
        <f>I608/H608-1</f>
        <v>0.25028868360277134</v>
      </c>
      <c r="K608" s="13">
        <f>J608-E608</f>
        <v>-4.5466783208643058E-2</v>
      </c>
      <c r="L608" s="13">
        <f>_xll.FDS(G608,"FF_ROE(ANN_R,12/30/2015)")</f>
        <v>23.317992643688122</v>
      </c>
      <c r="M608" s="8" t="s">
        <v>5411</v>
      </c>
      <c r="N608" s="4" t="s">
        <v>5412</v>
      </c>
      <c r="O608" s="4" t="s">
        <v>89</v>
      </c>
      <c r="P608" s="4" t="s">
        <v>96</v>
      </c>
      <c r="Q608" s="4" t="s">
        <v>63</v>
      </c>
      <c r="R608" s="4" t="s">
        <v>61</v>
      </c>
      <c r="S608" s="4" t="s">
        <v>62</v>
      </c>
      <c r="T608" s="6" t="e">
        <v>#N/A</v>
      </c>
      <c r="U608" s="5">
        <v>72</v>
      </c>
      <c r="V608" s="5">
        <v>71</v>
      </c>
      <c r="W608" s="5">
        <v>67</v>
      </c>
      <c r="X608" s="5">
        <v>77</v>
      </c>
      <c r="Y608" s="5">
        <v>90.91</v>
      </c>
      <c r="Z608" s="5">
        <v>85.06</v>
      </c>
      <c r="AA608" s="5">
        <v>84.09</v>
      </c>
      <c r="AB608" s="5">
        <v>93.83</v>
      </c>
      <c r="AC608" s="6">
        <v>0.4</v>
      </c>
      <c r="AD608" s="6">
        <v>0.3</v>
      </c>
      <c r="AE608" s="6">
        <v>0.3</v>
      </c>
      <c r="AF608" s="4" t="s">
        <v>6296</v>
      </c>
      <c r="AG608" s="4" t="s">
        <v>6296</v>
      </c>
      <c r="AH608" s="4" t="s">
        <v>6296</v>
      </c>
      <c r="AI608" s="4" t="s">
        <v>6296</v>
      </c>
      <c r="AJ608" s="4" t="s">
        <v>6296</v>
      </c>
      <c r="AK608" s="4" t="s">
        <v>42</v>
      </c>
      <c r="AL608" s="4" t="s">
        <v>6296</v>
      </c>
      <c r="AM608" s="4" t="s">
        <v>42</v>
      </c>
      <c r="AN608" s="4" t="s">
        <v>6296</v>
      </c>
      <c r="AO608" s="4" t="s">
        <v>6296</v>
      </c>
      <c r="AP608" s="4" t="s">
        <v>5413</v>
      </c>
      <c r="AQ608" s="4" t="s">
        <v>47</v>
      </c>
    </row>
    <row r="609" spans="1:43" ht="12.6" customHeight="1" x14ac:dyDescent="0.25">
      <c r="A609" s="8" t="s">
        <v>6040</v>
      </c>
      <c r="B609" s="9">
        <v>20151231</v>
      </c>
      <c r="C609" s="12">
        <f>_xll.FDS("SPX","FG_PRICE(12/30/2015)")</f>
        <v>2063.36</v>
      </c>
      <c r="D609" s="12">
        <f>_xll.FDS("SPX","FG_PRICE(12/30/2017)")</f>
        <v>2673.61</v>
      </c>
      <c r="E609" s="15">
        <f>D609/C609-1</f>
        <v>0.2957554668114144</v>
      </c>
      <c r="F609" s="8" t="s">
        <v>6041</v>
      </c>
      <c r="G609" s="8" t="s">
        <v>6042</v>
      </c>
      <c r="H609" s="13">
        <f>_xll.FDS(G609,"FG_PRICE(12/30/2015)")</f>
        <v>87.02</v>
      </c>
      <c r="I609" s="13">
        <f>_xll.FDS(G609,"FG_PRICE(12/31/2017)")</f>
        <v>111.01</v>
      </c>
      <c r="J609" s="13">
        <f>I609/H609-1</f>
        <v>0.27568375086187102</v>
      </c>
      <c r="K609" s="13">
        <f>J609-E609</f>
        <v>-2.0071715949543378E-2</v>
      </c>
      <c r="L609" s="13">
        <f>_xll.FDS(G609,"FF_ROE(ANN_R,12/30/2015)")</f>
        <v>5.7247622983371178</v>
      </c>
      <c r="M609" s="8" t="s">
        <v>6043</v>
      </c>
      <c r="N609" s="4" t="s">
        <v>6044</v>
      </c>
      <c r="O609" s="4" t="s">
        <v>6045</v>
      </c>
      <c r="P609" s="4" t="s">
        <v>96</v>
      </c>
      <c r="Q609" s="4" t="s">
        <v>63</v>
      </c>
      <c r="R609" s="4" t="s">
        <v>61</v>
      </c>
      <c r="S609" s="4" t="s">
        <v>62</v>
      </c>
      <c r="T609" s="6" t="e">
        <v>#N/A</v>
      </c>
      <c r="U609" s="5">
        <v>62</v>
      </c>
      <c r="V609" s="5">
        <v>74</v>
      </c>
      <c r="W609" s="5">
        <v>44</v>
      </c>
      <c r="X609" s="5">
        <v>64</v>
      </c>
      <c r="Y609" s="5">
        <v>78.25</v>
      </c>
      <c r="Z609" s="5">
        <v>87.66</v>
      </c>
      <c r="AA609" s="6">
        <v>3.25</v>
      </c>
      <c r="AB609" s="5">
        <v>84.74</v>
      </c>
      <c r="AC609" s="6">
        <v>0.4</v>
      </c>
      <c r="AD609" s="6">
        <v>0.3</v>
      </c>
      <c r="AE609" s="6">
        <v>0.3</v>
      </c>
      <c r="AF609" s="4" t="s">
        <v>6296</v>
      </c>
      <c r="AG609" s="4" t="s">
        <v>6296</v>
      </c>
      <c r="AH609" s="4" t="s">
        <v>6296</v>
      </c>
      <c r="AI609" s="4" t="s">
        <v>6296</v>
      </c>
      <c r="AJ609" s="4" t="s">
        <v>6296</v>
      </c>
      <c r="AK609" s="4" t="s">
        <v>6296</v>
      </c>
      <c r="AL609" s="4" t="s">
        <v>6296</v>
      </c>
      <c r="AM609" s="4" t="s">
        <v>6296</v>
      </c>
      <c r="AN609" s="4" t="s">
        <v>6296</v>
      </c>
      <c r="AO609" s="4" t="s">
        <v>6296</v>
      </c>
      <c r="AP609" s="4" t="s">
        <v>6046</v>
      </c>
      <c r="AQ609" s="4" t="s">
        <v>47</v>
      </c>
    </row>
    <row r="610" spans="1:43" ht="12.6" customHeight="1" x14ac:dyDescent="0.25">
      <c r="A610" s="8" t="s">
        <v>6092</v>
      </c>
      <c r="B610" s="9">
        <v>20151231</v>
      </c>
      <c r="C610" s="12">
        <f>_xll.FDS("SPX","FG_PRICE(12/30/2015)")</f>
        <v>2063.36</v>
      </c>
      <c r="D610" s="12">
        <f>_xll.FDS("SPX","FG_PRICE(12/30/2017)")</f>
        <v>2673.61</v>
      </c>
      <c r="E610" s="15">
        <f>D610/C610-1</f>
        <v>0.2957554668114144</v>
      </c>
      <c r="F610" s="8" t="s">
        <v>6093</v>
      </c>
      <c r="G610" s="8" t="s">
        <v>6094</v>
      </c>
      <c r="H610" s="13">
        <f>_xll.FDS(G610,"FG_PRICE(12/30/2015)")</f>
        <v>13.7</v>
      </c>
      <c r="I610" s="13">
        <f>_xll.FDS(G610,"FG_PRICE(12/31/2017)")</f>
        <v>18.48</v>
      </c>
      <c r="J610" s="13">
        <f>I610/H610-1</f>
        <v>0.34890510948905118</v>
      </c>
      <c r="K610" s="13">
        <f>J610-E610</f>
        <v>5.3149642677636777E-2</v>
      </c>
      <c r="L610" s="13">
        <f>_xll.FDS(G610,"FF_ROE(ANN_R,12/30/2015)")</f>
        <v>16.981928752593959</v>
      </c>
      <c r="M610" s="8" t="s">
        <v>6095</v>
      </c>
      <c r="N610" s="4" t="s">
        <v>6095</v>
      </c>
      <c r="O610" s="4" t="s">
        <v>6096</v>
      </c>
      <c r="P610" s="4" t="s">
        <v>96</v>
      </c>
      <c r="Q610" s="4" t="s">
        <v>63</v>
      </c>
      <c r="R610" s="4" t="s">
        <v>61</v>
      </c>
      <c r="S610" s="4" t="s">
        <v>62</v>
      </c>
      <c r="T610" s="6" t="e">
        <v>#N/A</v>
      </c>
      <c r="U610" s="5">
        <v>67</v>
      </c>
      <c r="V610" s="5">
        <v>73</v>
      </c>
      <c r="W610" s="5">
        <v>74</v>
      </c>
      <c r="X610" s="5">
        <v>54</v>
      </c>
      <c r="Y610" s="5">
        <v>85.06</v>
      </c>
      <c r="Z610" s="5">
        <v>87.01</v>
      </c>
      <c r="AA610" s="5">
        <v>94.16</v>
      </c>
      <c r="AB610" s="5">
        <v>61.69</v>
      </c>
      <c r="AC610" s="6">
        <v>0.4</v>
      </c>
      <c r="AD610" s="6">
        <v>0.3</v>
      </c>
      <c r="AE610" s="6">
        <v>0.3</v>
      </c>
      <c r="AF610" s="4" t="s">
        <v>6296</v>
      </c>
      <c r="AG610" s="4" t="s">
        <v>6296</v>
      </c>
      <c r="AH610" s="4" t="s">
        <v>6296</v>
      </c>
      <c r="AI610" s="4" t="s">
        <v>6296</v>
      </c>
      <c r="AJ610" s="4" t="s">
        <v>6296</v>
      </c>
      <c r="AK610" s="4" t="s">
        <v>6296</v>
      </c>
      <c r="AL610" s="4" t="s">
        <v>6296</v>
      </c>
      <c r="AM610" s="4" t="s">
        <v>6296</v>
      </c>
      <c r="AN610" s="4" t="s">
        <v>6296</v>
      </c>
      <c r="AO610" s="4" t="s">
        <v>6296</v>
      </c>
      <c r="AP610" s="4" t="s">
        <v>6097</v>
      </c>
      <c r="AQ610" s="4" t="s">
        <v>47</v>
      </c>
    </row>
    <row r="611" spans="1:43" ht="12.6" customHeight="1" x14ac:dyDescent="0.25">
      <c r="A611" s="8" t="s">
        <v>979</v>
      </c>
      <c r="B611" s="9">
        <v>20151231</v>
      </c>
      <c r="C611" s="12">
        <f>_xll.FDS("SPX","FG_PRICE(12/30/2015)")</f>
        <v>2063.36</v>
      </c>
      <c r="D611" s="12">
        <f>_xll.FDS("SPX","FG_PRICE(12/30/2017)")</f>
        <v>2673.61</v>
      </c>
      <c r="E611" s="15">
        <f>D611/C611-1</f>
        <v>0.2957554668114144</v>
      </c>
      <c r="F611" s="8" t="s">
        <v>980</v>
      </c>
      <c r="G611" s="8" t="s">
        <v>981</v>
      </c>
      <c r="H611" s="13">
        <f>_xll.FDS(G611,"FG_PRICE(12/30/2015)")</f>
        <v>23.82</v>
      </c>
      <c r="I611" s="13">
        <f>_xll.FDS(G611,"FG_PRICE(12/31/2017)")</f>
        <v>21.56</v>
      </c>
      <c r="J611" s="13">
        <f>I611/H611-1</f>
        <v>-9.4878253568429938E-2</v>
      </c>
      <c r="K611" s="13">
        <f>J611-E611</f>
        <v>-0.39063372037984434</v>
      </c>
      <c r="L611" s="13">
        <f>_xll.FDS(G611,"FF_ROE(ANN_R,12/30/2015)")</f>
        <v>1.7487466101850551</v>
      </c>
      <c r="M611" s="8" t="s">
        <v>982</v>
      </c>
      <c r="N611" s="4" t="s">
        <v>982</v>
      </c>
      <c r="O611" s="4" t="s">
        <v>67</v>
      </c>
      <c r="P611" s="4" t="s">
        <v>96</v>
      </c>
      <c r="Q611" s="4" t="s">
        <v>63</v>
      </c>
      <c r="R611" s="4" t="s">
        <v>61</v>
      </c>
      <c r="S611" s="4" t="s">
        <v>62</v>
      </c>
      <c r="T611" s="6" t="e">
        <v>#N/A</v>
      </c>
      <c r="U611" s="5">
        <v>58</v>
      </c>
      <c r="V611" s="5">
        <v>53</v>
      </c>
      <c r="W611" s="5">
        <v>60</v>
      </c>
      <c r="X611" s="5">
        <v>62</v>
      </c>
      <c r="Y611" s="5">
        <v>68.510000000000005</v>
      </c>
      <c r="Z611" s="5">
        <v>57.14</v>
      </c>
      <c r="AA611" s="5">
        <v>63.96</v>
      </c>
      <c r="AB611" s="5">
        <v>79.87</v>
      </c>
      <c r="AC611" s="6">
        <v>0.4</v>
      </c>
      <c r="AD611" s="6">
        <v>0.3</v>
      </c>
      <c r="AE611" s="6">
        <v>0.3</v>
      </c>
      <c r="AF611" s="4" t="s">
        <v>6296</v>
      </c>
      <c r="AG611" s="4" t="s">
        <v>6296</v>
      </c>
      <c r="AH611" s="4" t="s">
        <v>6296</v>
      </c>
      <c r="AI611" s="4" t="s">
        <v>6296</v>
      </c>
      <c r="AJ611" s="4" t="s">
        <v>6296</v>
      </c>
      <c r="AK611" s="4" t="s">
        <v>6296</v>
      </c>
      <c r="AL611" s="4" t="s">
        <v>6296</v>
      </c>
      <c r="AM611" s="4" t="s">
        <v>6296</v>
      </c>
      <c r="AN611" s="4" t="s">
        <v>6296</v>
      </c>
      <c r="AO611" s="4" t="s">
        <v>6296</v>
      </c>
      <c r="AP611" s="4" t="s">
        <v>983</v>
      </c>
      <c r="AQ611" s="4" t="s">
        <v>47</v>
      </c>
    </row>
    <row r="612" spans="1:43" ht="12.6" customHeight="1" x14ac:dyDescent="0.25">
      <c r="A612" s="8" t="s">
        <v>878</v>
      </c>
      <c r="B612" s="9">
        <v>20151231</v>
      </c>
      <c r="C612" s="12">
        <f>_xll.FDS("SPX","FG_PRICE(12/30/2015)")</f>
        <v>2063.36</v>
      </c>
      <c r="D612" s="12">
        <f>_xll.FDS("SPX","FG_PRICE(12/30/2017)")</f>
        <v>2673.61</v>
      </c>
      <c r="E612" s="15">
        <f>D612/C612-1</f>
        <v>0.2957554668114144</v>
      </c>
      <c r="F612" s="8" t="s">
        <v>879</v>
      </c>
      <c r="G612" s="8" t="s">
        <v>880</v>
      </c>
      <c r="H612" s="13">
        <f>_xll.FDS(G612,"FG_PRICE(12/30/2015)")</f>
        <v>77.41</v>
      </c>
      <c r="I612" s="13">
        <f>_xll.FDS(G612,"FG_PRICE(12/31/2017)")</f>
        <v>92.06</v>
      </c>
      <c r="J612" s="13">
        <f>I612/H612-1</f>
        <v>0.18925203462085016</v>
      </c>
      <c r="K612" s="13">
        <f>J612-E612</f>
        <v>-0.10650343219056424</v>
      </c>
      <c r="L612" s="13">
        <f>_xll.FDS(G612,"FF_ROE(ANN_R,12/30/2015)")</f>
        <v>10.51006893235652</v>
      </c>
      <c r="M612" s="8" t="s">
        <v>881</v>
      </c>
      <c r="N612" s="4" t="s">
        <v>881</v>
      </c>
      <c r="O612" s="4" t="s">
        <v>882</v>
      </c>
      <c r="P612" s="4" t="s">
        <v>96</v>
      </c>
      <c r="Q612" s="4" t="s">
        <v>63</v>
      </c>
      <c r="R612" s="4" t="s">
        <v>61</v>
      </c>
      <c r="S612" s="4" t="s">
        <v>62</v>
      </c>
      <c r="T612" s="6" t="e">
        <v>#N/A</v>
      </c>
      <c r="U612" s="5">
        <v>47</v>
      </c>
      <c r="V612" s="5">
        <v>46</v>
      </c>
      <c r="W612" s="5">
        <v>47</v>
      </c>
      <c r="X612" s="5">
        <v>50</v>
      </c>
      <c r="Y612" s="5">
        <v>27.6</v>
      </c>
      <c r="Z612" s="5">
        <v>40.26</v>
      </c>
      <c r="AA612" s="5">
        <v>10.39</v>
      </c>
      <c r="AB612" s="5">
        <v>48.38</v>
      </c>
      <c r="AC612" s="6">
        <v>0.4</v>
      </c>
      <c r="AD612" s="6">
        <v>0.3</v>
      </c>
      <c r="AE612" s="6">
        <v>0.3</v>
      </c>
      <c r="AF612" s="4" t="s">
        <v>6296</v>
      </c>
      <c r="AG612" s="4" t="s">
        <v>6296</v>
      </c>
      <c r="AH612" s="4" t="s">
        <v>6296</v>
      </c>
      <c r="AI612" s="4" t="s">
        <v>6296</v>
      </c>
      <c r="AJ612" s="4" t="s">
        <v>6296</v>
      </c>
      <c r="AK612" s="4" t="s">
        <v>6296</v>
      </c>
      <c r="AL612" s="4" t="s">
        <v>6296</v>
      </c>
      <c r="AM612" s="4" t="s">
        <v>6296</v>
      </c>
      <c r="AN612" s="4" t="s">
        <v>6296</v>
      </c>
      <c r="AO612" s="4" t="s">
        <v>6296</v>
      </c>
      <c r="AP612" s="4" t="s">
        <v>883</v>
      </c>
      <c r="AQ612" s="4" t="s">
        <v>47</v>
      </c>
    </row>
    <row r="613" spans="1:43" ht="12.6" customHeight="1" x14ac:dyDescent="0.25">
      <c r="A613" s="8" t="s">
        <v>5396</v>
      </c>
      <c r="B613" s="9">
        <v>20151231</v>
      </c>
      <c r="C613" s="12">
        <f>_xll.FDS("SPX","FG_PRICE(12/30/2015)")</f>
        <v>2063.36</v>
      </c>
      <c r="D613" s="12">
        <f>_xll.FDS("SPX","FG_PRICE(12/30/2017)")</f>
        <v>2673.61</v>
      </c>
      <c r="E613" s="15">
        <f>D613/C613-1</f>
        <v>0.2957554668114144</v>
      </c>
      <c r="F613" s="8" t="s">
        <v>5397</v>
      </c>
      <c r="G613" s="8" t="s">
        <v>5398</v>
      </c>
      <c r="H613" s="13">
        <f>_xll.FDS(G613,"FG_PRICE(12/30/2015)")</f>
        <v>16.899999999999999</v>
      </c>
      <c r="I613" s="13">
        <f>_xll.FDS(G613,"FG_PRICE(12/31/2017)")</f>
        <v>8.9600000000000009</v>
      </c>
      <c r="J613" s="13">
        <f>I613/H613-1</f>
        <v>-0.46982248520710046</v>
      </c>
      <c r="K613" s="13">
        <f>J613-E613</f>
        <v>-0.76557795201851486</v>
      </c>
      <c r="L613" s="13">
        <f>_xll.FDS(G613,"FF_ROE(ANN_R,12/30/2015)")</f>
        <v>0.5675376737365877</v>
      </c>
      <c r="M613" s="8" t="s">
        <v>5399</v>
      </c>
      <c r="N613" s="4" t="s">
        <v>5399</v>
      </c>
      <c r="O613" s="4" t="s">
        <v>5400</v>
      </c>
      <c r="P613" s="4" t="s">
        <v>96</v>
      </c>
      <c r="Q613" s="4" t="s">
        <v>63</v>
      </c>
      <c r="R613" s="4" t="s">
        <v>61</v>
      </c>
      <c r="S613" s="4" t="s">
        <v>62</v>
      </c>
      <c r="T613" s="6" t="e">
        <v>#N/A</v>
      </c>
      <c r="U613" s="5">
        <v>50</v>
      </c>
      <c r="V613" s="5">
        <v>42</v>
      </c>
      <c r="W613" s="5">
        <v>50</v>
      </c>
      <c r="X613" s="5">
        <v>60</v>
      </c>
      <c r="Y613" s="5">
        <v>42.53</v>
      </c>
      <c r="Z613" s="5">
        <v>27.6</v>
      </c>
      <c r="AA613" s="5">
        <v>17.53</v>
      </c>
      <c r="AB613" s="5">
        <v>76.62</v>
      </c>
      <c r="AC613" s="6">
        <v>0.4</v>
      </c>
      <c r="AD613" s="6">
        <v>0.3</v>
      </c>
      <c r="AE613" s="6">
        <v>0.3</v>
      </c>
      <c r="AF613" s="4" t="s">
        <v>6296</v>
      </c>
      <c r="AG613" s="4" t="s">
        <v>6296</v>
      </c>
      <c r="AH613" s="4" t="s">
        <v>6296</v>
      </c>
      <c r="AI613" s="4" t="s">
        <v>6296</v>
      </c>
      <c r="AJ613" s="4" t="s">
        <v>6296</v>
      </c>
      <c r="AK613" s="4" t="s">
        <v>6296</v>
      </c>
      <c r="AL613" s="4" t="s">
        <v>6296</v>
      </c>
      <c r="AM613" s="4" t="s">
        <v>6296</v>
      </c>
      <c r="AN613" s="4" t="s">
        <v>6296</v>
      </c>
      <c r="AO613" s="4" t="s">
        <v>6296</v>
      </c>
      <c r="AP613" s="4" t="s">
        <v>5401</v>
      </c>
      <c r="AQ613" s="4" t="s">
        <v>47</v>
      </c>
    </row>
    <row r="614" spans="1:43" ht="12.6" customHeight="1" x14ac:dyDescent="0.25">
      <c r="A614" s="8" t="s">
        <v>4821</v>
      </c>
      <c r="B614" s="9">
        <v>20151231</v>
      </c>
      <c r="C614" s="12">
        <f>_xll.FDS("SPX","FG_PRICE(12/30/2015)")</f>
        <v>2063.36</v>
      </c>
      <c r="D614" s="12">
        <f>_xll.FDS("SPX","FG_PRICE(12/30/2017)")</f>
        <v>2673.61</v>
      </c>
      <c r="E614" s="15">
        <f>D614/C614-1</f>
        <v>0.2957554668114144</v>
      </c>
      <c r="F614" s="8" t="s">
        <v>4822</v>
      </c>
      <c r="G614" s="8" t="s">
        <v>4823</v>
      </c>
      <c r="H614" s="13">
        <f>_xll.FDS(G614,"FG_PRICE(12/30/2015)")</f>
        <v>31.5</v>
      </c>
      <c r="I614" s="13">
        <f>_xll.FDS(G614,"FG_PRICE(12/31/2017)")</f>
        <v>41.06</v>
      </c>
      <c r="J614" s="13">
        <f>I614/H614-1</f>
        <v>0.30349206349206348</v>
      </c>
      <c r="K614" s="13">
        <f>J614-E614</f>
        <v>7.7365966806490771E-3</v>
      </c>
      <c r="L614" s="13">
        <f>_xll.FDS(G614,"FF_ROE(ANN_R,12/30/2015)")</f>
        <v>2.2801560098675089</v>
      </c>
      <c r="M614" s="8" t="s">
        <v>4824</v>
      </c>
      <c r="N614" s="4" t="s">
        <v>4825</v>
      </c>
      <c r="O614" s="4" t="s">
        <v>4826</v>
      </c>
      <c r="P614" s="4" t="s">
        <v>96</v>
      </c>
      <c r="Q614" s="4" t="s">
        <v>63</v>
      </c>
      <c r="R614" s="4" t="s">
        <v>61</v>
      </c>
      <c r="S614" s="4" t="s">
        <v>62</v>
      </c>
      <c r="T614" s="6" t="e">
        <v>#N/A</v>
      </c>
      <c r="U614" s="5">
        <v>57</v>
      </c>
      <c r="V614" s="5">
        <v>59</v>
      </c>
      <c r="W614" s="5">
        <v>60</v>
      </c>
      <c r="X614" s="5">
        <v>53</v>
      </c>
      <c r="Y614" s="5">
        <v>65.91</v>
      </c>
      <c r="Z614" s="5">
        <v>69.81</v>
      </c>
      <c r="AA614" s="5">
        <v>63.96</v>
      </c>
      <c r="AB614" s="5">
        <v>58.77</v>
      </c>
      <c r="AC614" s="6">
        <v>0.4</v>
      </c>
      <c r="AD614" s="6">
        <v>0.3</v>
      </c>
      <c r="AE614" s="6">
        <v>0.3</v>
      </c>
      <c r="AF614" s="4" t="s">
        <v>6296</v>
      </c>
      <c r="AG614" s="4" t="s">
        <v>6296</v>
      </c>
      <c r="AH614" s="4" t="s">
        <v>6296</v>
      </c>
      <c r="AI614" s="4" t="s">
        <v>6296</v>
      </c>
      <c r="AJ614" s="4" t="s">
        <v>6296</v>
      </c>
      <c r="AK614" s="4" t="s">
        <v>6296</v>
      </c>
      <c r="AL614" s="4" t="s">
        <v>6296</v>
      </c>
      <c r="AM614" s="4" t="s">
        <v>6296</v>
      </c>
      <c r="AN614" s="4" t="s">
        <v>6296</v>
      </c>
      <c r="AO614" s="4" t="s">
        <v>6296</v>
      </c>
      <c r="AP614" s="4" t="s">
        <v>4827</v>
      </c>
      <c r="AQ614" s="4" t="s">
        <v>47</v>
      </c>
    </row>
    <row r="615" spans="1:43" ht="12.6" customHeight="1" x14ac:dyDescent="0.25">
      <c r="A615" s="8" t="s">
        <v>4589</v>
      </c>
      <c r="B615" s="9">
        <v>20151231</v>
      </c>
      <c r="C615" s="12">
        <f>_xll.FDS("SPX","FG_PRICE(12/30/2015)")</f>
        <v>2063.36</v>
      </c>
      <c r="D615" s="12">
        <f>_xll.FDS("SPX","FG_PRICE(12/30/2017)")</f>
        <v>2673.61</v>
      </c>
      <c r="E615" s="15">
        <f>D615/C615-1</f>
        <v>0.2957554668114144</v>
      </c>
      <c r="F615" s="8" t="s">
        <v>4590</v>
      </c>
      <c r="G615" s="8" t="s">
        <v>4591</v>
      </c>
      <c r="H615" s="13">
        <f>_xll.FDS(G615,"FG_PRICE(12/30/2015)")</f>
        <v>76.930000000000007</v>
      </c>
      <c r="I615" s="13">
        <f>_xll.FDS(G615,"FG_PRICE(12/31/2017)")</f>
        <v>113.9</v>
      </c>
      <c r="J615" s="13">
        <f>I615/H615-1</f>
        <v>0.48056674899259066</v>
      </c>
      <c r="K615" s="13">
        <f>J615-E615</f>
        <v>0.18481128218117626</v>
      </c>
      <c r="L615" s="13">
        <f>_xll.FDS(G615,"FF_ROE(ANN_R,12/30/2015)")</f>
        <v>5.3462169765617107</v>
      </c>
      <c r="M615" s="8" t="s">
        <v>4592</v>
      </c>
      <c r="N615" s="4" t="s">
        <v>4593</v>
      </c>
      <c r="O615" s="4" t="s">
        <v>4594</v>
      </c>
      <c r="P615" s="4" t="s">
        <v>96</v>
      </c>
      <c r="Q615" s="4" t="s">
        <v>63</v>
      </c>
      <c r="R615" s="4" t="s">
        <v>61</v>
      </c>
      <c r="S615" s="4" t="s">
        <v>62</v>
      </c>
      <c r="T615" s="6" t="e">
        <v>#N/A</v>
      </c>
      <c r="U615" s="5">
        <v>59</v>
      </c>
      <c r="V615" s="5">
        <v>74</v>
      </c>
      <c r="W615" s="5">
        <v>48</v>
      </c>
      <c r="X615" s="5">
        <v>51</v>
      </c>
      <c r="Y615" s="5">
        <v>72.08</v>
      </c>
      <c r="Z615" s="5">
        <v>87.66</v>
      </c>
      <c r="AA615" s="5">
        <v>12.01</v>
      </c>
      <c r="AB615" s="5">
        <v>50.97</v>
      </c>
      <c r="AC615" s="6">
        <v>0.4</v>
      </c>
      <c r="AD615" s="6">
        <v>0.3</v>
      </c>
      <c r="AE615" s="6">
        <v>0.3</v>
      </c>
      <c r="AF615" s="4" t="s">
        <v>6296</v>
      </c>
      <c r="AG615" s="4" t="s">
        <v>6296</v>
      </c>
      <c r="AH615" s="4" t="s">
        <v>6296</v>
      </c>
      <c r="AI615" s="4" t="s">
        <v>6296</v>
      </c>
      <c r="AJ615" s="4" t="s">
        <v>6296</v>
      </c>
      <c r="AK615" s="4" t="s">
        <v>6296</v>
      </c>
      <c r="AL615" s="4" t="s">
        <v>6296</v>
      </c>
      <c r="AM615" s="4" t="s">
        <v>6296</v>
      </c>
      <c r="AN615" s="4" t="s">
        <v>6296</v>
      </c>
      <c r="AO615" s="4" t="s">
        <v>6296</v>
      </c>
      <c r="AP615" s="4" t="s">
        <v>4595</v>
      </c>
      <c r="AQ615" s="4" t="s">
        <v>47</v>
      </c>
    </row>
    <row r="616" spans="1:43" ht="12.6" customHeight="1" x14ac:dyDescent="0.25">
      <c r="A616" s="8" t="s">
        <v>1396</v>
      </c>
      <c r="B616" s="9">
        <v>20151231</v>
      </c>
      <c r="C616" s="12">
        <f>_xll.FDS("SPX","FG_PRICE(12/30/2015)")</f>
        <v>2063.36</v>
      </c>
      <c r="D616" s="12">
        <f>_xll.FDS("SPX","FG_PRICE(12/30/2017)")</f>
        <v>2673.61</v>
      </c>
      <c r="E616" s="15">
        <f>D616/C616-1</f>
        <v>0.2957554668114144</v>
      </c>
      <c r="F616" s="8" t="s">
        <v>1397</v>
      </c>
      <c r="G616" s="8" t="s">
        <v>1398</v>
      </c>
      <c r="H616" s="13">
        <f>_xll.FDS(G616,"FG_PRICE(12/30/2015)")</f>
        <v>21.22</v>
      </c>
      <c r="I616" s="13">
        <f>_xll.FDS(G616,"FG_PRICE(12/31/2017)")</f>
        <v>27.21</v>
      </c>
      <c r="J616" s="13">
        <f>I616/H616-1</f>
        <v>0.28228086710650335</v>
      </c>
      <c r="K616" s="13">
        <f>J616-E616</f>
        <v>-1.347459970491105E-2</v>
      </c>
      <c r="L616" s="13">
        <f>_xll.FDS(G616,"FF_ROE(ANN_R,12/30/2015)")</f>
        <v>7.0404224485014906</v>
      </c>
      <c r="M616" s="8" t="s">
        <v>1399</v>
      </c>
      <c r="N616" s="4" t="s">
        <v>1399</v>
      </c>
      <c r="O616" s="4" t="s">
        <v>1400</v>
      </c>
      <c r="P616" s="4" t="s">
        <v>96</v>
      </c>
      <c r="Q616" s="4" t="s">
        <v>63</v>
      </c>
      <c r="R616" s="4" t="s">
        <v>61</v>
      </c>
      <c r="S616" s="4" t="s">
        <v>62</v>
      </c>
      <c r="T616" s="6" t="e">
        <v>#N/A</v>
      </c>
      <c r="U616" s="5">
        <v>54</v>
      </c>
      <c r="V616" s="5">
        <v>49</v>
      </c>
      <c r="W616" s="5">
        <v>54</v>
      </c>
      <c r="X616" s="5">
        <v>63</v>
      </c>
      <c r="Y616" s="5">
        <v>55.84</v>
      </c>
      <c r="Z616" s="5">
        <v>48.7</v>
      </c>
      <c r="AA616" s="5">
        <v>23.7</v>
      </c>
      <c r="AB616" s="5">
        <v>82.14</v>
      </c>
      <c r="AC616" s="6">
        <v>0.4</v>
      </c>
      <c r="AD616" s="6">
        <v>0.3</v>
      </c>
      <c r="AE616" s="6">
        <v>0.3</v>
      </c>
      <c r="AF616" s="4" t="s">
        <v>6296</v>
      </c>
      <c r="AG616" s="4" t="s">
        <v>6296</v>
      </c>
      <c r="AH616" s="4" t="s">
        <v>6296</v>
      </c>
      <c r="AI616" s="4" t="s">
        <v>6296</v>
      </c>
      <c r="AJ616" s="4" t="s">
        <v>6296</v>
      </c>
      <c r="AK616" s="4" t="s">
        <v>6296</v>
      </c>
      <c r="AL616" s="4" t="s">
        <v>6296</v>
      </c>
      <c r="AM616" s="4" t="s">
        <v>6296</v>
      </c>
      <c r="AN616" s="4" t="s">
        <v>6296</v>
      </c>
      <c r="AO616" s="4" t="s">
        <v>6296</v>
      </c>
      <c r="AP616" s="4" t="s">
        <v>1401</v>
      </c>
      <c r="AQ616" s="4" t="s">
        <v>47</v>
      </c>
    </row>
    <row r="617" spans="1:43" ht="12.6" customHeight="1" x14ac:dyDescent="0.25">
      <c r="A617" s="8" t="s">
        <v>2098</v>
      </c>
      <c r="B617" s="9">
        <v>20151231</v>
      </c>
      <c r="C617" s="12">
        <f>_xll.FDS("SPX","FG_PRICE(12/30/2015)")</f>
        <v>2063.36</v>
      </c>
      <c r="D617" s="12">
        <f>_xll.FDS("SPX","FG_PRICE(12/30/2017)")</f>
        <v>2673.61</v>
      </c>
      <c r="E617" s="15">
        <f>D617/C617-1</f>
        <v>0.2957554668114144</v>
      </c>
      <c r="F617" s="8" t="s">
        <v>2099</v>
      </c>
      <c r="G617" s="8" t="s">
        <v>2100</v>
      </c>
      <c r="H617" s="13">
        <f>_xll.FDS(G617,"FG_PRICE(12/30/2015)")</f>
        <v>56.61</v>
      </c>
      <c r="I617" s="13">
        <f>_xll.FDS(G617,"FG_PRICE(12/31/2017)")</f>
        <v>88.38</v>
      </c>
      <c r="J617" s="13">
        <f>I617/H617-1</f>
        <v>0.56120826709061999</v>
      </c>
      <c r="K617" s="13">
        <f>J617-E617</f>
        <v>0.26545280027920559</v>
      </c>
      <c r="L617" s="13">
        <f>_xll.FDS(G617,"FF_ROE(ANN_R,12/30/2015)")</f>
        <v>8.8360164294133323</v>
      </c>
      <c r="M617" s="8" t="s">
        <v>2101</v>
      </c>
      <c r="N617" s="4" t="s">
        <v>2102</v>
      </c>
      <c r="O617" s="4" t="s">
        <v>2103</v>
      </c>
      <c r="P617" s="4" t="s">
        <v>96</v>
      </c>
      <c r="Q617" s="4" t="s">
        <v>63</v>
      </c>
      <c r="R617" s="4" t="s">
        <v>61</v>
      </c>
      <c r="S617" s="4" t="s">
        <v>62</v>
      </c>
      <c r="T617" s="6" t="e">
        <v>#N/A</v>
      </c>
      <c r="U617" s="5">
        <v>51</v>
      </c>
      <c r="V617" s="5">
        <v>46</v>
      </c>
      <c r="W617" s="5">
        <v>55</v>
      </c>
      <c r="X617" s="5">
        <v>53</v>
      </c>
      <c r="Y617" s="5">
        <v>47.4</v>
      </c>
      <c r="Z617" s="5">
        <v>40.26</v>
      </c>
      <c r="AA617" s="5">
        <v>25.97</v>
      </c>
      <c r="AB617" s="5">
        <v>58.77</v>
      </c>
      <c r="AC617" s="6">
        <v>0.4</v>
      </c>
      <c r="AD617" s="6">
        <v>0.3</v>
      </c>
      <c r="AE617" s="6">
        <v>0.3</v>
      </c>
      <c r="AF617" s="4" t="s">
        <v>6296</v>
      </c>
      <c r="AG617" s="4" t="s">
        <v>6296</v>
      </c>
      <c r="AH617" s="4" t="s">
        <v>6296</v>
      </c>
      <c r="AI617" s="4" t="s">
        <v>6296</v>
      </c>
      <c r="AJ617" s="4" t="s">
        <v>6296</v>
      </c>
      <c r="AK617" s="4" t="s">
        <v>6296</v>
      </c>
      <c r="AL617" s="4" t="s">
        <v>6296</v>
      </c>
      <c r="AM617" s="4" t="s">
        <v>6296</v>
      </c>
      <c r="AN617" s="4" t="s">
        <v>6296</v>
      </c>
      <c r="AO617" s="4" t="s">
        <v>6296</v>
      </c>
      <c r="AP617" s="4" t="s">
        <v>2104</v>
      </c>
      <c r="AQ617" s="4" t="s">
        <v>47</v>
      </c>
    </row>
    <row r="618" spans="1:43" ht="12.6" customHeight="1" x14ac:dyDescent="0.25">
      <c r="A618" s="8" t="s">
        <v>5957</v>
      </c>
      <c r="B618" s="9">
        <v>20151231</v>
      </c>
      <c r="C618" s="12">
        <f>_xll.FDS("SPX","FG_PRICE(12/30/2015)")</f>
        <v>2063.36</v>
      </c>
      <c r="D618" s="12">
        <f>_xll.FDS("SPX","FG_PRICE(12/30/2017)")</f>
        <v>2673.61</v>
      </c>
      <c r="E618" s="15">
        <f>D618/C618-1</f>
        <v>0.2957554668114144</v>
      </c>
      <c r="F618" s="8" t="s">
        <v>5958</v>
      </c>
      <c r="G618" s="8" t="s">
        <v>5959</v>
      </c>
      <c r="H618" s="13">
        <f>_xll.FDS(G618,"FG_PRICE(12/30/2015)")</f>
        <v>27.94</v>
      </c>
      <c r="I618" s="13">
        <f>_xll.FDS(G618,"FG_PRICE(12/31/2017)")</f>
        <v>30.51</v>
      </c>
      <c r="J618" s="13">
        <f>I618/H618-1</f>
        <v>9.198282032927696E-2</v>
      </c>
      <c r="K618" s="13">
        <f>J618-E618</f>
        <v>-0.20377264648213744</v>
      </c>
      <c r="L618" s="13">
        <f>_xll.FDS(G618,"FF_ROE(ANN_R,12/30/2015)")</f>
        <v>0.63460912031403061</v>
      </c>
      <c r="M618" s="8" t="s">
        <v>5960</v>
      </c>
      <c r="N618" s="4" t="s">
        <v>5960</v>
      </c>
      <c r="O618" s="4" t="s">
        <v>5961</v>
      </c>
      <c r="P618" s="4" t="s">
        <v>96</v>
      </c>
      <c r="Q618" s="4" t="s">
        <v>63</v>
      </c>
      <c r="R618" s="4" t="s">
        <v>61</v>
      </c>
      <c r="S618" s="4" t="s">
        <v>62</v>
      </c>
      <c r="T618" s="6" t="e">
        <v>#N/A</v>
      </c>
      <c r="U618" s="5">
        <v>47</v>
      </c>
      <c r="V618" s="5">
        <v>38</v>
      </c>
      <c r="W618" s="5">
        <v>60</v>
      </c>
      <c r="X618" s="5">
        <v>46</v>
      </c>
      <c r="Y618" s="5">
        <v>27.6</v>
      </c>
      <c r="Z618" s="6">
        <v>0.65</v>
      </c>
      <c r="AA618" s="5">
        <v>63.96</v>
      </c>
      <c r="AB618" s="5">
        <v>29.87</v>
      </c>
      <c r="AC618" s="6">
        <v>0.4</v>
      </c>
      <c r="AD618" s="6">
        <v>0.3</v>
      </c>
      <c r="AE618" s="6">
        <v>0.3</v>
      </c>
      <c r="AF618" s="4" t="s">
        <v>6296</v>
      </c>
      <c r="AG618" s="4" t="s">
        <v>6296</v>
      </c>
      <c r="AH618" s="4" t="s">
        <v>6296</v>
      </c>
      <c r="AI618" s="4" t="s">
        <v>6296</v>
      </c>
      <c r="AJ618" s="4" t="s">
        <v>6296</v>
      </c>
      <c r="AK618" s="4" t="s">
        <v>6296</v>
      </c>
      <c r="AL618" s="4" t="s">
        <v>6296</v>
      </c>
      <c r="AM618" s="4" t="s">
        <v>6296</v>
      </c>
      <c r="AN618" s="4" t="s">
        <v>37</v>
      </c>
      <c r="AO618" s="4" t="s">
        <v>6296</v>
      </c>
      <c r="AP618" s="4" t="s">
        <v>5962</v>
      </c>
      <c r="AQ618" s="4" t="s">
        <v>47</v>
      </c>
    </row>
    <row r="619" spans="1:43" ht="12.6" customHeight="1" x14ac:dyDescent="0.25">
      <c r="A619" s="8" t="s">
        <v>1542</v>
      </c>
      <c r="B619" s="9">
        <v>20151231</v>
      </c>
      <c r="C619" s="12">
        <f>_xll.FDS("SPX","FG_PRICE(12/30/2015)")</f>
        <v>2063.36</v>
      </c>
      <c r="D619" s="12">
        <f>_xll.FDS("SPX","FG_PRICE(12/30/2017)")</f>
        <v>2673.61</v>
      </c>
      <c r="E619" s="15">
        <f>D619/C619-1</f>
        <v>0.2957554668114144</v>
      </c>
      <c r="F619" s="8" t="s">
        <v>1543</v>
      </c>
      <c r="G619" s="8" t="s">
        <v>1544</v>
      </c>
      <c r="H619" s="13">
        <f>_xll.FDS(G619,"FG_PRICE(12/30/2015)")</f>
        <v>81.89</v>
      </c>
      <c r="I619" s="13">
        <f>_xll.FDS(G619,"FG_PRICE(12/31/2017)")</f>
        <v>63.77</v>
      </c>
      <c r="J619" s="13">
        <f>I619/H619-1</f>
        <v>-0.22127243863719626</v>
      </c>
      <c r="K619" s="13">
        <f>J619-E619</f>
        <v>-0.51702790544861066</v>
      </c>
      <c r="L619" s="13">
        <f>_xll.FDS(G619,"FF_ROE(ANN_R,12/30/2015)")</f>
        <v>3.9449201526926791</v>
      </c>
      <c r="M619" s="8" t="s">
        <v>1545</v>
      </c>
      <c r="N619" s="4" t="s">
        <v>1545</v>
      </c>
      <c r="O619" s="4" t="s">
        <v>1546</v>
      </c>
      <c r="P619" s="4" t="s">
        <v>96</v>
      </c>
      <c r="Q619" s="4" t="s">
        <v>63</v>
      </c>
      <c r="R619" s="4" t="s">
        <v>61</v>
      </c>
      <c r="S619" s="4" t="s">
        <v>62</v>
      </c>
      <c r="T619" s="6" t="e">
        <v>#N/A</v>
      </c>
      <c r="U619" s="5">
        <v>53</v>
      </c>
      <c r="V619" s="5">
        <v>57</v>
      </c>
      <c r="W619" s="5">
        <v>48</v>
      </c>
      <c r="X619" s="5">
        <v>52</v>
      </c>
      <c r="Y619" s="5">
        <v>54.22</v>
      </c>
      <c r="Z619" s="5">
        <v>66.23</v>
      </c>
      <c r="AA619" s="5">
        <v>12.01</v>
      </c>
      <c r="AB619" s="5">
        <v>55.52</v>
      </c>
      <c r="AC619" s="6">
        <v>0.4</v>
      </c>
      <c r="AD619" s="6">
        <v>0.3</v>
      </c>
      <c r="AE619" s="6">
        <v>0.3</v>
      </c>
      <c r="AF619" s="4" t="s">
        <v>6296</v>
      </c>
      <c r="AG619" s="4" t="s">
        <v>6296</v>
      </c>
      <c r="AH619" s="4" t="s">
        <v>6296</v>
      </c>
      <c r="AI619" s="4" t="s">
        <v>6296</v>
      </c>
      <c r="AJ619" s="4" t="s">
        <v>6296</v>
      </c>
      <c r="AK619" s="4" t="s">
        <v>37</v>
      </c>
      <c r="AL619" s="4" t="s">
        <v>37</v>
      </c>
      <c r="AM619" s="4" t="s">
        <v>6296</v>
      </c>
      <c r="AN619" s="4" t="s">
        <v>6296</v>
      </c>
      <c r="AO619" s="4" t="s">
        <v>6296</v>
      </c>
      <c r="AP619" s="4" t="s">
        <v>1547</v>
      </c>
      <c r="AQ619" s="4" t="s">
        <v>47</v>
      </c>
    </row>
    <row r="620" spans="1:43" ht="12.6" customHeight="1" x14ac:dyDescent="0.25">
      <c r="A620" s="8" t="s">
        <v>1516</v>
      </c>
      <c r="B620" s="9">
        <v>20151231</v>
      </c>
      <c r="C620" s="12">
        <f>_xll.FDS("SPX","FG_PRICE(12/30/2015)")</f>
        <v>2063.36</v>
      </c>
      <c r="D620" s="12">
        <f>_xll.FDS("SPX","FG_PRICE(12/30/2017)")</f>
        <v>2673.61</v>
      </c>
      <c r="E620" s="15">
        <f>D620/C620-1</f>
        <v>0.2957554668114144</v>
      </c>
      <c r="F620" s="8" t="s">
        <v>1517</v>
      </c>
      <c r="G620" s="8" t="s">
        <v>1518</v>
      </c>
      <c r="H620" s="13">
        <f>_xll.FDS(G620,"FG_PRICE(12/30/2015)")</f>
        <v>243.27</v>
      </c>
      <c r="I620" s="13">
        <f>_xll.FDS(G620,"FG_PRICE(12/31/2017)")</f>
        <v>241.37</v>
      </c>
      <c r="J620" s="13">
        <f>I620/H620-1</f>
        <v>-7.8102519833929129E-3</v>
      </c>
      <c r="K620" s="13">
        <f>J620-E620</f>
        <v>-0.30356571879480732</v>
      </c>
      <c r="L620" s="13">
        <f>_xll.FDS(G620,"FF_ROE(ANN_R,12/30/2015)")</f>
        <v>3.0878553624785758</v>
      </c>
      <c r="M620" s="8" t="s">
        <v>1519</v>
      </c>
      <c r="N620" s="4" t="s">
        <v>1520</v>
      </c>
      <c r="O620" s="4" t="s">
        <v>1521</v>
      </c>
      <c r="P620" s="4" t="s">
        <v>96</v>
      </c>
      <c r="Q620" s="4" t="s">
        <v>63</v>
      </c>
      <c r="R620" s="4" t="s">
        <v>61</v>
      </c>
      <c r="S620" s="4" t="s">
        <v>62</v>
      </c>
      <c r="T620" s="6" t="e">
        <v>#N/A</v>
      </c>
      <c r="U620" s="5">
        <v>43</v>
      </c>
      <c r="V620" s="5">
        <v>39</v>
      </c>
      <c r="W620" s="5">
        <v>44</v>
      </c>
      <c r="X620" s="5">
        <v>48</v>
      </c>
      <c r="Y620" s="6">
        <v>2.92</v>
      </c>
      <c r="Z620" s="5">
        <v>14.94</v>
      </c>
      <c r="AA620" s="6">
        <v>3.25</v>
      </c>
      <c r="AB620" s="5">
        <v>37.01</v>
      </c>
      <c r="AC620" s="6">
        <v>0.4</v>
      </c>
      <c r="AD620" s="6">
        <v>0.3</v>
      </c>
      <c r="AE620" s="6">
        <v>0.3</v>
      </c>
      <c r="AF620" s="4" t="s">
        <v>6296</v>
      </c>
      <c r="AG620" s="4" t="s">
        <v>6296</v>
      </c>
      <c r="AH620" s="4" t="s">
        <v>6296</v>
      </c>
      <c r="AI620" s="4" t="s">
        <v>6296</v>
      </c>
      <c r="AJ620" s="4" t="s">
        <v>6296</v>
      </c>
      <c r="AK620" s="4" t="s">
        <v>6296</v>
      </c>
      <c r="AL620" s="4" t="s">
        <v>6296</v>
      </c>
      <c r="AM620" s="4" t="s">
        <v>6296</v>
      </c>
      <c r="AN620" s="4" t="s">
        <v>6296</v>
      </c>
      <c r="AO620" s="4" t="s">
        <v>6296</v>
      </c>
      <c r="AP620" s="4" t="s">
        <v>1522</v>
      </c>
      <c r="AQ620" s="4" t="s">
        <v>47</v>
      </c>
    </row>
    <row r="621" spans="1:43" ht="12.6" customHeight="1" x14ac:dyDescent="0.25">
      <c r="A621" s="8" t="s">
        <v>4570</v>
      </c>
      <c r="B621" s="9">
        <v>20151231</v>
      </c>
      <c r="C621" s="12">
        <f>_xll.FDS("SPX","FG_PRICE(12/30/2015)")</f>
        <v>2063.36</v>
      </c>
      <c r="D621" s="12">
        <f>_xll.FDS("SPX","FG_PRICE(12/30/2017)")</f>
        <v>2673.61</v>
      </c>
      <c r="E621" s="15">
        <f>D621/C621-1</f>
        <v>0.2957554668114144</v>
      </c>
      <c r="F621" s="8" t="s">
        <v>4571</v>
      </c>
      <c r="G621" s="8" t="s">
        <v>4572</v>
      </c>
      <c r="H621" s="13">
        <f>_xll.FDS(G621,"FG_PRICE(12/30/2015)")</f>
        <v>89.46</v>
      </c>
      <c r="I621" s="13">
        <f>_xll.FDS(G621,"FG_PRICE(12/31/2017)")</f>
        <v>87.45</v>
      </c>
      <c r="J621" s="13">
        <f>I621/H621-1</f>
        <v>-2.2468142186451989E-2</v>
      </c>
      <c r="K621" s="13">
        <f>J621-E621</f>
        <v>-0.31822360899786639</v>
      </c>
      <c r="L621" s="13">
        <f>_xll.FDS(G621,"FF_ROE(ANN_R,12/30/2015)")</f>
        <v>10.17564886817253</v>
      </c>
      <c r="M621" s="8" t="s">
        <v>4573</v>
      </c>
      <c r="N621" s="4" t="s">
        <v>4573</v>
      </c>
      <c r="O621" s="4" t="s">
        <v>4574</v>
      </c>
      <c r="P621" s="4" t="s">
        <v>96</v>
      </c>
      <c r="Q621" s="4" t="s">
        <v>63</v>
      </c>
      <c r="R621" s="4" t="s">
        <v>61</v>
      </c>
      <c r="S621" s="4" t="s">
        <v>62</v>
      </c>
      <c r="T621" s="6" t="e">
        <v>#N/A</v>
      </c>
      <c r="U621" s="5">
        <v>42</v>
      </c>
      <c r="V621" s="5">
        <v>39</v>
      </c>
      <c r="W621" s="5">
        <v>40</v>
      </c>
      <c r="X621" s="5">
        <v>47</v>
      </c>
      <c r="Y621" s="6">
        <v>1.3</v>
      </c>
      <c r="Z621" s="5">
        <v>14.94</v>
      </c>
      <c r="AA621" s="6">
        <v>0</v>
      </c>
      <c r="AB621" s="5">
        <v>35.06</v>
      </c>
      <c r="AC621" s="6">
        <v>0.4</v>
      </c>
      <c r="AD621" s="6">
        <v>0.3</v>
      </c>
      <c r="AE621" s="6">
        <v>0.3</v>
      </c>
      <c r="AF621" s="4" t="s">
        <v>6296</v>
      </c>
      <c r="AG621" s="4" t="s">
        <v>6296</v>
      </c>
      <c r="AH621" s="4" t="s">
        <v>6296</v>
      </c>
      <c r="AI621" s="4" t="s">
        <v>6296</v>
      </c>
      <c r="AJ621" s="4" t="s">
        <v>6296</v>
      </c>
      <c r="AK621" s="4" t="s">
        <v>6296</v>
      </c>
      <c r="AL621" s="4" t="s">
        <v>6296</v>
      </c>
      <c r="AM621" s="4" t="s">
        <v>6296</v>
      </c>
      <c r="AN621" s="4" t="s">
        <v>6296</v>
      </c>
      <c r="AO621" s="4" t="s">
        <v>6296</v>
      </c>
      <c r="AP621" s="4" t="s">
        <v>4575</v>
      </c>
      <c r="AQ621" s="4" t="s">
        <v>47</v>
      </c>
    </row>
    <row r="622" spans="1:43" ht="12.6" customHeight="1" x14ac:dyDescent="0.25">
      <c r="A622" s="8" t="s">
        <v>5773</v>
      </c>
      <c r="B622" s="9">
        <v>20151231</v>
      </c>
      <c r="C622" s="12">
        <f>_xll.FDS("SPX","FG_PRICE(12/30/2015)")</f>
        <v>2063.36</v>
      </c>
      <c r="D622" s="12">
        <f>_xll.FDS("SPX","FG_PRICE(12/30/2017)")</f>
        <v>2673.61</v>
      </c>
      <c r="E622" s="15">
        <f>D622/C622-1</f>
        <v>0.2957554668114144</v>
      </c>
      <c r="F622" s="8" t="s">
        <v>5774</v>
      </c>
      <c r="G622" s="8" t="s">
        <v>5775</v>
      </c>
      <c r="H622" s="13">
        <f>_xll.FDS(G622,"FG_PRICE(12/30/2015)")</f>
        <v>21.29</v>
      </c>
      <c r="I622" s="13">
        <f>_xll.FDS(G622,"FG_PRICE(12/31/2017)")</f>
        <v>24.1</v>
      </c>
      <c r="J622" s="13">
        <f>I622/H622-1</f>
        <v>0.13198684828558016</v>
      </c>
      <c r="K622" s="13">
        <f>J622-E622</f>
        <v>-0.16376861852583424</v>
      </c>
      <c r="L622" s="13">
        <f>_xll.FDS(G622,"FF_ROE(ANN_R,12/30/2015)")</f>
        <v>-1.2243039551801249</v>
      </c>
      <c r="M622" s="8" t="s">
        <v>5776</v>
      </c>
      <c r="N622" s="4" t="s">
        <v>5777</v>
      </c>
      <c r="O622" s="4" t="s">
        <v>5778</v>
      </c>
      <c r="P622" s="4" t="s">
        <v>96</v>
      </c>
      <c r="Q622" s="4" t="s">
        <v>63</v>
      </c>
      <c r="R622" s="4" t="s">
        <v>61</v>
      </c>
      <c r="S622" s="4" t="s">
        <v>62</v>
      </c>
      <c r="T622" s="6" t="e">
        <v>#N/A</v>
      </c>
      <c r="U622" s="5">
        <v>58</v>
      </c>
      <c r="V622" s="5">
        <v>67</v>
      </c>
      <c r="W622" s="5">
        <v>49</v>
      </c>
      <c r="X622" s="5">
        <v>54</v>
      </c>
      <c r="Y622" s="5">
        <v>68.510000000000005</v>
      </c>
      <c r="Z622" s="5">
        <v>81.17</v>
      </c>
      <c r="AA622" s="5">
        <v>15.26</v>
      </c>
      <c r="AB622" s="5">
        <v>61.69</v>
      </c>
      <c r="AC622" s="6">
        <v>0.4</v>
      </c>
      <c r="AD622" s="6">
        <v>0.3</v>
      </c>
      <c r="AE622" s="6">
        <v>0.3</v>
      </c>
      <c r="AF622" s="4" t="s">
        <v>6296</v>
      </c>
      <c r="AG622" s="4" t="s">
        <v>6296</v>
      </c>
      <c r="AH622" s="4" t="s">
        <v>6296</v>
      </c>
      <c r="AI622" s="4" t="s">
        <v>6296</v>
      </c>
      <c r="AJ622" s="4" t="s">
        <v>6296</v>
      </c>
      <c r="AK622" s="4" t="s">
        <v>42</v>
      </c>
      <c r="AL622" s="4" t="s">
        <v>6296</v>
      </c>
      <c r="AM622" s="4" t="s">
        <v>42</v>
      </c>
      <c r="AN622" s="4" t="s">
        <v>6296</v>
      </c>
      <c r="AO622" s="4" t="s">
        <v>6296</v>
      </c>
      <c r="AP622" s="4" t="s">
        <v>5779</v>
      </c>
      <c r="AQ622" s="4" t="s">
        <v>47</v>
      </c>
    </row>
    <row r="623" spans="1:43" ht="12.6" customHeight="1" x14ac:dyDescent="0.25">
      <c r="A623" s="8" t="s">
        <v>1612</v>
      </c>
      <c r="B623" s="9">
        <v>20151231</v>
      </c>
      <c r="C623" s="12">
        <f>_xll.FDS("SPX","FG_PRICE(12/30/2015)")</f>
        <v>2063.36</v>
      </c>
      <c r="D623" s="12">
        <f>_xll.FDS("SPX","FG_PRICE(12/30/2017)")</f>
        <v>2673.61</v>
      </c>
      <c r="E623" s="15">
        <f>D623/C623-1</f>
        <v>0.2957554668114144</v>
      </c>
      <c r="F623" s="8" t="s">
        <v>1613</v>
      </c>
      <c r="G623" s="8" t="s">
        <v>1614</v>
      </c>
      <c r="H623" s="13">
        <f>_xll.FDS(G623,"FG_PRICE(12/30/2015)")</f>
        <v>148.13</v>
      </c>
      <c r="I623" s="13">
        <f>_xll.FDS(G623,"FG_PRICE(12/31/2017)")</f>
        <v>132.81</v>
      </c>
      <c r="J623" s="13">
        <f>I623/H623-1</f>
        <v>-0.1034226692769864</v>
      </c>
      <c r="K623" s="13">
        <f>J623-E623</f>
        <v>-0.3991781360884008</v>
      </c>
      <c r="L623" s="13">
        <f>_xll.FDS(G623,"FF_ROE(ANN_R,12/30/2015)")</f>
        <v>10.42606519574875</v>
      </c>
      <c r="M623" s="8" t="s">
        <v>1615</v>
      </c>
      <c r="N623" s="4" t="s">
        <v>1615</v>
      </c>
      <c r="O623" s="4" t="s">
        <v>1616</v>
      </c>
      <c r="P623" s="4" t="s">
        <v>96</v>
      </c>
      <c r="Q623" s="4" t="s">
        <v>63</v>
      </c>
      <c r="R623" s="4" t="s">
        <v>61</v>
      </c>
      <c r="S623" s="4" t="s">
        <v>62</v>
      </c>
      <c r="T623" s="6" t="e">
        <v>#N/A</v>
      </c>
      <c r="U623" s="5">
        <v>49</v>
      </c>
      <c r="V623" s="5">
        <v>49</v>
      </c>
      <c r="W623" s="5">
        <v>46</v>
      </c>
      <c r="X623" s="5">
        <v>51</v>
      </c>
      <c r="Y623" s="5">
        <v>38.64</v>
      </c>
      <c r="Z623" s="5">
        <v>48.7</v>
      </c>
      <c r="AA623" s="6">
        <v>6.82</v>
      </c>
      <c r="AB623" s="5">
        <v>50.97</v>
      </c>
      <c r="AC623" s="6">
        <v>0.4</v>
      </c>
      <c r="AD623" s="6">
        <v>0.3</v>
      </c>
      <c r="AE623" s="6">
        <v>0.3</v>
      </c>
      <c r="AF623" s="4" t="s">
        <v>6296</v>
      </c>
      <c r="AG623" s="4" t="s">
        <v>6296</v>
      </c>
      <c r="AH623" s="4" t="s">
        <v>6296</v>
      </c>
      <c r="AI623" s="4" t="s">
        <v>6296</v>
      </c>
      <c r="AJ623" s="4" t="s">
        <v>6296</v>
      </c>
      <c r="AK623" s="4" t="s">
        <v>6296</v>
      </c>
      <c r="AL623" s="4" t="s">
        <v>6296</v>
      </c>
      <c r="AM623" s="4" t="s">
        <v>6296</v>
      </c>
      <c r="AN623" s="4" t="s">
        <v>6296</v>
      </c>
      <c r="AO623" s="4" t="s">
        <v>6296</v>
      </c>
      <c r="AP623" s="4" t="s">
        <v>1617</v>
      </c>
      <c r="AQ623" s="4" t="s">
        <v>47</v>
      </c>
    </row>
    <row r="624" spans="1:43" ht="12.6" customHeight="1" x14ac:dyDescent="0.25">
      <c r="A624" s="8" t="s">
        <v>6512</v>
      </c>
      <c r="B624" s="9">
        <v>20151231</v>
      </c>
      <c r="C624" s="12">
        <f>_xll.FDS("SPX","FG_PRICE(12/30/2015)")</f>
        <v>2063.36</v>
      </c>
      <c r="D624" s="12">
        <f>_xll.FDS("SPX","FG_PRICE(12/30/2017)")</f>
        <v>2673.61</v>
      </c>
      <c r="E624" s="15">
        <f>D624/C624-1</f>
        <v>0.2957554668114144</v>
      </c>
      <c r="F624" s="8" t="s">
        <v>6118</v>
      </c>
      <c r="G624" s="8" t="s">
        <v>6119</v>
      </c>
      <c r="H624" s="13">
        <f>_xll.FDS(G624,"FG_PRICE(12/30/2015)")</f>
        <v>27.41</v>
      </c>
      <c r="I624" s="13">
        <f>_xll.FDS(G624,"FG_PRICE(12/31/2017)")</f>
        <v>23.39</v>
      </c>
      <c r="J624" s="13">
        <f>I624/H624-1</f>
        <v>-0.14666180226194814</v>
      </c>
      <c r="K624" s="13">
        <f>J624-E624</f>
        <v>-0.44241726907336254</v>
      </c>
      <c r="L624" s="13">
        <f>_xll.FDS(G624,"FF_ROE(ANN_R,12/30/2015)")</f>
        <v>4.8884845923111788</v>
      </c>
      <c r="M624" s="8" t="s">
        <v>6120</v>
      </c>
      <c r="N624" s="4" t="s">
        <v>6513</v>
      </c>
      <c r="O624" s="4" t="s">
        <v>6121</v>
      </c>
      <c r="P624" s="4" t="s">
        <v>96</v>
      </c>
      <c r="Q624" s="4" t="s">
        <v>63</v>
      </c>
      <c r="R624" s="4" t="s">
        <v>61</v>
      </c>
      <c r="S624" s="4" t="s">
        <v>62</v>
      </c>
      <c r="T624" s="6" t="e">
        <v>#N/A</v>
      </c>
      <c r="U624" s="5">
        <v>58</v>
      </c>
      <c r="V624" s="5">
        <v>62</v>
      </c>
      <c r="W624" s="5">
        <v>56</v>
      </c>
      <c r="X624" s="5">
        <v>54</v>
      </c>
      <c r="Y624" s="5">
        <v>68.510000000000005</v>
      </c>
      <c r="Z624" s="5">
        <v>73.38</v>
      </c>
      <c r="AA624" s="5">
        <v>50.97</v>
      </c>
      <c r="AB624" s="5">
        <v>61.69</v>
      </c>
      <c r="AC624" s="6">
        <v>0.4</v>
      </c>
      <c r="AD624" s="6">
        <v>0.3</v>
      </c>
      <c r="AE624" s="6">
        <v>0.3</v>
      </c>
      <c r="AF624" s="4" t="s">
        <v>6296</v>
      </c>
      <c r="AG624" s="4" t="s">
        <v>6296</v>
      </c>
      <c r="AH624" s="4" t="s">
        <v>6296</v>
      </c>
      <c r="AI624" s="4" t="s">
        <v>42</v>
      </c>
      <c r="AJ624" s="4" t="s">
        <v>6296</v>
      </c>
      <c r="AK624" s="4" t="s">
        <v>6296</v>
      </c>
      <c r="AL624" s="4" t="s">
        <v>6296</v>
      </c>
      <c r="AM624" s="4" t="s">
        <v>6296</v>
      </c>
      <c r="AN624" s="4" t="s">
        <v>6296</v>
      </c>
      <c r="AO624" s="4" t="s">
        <v>6296</v>
      </c>
      <c r="AP624" s="4" t="s">
        <v>6514</v>
      </c>
      <c r="AQ624" s="4" t="s">
        <v>47</v>
      </c>
    </row>
    <row r="625" spans="1:43" ht="12.6" customHeight="1" x14ac:dyDescent="0.25">
      <c r="A625" s="8" t="s">
        <v>1915</v>
      </c>
      <c r="B625" s="9">
        <v>20151231</v>
      </c>
      <c r="C625" s="12">
        <f>_xll.FDS("SPX","FG_PRICE(12/30/2015)")</f>
        <v>2063.36</v>
      </c>
      <c r="D625" s="12">
        <f>_xll.FDS("SPX","FG_PRICE(12/30/2017)")</f>
        <v>2673.61</v>
      </c>
      <c r="E625" s="15">
        <f>D625/C625-1</f>
        <v>0.2957554668114144</v>
      </c>
      <c r="F625" s="8" t="s">
        <v>1916</v>
      </c>
      <c r="G625" s="8" t="s">
        <v>1917</v>
      </c>
      <c r="H625" s="13">
        <f>_xll.FDS(G625,"FG_PRICE(12/30/2015)")</f>
        <v>35.185608000000002</v>
      </c>
      <c r="I625" s="13">
        <f>_xll.FDS(G625,"FG_PRICE(12/31/2017)")</f>
        <v>26.08</v>
      </c>
      <c r="J625" s="13">
        <f>I625/H625-1</f>
        <v>-0.25878785439774132</v>
      </c>
      <c r="K625" s="13">
        <f>J625-E625</f>
        <v>-0.55454332120915573</v>
      </c>
      <c r="L625" s="13">
        <f>_xll.FDS(G625,"FF_ROE(ANN_R,12/30/2015)")</f>
        <v>8.641198676688882</v>
      </c>
      <c r="M625" s="8" t="s">
        <v>1918</v>
      </c>
      <c r="N625" s="4" t="s">
        <v>1919</v>
      </c>
      <c r="O625" s="4" t="s">
        <v>1920</v>
      </c>
      <c r="P625" s="4" t="s">
        <v>96</v>
      </c>
      <c r="Q625" s="4" t="s">
        <v>63</v>
      </c>
      <c r="R625" s="4" t="s">
        <v>61</v>
      </c>
      <c r="S625" s="4" t="s">
        <v>62</v>
      </c>
      <c r="T625" s="6" t="e">
        <v>#N/A</v>
      </c>
      <c r="U625" s="5">
        <v>63</v>
      </c>
      <c r="V625" s="5">
        <v>62</v>
      </c>
      <c r="W625" s="5">
        <v>69</v>
      </c>
      <c r="X625" s="5">
        <v>60</v>
      </c>
      <c r="Y625" s="5">
        <v>80.19</v>
      </c>
      <c r="Z625" s="5">
        <v>73.38</v>
      </c>
      <c r="AA625" s="5">
        <v>87.34</v>
      </c>
      <c r="AB625" s="5">
        <v>76.62</v>
      </c>
      <c r="AC625" s="6">
        <v>0.4</v>
      </c>
      <c r="AD625" s="6">
        <v>0.3</v>
      </c>
      <c r="AE625" s="6">
        <v>0.3</v>
      </c>
      <c r="AF625" s="4" t="s">
        <v>6296</v>
      </c>
      <c r="AG625" s="4" t="s">
        <v>6296</v>
      </c>
      <c r="AH625" s="4" t="s">
        <v>6296</v>
      </c>
      <c r="AI625" s="4" t="s">
        <v>6296</v>
      </c>
      <c r="AJ625" s="4" t="s">
        <v>6296</v>
      </c>
      <c r="AK625" s="4" t="s">
        <v>6296</v>
      </c>
      <c r="AL625" s="4" t="s">
        <v>6296</v>
      </c>
      <c r="AM625" s="4" t="s">
        <v>6296</v>
      </c>
      <c r="AN625" s="4" t="s">
        <v>6296</v>
      </c>
      <c r="AO625" s="4" t="s">
        <v>6296</v>
      </c>
      <c r="AP625" s="4" t="s">
        <v>1921</v>
      </c>
      <c r="AQ625" s="4" t="s">
        <v>47</v>
      </c>
    </row>
    <row r="626" spans="1:43" ht="12.6" customHeight="1" x14ac:dyDescent="0.25">
      <c r="A626" s="8" t="s">
        <v>2040</v>
      </c>
      <c r="B626" s="9">
        <v>20151231</v>
      </c>
      <c r="C626" s="12">
        <f>_xll.FDS("SPX","FG_PRICE(12/30/2015)")</f>
        <v>2063.36</v>
      </c>
      <c r="D626" s="12">
        <f>_xll.FDS("SPX","FG_PRICE(12/30/2017)")</f>
        <v>2673.61</v>
      </c>
      <c r="E626" s="15">
        <f>D626/C626-1</f>
        <v>0.2957554668114144</v>
      </c>
      <c r="F626" s="8" t="s">
        <v>2041</v>
      </c>
      <c r="G626" s="8" t="s">
        <v>2042</v>
      </c>
      <c r="H626" s="13">
        <f>_xll.FDS(G626,"FG_PRICE(12/30/2015)")</f>
        <v>26.71</v>
      </c>
      <c r="I626" s="13">
        <f>_xll.FDS(G626,"FG_PRICE(12/31/2017)")</f>
        <v>29.85</v>
      </c>
      <c r="J626" s="13">
        <f>I626/H626-1</f>
        <v>0.11755896667914634</v>
      </c>
      <c r="K626" s="13">
        <f>J626-E626</f>
        <v>-0.17819650013226807</v>
      </c>
      <c r="L626" s="13">
        <f>_xll.FDS(G626,"FF_ROE(ANN_R,12/30/2015)")</f>
        <v>6.4852638008704293</v>
      </c>
      <c r="M626" s="8" t="s">
        <v>2043</v>
      </c>
      <c r="N626" s="4" t="s">
        <v>2043</v>
      </c>
      <c r="O626" s="4" t="s">
        <v>2044</v>
      </c>
      <c r="P626" s="4" t="s">
        <v>96</v>
      </c>
      <c r="Q626" s="4" t="s">
        <v>63</v>
      </c>
      <c r="R626" s="4" t="s">
        <v>61</v>
      </c>
      <c r="S626" s="4" t="s">
        <v>62</v>
      </c>
      <c r="T626" s="6" t="e">
        <v>#N/A</v>
      </c>
      <c r="U626" s="5">
        <v>46</v>
      </c>
      <c r="V626" s="5">
        <v>38</v>
      </c>
      <c r="W626" s="5">
        <v>60</v>
      </c>
      <c r="X626" s="5">
        <v>43</v>
      </c>
      <c r="Y626" s="5">
        <v>19.48</v>
      </c>
      <c r="Z626" s="6">
        <v>0.65</v>
      </c>
      <c r="AA626" s="5">
        <v>63.96</v>
      </c>
      <c r="AB626" s="5">
        <v>18.829999999999998</v>
      </c>
      <c r="AC626" s="6">
        <v>0.4</v>
      </c>
      <c r="AD626" s="6">
        <v>0.3</v>
      </c>
      <c r="AE626" s="6">
        <v>0.3</v>
      </c>
      <c r="AF626" s="4" t="s">
        <v>6296</v>
      </c>
      <c r="AG626" s="4" t="s">
        <v>6296</v>
      </c>
      <c r="AH626" s="4" t="s">
        <v>6296</v>
      </c>
      <c r="AI626" s="4" t="s">
        <v>6296</v>
      </c>
      <c r="AJ626" s="4" t="s">
        <v>6296</v>
      </c>
      <c r="AK626" s="4" t="s">
        <v>6296</v>
      </c>
      <c r="AL626" s="4" t="s">
        <v>6296</v>
      </c>
      <c r="AM626" s="4" t="s">
        <v>6296</v>
      </c>
      <c r="AN626" s="4" t="s">
        <v>6296</v>
      </c>
      <c r="AO626" s="4" t="s">
        <v>6296</v>
      </c>
      <c r="AP626" s="4" t="s">
        <v>2045</v>
      </c>
      <c r="AQ626" s="4" t="s">
        <v>47</v>
      </c>
    </row>
    <row r="627" spans="1:43" ht="12.6" customHeight="1" x14ac:dyDescent="0.25">
      <c r="A627" s="8" t="s">
        <v>2596</v>
      </c>
      <c r="B627" s="9">
        <v>20151231</v>
      </c>
      <c r="C627" s="12">
        <f>_xll.FDS("SPX","FG_PRICE(12/30/2015)")</f>
        <v>2063.36</v>
      </c>
      <c r="D627" s="12">
        <f>_xll.FDS("SPX","FG_PRICE(12/30/2017)")</f>
        <v>2673.61</v>
      </c>
      <c r="E627" s="15">
        <f>D627/C627-1</f>
        <v>0.2957554668114144</v>
      </c>
      <c r="F627" s="8" t="s">
        <v>2597</v>
      </c>
      <c r="G627" s="8" t="s">
        <v>2598</v>
      </c>
      <c r="H627" s="13">
        <f>_xll.FDS(G627,"FG_PRICE(12/30/2015)")</f>
        <v>15.76</v>
      </c>
      <c r="I627" s="13">
        <f>_xll.FDS(G627,"FG_PRICE(12/31/2017)")</f>
        <v>19.850000000000001</v>
      </c>
      <c r="J627" s="13">
        <f>I627/H627-1</f>
        <v>0.25951776649746194</v>
      </c>
      <c r="K627" s="13">
        <f>J627-E627</f>
        <v>-3.6237700313952459E-2</v>
      </c>
      <c r="L627" s="13">
        <f>_xll.FDS(G627,"FF_ROE(ANN_R,12/30/2015)")</f>
        <v>10.05218346608075</v>
      </c>
      <c r="M627" s="8" t="s">
        <v>2599</v>
      </c>
      <c r="N627" s="4" t="s">
        <v>2600</v>
      </c>
      <c r="O627" s="4" t="s">
        <v>2601</v>
      </c>
      <c r="P627" s="4" t="s">
        <v>96</v>
      </c>
      <c r="Q627" s="4" t="s">
        <v>63</v>
      </c>
      <c r="R627" s="4" t="s">
        <v>61</v>
      </c>
      <c r="S627" s="4" t="s">
        <v>62</v>
      </c>
      <c r="T627" s="6" t="e">
        <v>#N/A</v>
      </c>
      <c r="U627" s="5">
        <v>71</v>
      </c>
      <c r="V627" s="5">
        <v>73</v>
      </c>
      <c r="W627" s="5">
        <v>60</v>
      </c>
      <c r="X627" s="5">
        <v>78</v>
      </c>
      <c r="Y627" s="5">
        <v>90.26</v>
      </c>
      <c r="Z627" s="5">
        <v>87.01</v>
      </c>
      <c r="AA627" s="5">
        <v>63.96</v>
      </c>
      <c r="AB627" s="5">
        <v>95.78</v>
      </c>
      <c r="AC627" s="6">
        <v>0.4</v>
      </c>
      <c r="AD627" s="6">
        <v>0.3</v>
      </c>
      <c r="AE627" s="6">
        <v>0.3</v>
      </c>
      <c r="AF627" s="4" t="s">
        <v>6296</v>
      </c>
      <c r="AG627" s="4" t="s">
        <v>6296</v>
      </c>
      <c r="AH627" s="4" t="s">
        <v>6296</v>
      </c>
      <c r="AI627" s="4" t="s">
        <v>6296</v>
      </c>
      <c r="AJ627" s="4" t="s">
        <v>6296</v>
      </c>
      <c r="AK627" s="4" t="s">
        <v>6296</v>
      </c>
      <c r="AL627" s="4" t="s">
        <v>6296</v>
      </c>
      <c r="AM627" s="4" t="s">
        <v>6296</v>
      </c>
      <c r="AN627" s="4" t="s">
        <v>6296</v>
      </c>
      <c r="AO627" s="4" t="s">
        <v>6296</v>
      </c>
      <c r="AP627" s="4" t="s">
        <v>2602</v>
      </c>
      <c r="AQ627" s="4" t="s">
        <v>47</v>
      </c>
    </row>
    <row r="628" spans="1:43" ht="12.6" customHeight="1" x14ac:dyDescent="0.25">
      <c r="A628" s="8" t="s">
        <v>6473</v>
      </c>
      <c r="B628" s="9">
        <v>20151231</v>
      </c>
      <c r="C628" s="12">
        <f>_xll.FDS("SPX","FG_PRICE(12/30/2015)")</f>
        <v>2063.36</v>
      </c>
      <c r="D628" s="12">
        <f>_xll.FDS("SPX","FG_PRICE(12/30/2017)")</f>
        <v>2673.61</v>
      </c>
      <c r="E628" s="15">
        <f>D628/C628-1</f>
        <v>0.2957554668114144</v>
      </c>
      <c r="F628" s="8" t="s">
        <v>6474</v>
      </c>
      <c r="G628" s="8" t="s">
        <v>6475</v>
      </c>
      <c r="H628" s="13">
        <f>_xll.FDS(G628,"FG_PRICE(12/30/2015)")</f>
        <v>13.26</v>
      </c>
      <c r="I628" s="13" t="e">
        <f>_xll.FDS(G628,"FG_PRICE(12/31/2017)")</f>
        <v>#N/A</v>
      </c>
      <c r="J628" s="13" t="e">
        <f>I628/H628-1</f>
        <v>#N/A</v>
      </c>
      <c r="K628" s="13" t="e">
        <f>J628-E628</f>
        <v>#N/A</v>
      </c>
      <c r="L628" s="13">
        <f>_xll.FDS(G628,"FF_ROE(ANN_R,12/30/2015)")</f>
        <v>2.3557873868549311</v>
      </c>
      <c r="M628" s="8" t="s">
        <v>6476</v>
      </c>
      <c r="N628" s="4" t="s">
        <v>4969</v>
      </c>
      <c r="O628" s="4" t="s">
        <v>6477</v>
      </c>
      <c r="P628" s="4" t="s">
        <v>96</v>
      </c>
      <c r="Q628" s="4" t="s">
        <v>63</v>
      </c>
      <c r="R628" s="4" t="s">
        <v>61</v>
      </c>
      <c r="S628" s="4" t="s">
        <v>62</v>
      </c>
      <c r="T628" s="6" t="e">
        <v>#N/A</v>
      </c>
      <c r="U628" s="5">
        <v>46</v>
      </c>
      <c r="V628" s="5">
        <v>38</v>
      </c>
      <c r="W628" s="5">
        <v>60</v>
      </c>
      <c r="X628" s="5">
        <v>43</v>
      </c>
      <c r="Y628" s="5">
        <v>19.48</v>
      </c>
      <c r="Z628" s="6">
        <v>0.65</v>
      </c>
      <c r="AA628" s="5">
        <v>63.96</v>
      </c>
      <c r="AB628" s="5">
        <v>18.829999999999998</v>
      </c>
      <c r="AC628" s="6">
        <v>0.4</v>
      </c>
      <c r="AD628" s="6">
        <v>0.3</v>
      </c>
      <c r="AE628" s="6">
        <v>0.3</v>
      </c>
      <c r="AF628" s="4" t="s">
        <v>6296</v>
      </c>
      <c r="AG628" s="4" t="s">
        <v>6296</v>
      </c>
      <c r="AH628" s="4" t="s">
        <v>6296</v>
      </c>
      <c r="AI628" s="4" t="s">
        <v>6296</v>
      </c>
      <c r="AJ628" s="4" t="s">
        <v>6296</v>
      </c>
      <c r="AK628" s="4" t="s">
        <v>6296</v>
      </c>
      <c r="AL628" s="4" t="s">
        <v>6296</v>
      </c>
      <c r="AM628" s="4" t="s">
        <v>6296</v>
      </c>
      <c r="AN628" s="4" t="s">
        <v>6296</v>
      </c>
      <c r="AO628" s="4" t="s">
        <v>6296</v>
      </c>
      <c r="AP628" s="4" t="s">
        <v>6478</v>
      </c>
      <c r="AQ628" s="4" t="s">
        <v>47</v>
      </c>
    </row>
    <row r="629" spans="1:43" ht="12.6" customHeight="1" x14ac:dyDescent="0.25">
      <c r="A629" s="8" t="s">
        <v>308</v>
      </c>
      <c r="B629" s="9">
        <v>20151231</v>
      </c>
      <c r="C629" s="12">
        <f>_xll.FDS("SPX","FG_PRICE(12/30/2015)")</f>
        <v>2063.36</v>
      </c>
      <c r="D629" s="12">
        <f>_xll.FDS("SPX","FG_PRICE(12/30/2017)")</f>
        <v>2673.61</v>
      </c>
      <c r="E629" s="15">
        <f>D629/C629-1</f>
        <v>0.2957554668114144</v>
      </c>
      <c r="F629" s="8" t="s">
        <v>309</v>
      </c>
      <c r="G629" s="8" t="s">
        <v>310</v>
      </c>
      <c r="H629" s="13">
        <f>_xll.FDS(G629,"FG_PRICE(12/30/2015)")</f>
        <v>158.81</v>
      </c>
      <c r="I629" s="13">
        <f>_xll.FDS(G629,"FG_PRICE(12/31/2017)")</f>
        <v>148.93</v>
      </c>
      <c r="J629" s="13">
        <f>I629/H629-1</f>
        <v>-6.2212707008374779E-2</v>
      </c>
      <c r="K629" s="13">
        <f>J629-E629</f>
        <v>-0.35796817381978918</v>
      </c>
      <c r="L629" s="13">
        <f>_xll.FDS(G629,"FF_ROE(ANN_R,12/30/2015)")</f>
        <v>16.89485917556377</v>
      </c>
      <c r="M629" s="8" t="s">
        <v>311</v>
      </c>
      <c r="N629" s="4" t="s">
        <v>311</v>
      </c>
      <c r="O629" s="4" t="s">
        <v>312</v>
      </c>
      <c r="P629" s="4" t="s">
        <v>96</v>
      </c>
      <c r="Q629" s="4" t="s">
        <v>63</v>
      </c>
      <c r="R629" s="4" t="s">
        <v>61</v>
      </c>
      <c r="S629" s="4" t="s">
        <v>62</v>
      </c>
      <c r="T629" s="6" t="e">
        <v>#N/A</v>
      </c>
      <c r="U629" s="5">
        <v>58</v>
      </c>
      <c r="V629" s="5">
        <v>52</v>
      </c>
      <c r="W629" s="5">
        <v>47</v>
      </c>
      <c r="X629" s="5">
        <v>77</v>
      </c>
      <c r="Y629" s="5">
        <v>68.510000000000005</v>
      </c>
      <c r="Z629" s="5">
        <v>55.84</v>
      </c>
      <c r="AA629" s="5">
        <v>10.39</v>
      </c>
      <c r="AB629" s="5">
        <v>93.83</v>
      </c>
      <c r="AC629" s="6">
        <v>0.4</v>
      </c>
      <c r="AD629" s="6">
        <v>0.3</v>
      </c>
      <c r="AE629" s="6">
        <v>0.3</v>
      </c>
      <c r="AF629" s="4" t="s">
        <v>6296</v>
      </c>
      <c r="AG629" s="4" t="s">
        <v>6296</v>
      </c>
      <c r="AH629" s="4" t="s">
        <v>6296</v>
      </c>
      <c r="AI629" s="4" t="s">
        <v>6296</v>
      </c>
      <c r="AJ629" s="4" t="s">
        <v>6296</v>
      </c>
      <c r="AK629" s="4" t="s">
        <v>42</v>
      </c>
      <c r="AL629" s="4" t="s">
        <v>6296</v>
      </c>
      <c r="AM629" s="4" t="s">
        <v>6296</v>
      </c>
      <c r="AN629" s="4" t="s">
        <v>6296</v>
      </c>
      <c r="AO629" s="4" t="s">
        <v>6296</v>
      </c>
      <c r="AP629" s="4" t="s">
        <v>313</v>
      </c>
      <c r="AQ629" s="4" t="s">
        <v>47</v>
      </c>
    </row>
    <row r="630" spans="1:43" ht="12.6" customHeight="1" x14ac:dyDescent="0.25">
      <c r="A630" s="8" t="s">
        <v>3520</v>
      </c>
      <c r="B630" s="9">
        <v>20151231</v>
      </c>
      <c r="C630" s="12">
        <f>_xll.FDS("SPX","FG_PRICE(12/30/2015)")</f>
        <v>2063.36</v>
      </c>
      <c r="D630" s="12">
        <f>_xll.FDS("SPX","FG_PRICE(12/30/2017)")</f>
        <v>2673.61</v>
      </c>
      <c r="E630" s="15">
        <f>D630/C630-1</f>
        <v>0.2957554668114144</v>
      </c>
      <c r="F630" s="8" t="s">
        <v>3521</v>
      </c>
      <c r="G630" s="8" t="s">
        <v>3522</v>
      </c>
      <c r="H630" s="13">
        <f>_xll.FDS(G630,"FG_PRICE(12/30/2015)")</f>
        <v>18.809999999999999</v>
      </c>
      <c r="I630" s="13">
        <f>_xll.FDS(G630,"FG_PRICE(12/31/2017)")</f>
        <v>18.05</v>
      </c>
      <c r="J630" s="13">
        <f>I630/H630-1</f>
        <v>-4.0404040404040331E-2</v>
      </c>
      <c r="K630" s="13">
        <f>J630-E630</f>
        <v>-0.33615950721545473</v>
      </c>
      <c r="L630" s="13">
        <f>_xll.FDS(G630,"FF_ROE(ANN_R,12/30/2015)")</f>
        <v>53.146290803320937</v>
      </c>
      <c r="M630" s="8" t="s">
        <v>3523</v>
      </c>
      <c r="N630" s="4" t="s">
        <v>3524</v>
      </c>
      <c r="O630" s="4" t="s">
        <v>3525</v>
      </c>
      <c r="P630" s="4" t="s">
        <v>96</v>
      </c>
      <c r="Q630" s="4" t="s">
        <v>63</v>
      </c>
      <c r="R630" s="4" t="s">
        <v>61</v>
      </c>
      <c r="S630" s="4" t="s">
        <v>62</v>
      </c>
      <c r="T630" s="6" t="e">
        <v>#N/A</v>
      </c>
      <c r="U630" s="5">
        <v>48</v>
      </c>
      <c r="V630" s="5">
        <v>38</v>
      </c>
      <c r="W630" s="5">
        <v>55</v>
      </c>
      <c r="X630" s="5">
        <v>55</v>
      </c>
      <c r="Y630" s="5">
        <v>33.119999999999997</v>
      </c>
      <c r="Z630" s="6">
        <v>0.65</v>
      </c>
      <c r="AA630" s="5">
        <v>25.97</v>
      </c>
      <c r="AB630" s="5">
        <v>65.91</v>
      </c>
      <c r="AC630" s="6">
        <v>0.4</v>
      </c>
      <c r="AD630" s="6">
        <v>0.3</v>
      </c>
      <c r="AE630" s="6">
        <v>0.3</v>
      </c>
      <c r="AF630" s="4" t="s">
        <v>6296</v>
      </c>
      <c r="AG630" s="4" t="s">
        <v>6296</v>
      </c>
      <c r="AH630" s="4" t="s">
        <v>6296</v>
      </c>
      <c r="AI630" s="4" t="s">
        <v>6296</v>
      </c>
      <c r="AJ630" s="4" t="s">
        <v>6296</v>
      </c>
      <c r="AK630" s="4" t="s">
        <v>6296</v>
      </c>
      <c r="AL630" s="4" t="s">
        <v>6296</v>
      </c>
      <c r="AM630" s="4" t="s">
        <v>42</v>
      </c>
      <c r="AN630" s="4" t="s">
        <v>6296</v>
      </c>
      <c r="AO630" s="4" t="s">
        <v>6296</v>
      </c>
      <c r="AP630" s="4" t="s">
        <v>3526</v>
      </c>
      <c r="AQ630" s="4" t="s">
        <v>47</v>
      </c>
    </row>
    <row r="631" spans="1:43" ht="12.6" customHeight="1" x14ac:dyDescent="0.25">
      <c r="A631" s="8" t="s">
        <v>2302</v>
      </c>
      <c r="B631" s="9">
        <v>20151231</v>
      </c>
      <c r="C631" s="12">
        <f>_xll.FDS("SPX","FG_PRICE(12/30/2015)")</f>
        <v>2063.36</v>
      </c>
      <c r="D631" s="12">
        <f>_xll.FDS("SPX","FG_PRICE(12/30/2017)")</f>
        <v>2673.61</v>
      </c>
      <c r="E631" s="15">
        <f>D631/C631-1</f>
        <v>0.2957554668114144</v>
      </c>
      <c r="F631" s="8" t="s">
        <v>2303</v>
      </c>
      <c r="G631" s="8" t="s">
        <v>2304</v>
      </c>
      <c r="H631" s="13">
        <f>_xll.FDS(G631,"FG_PRICE(12/30/2015)")</f>
        <v>26.69</v>
      </c>
      <c r="I631" s="13">
        <f>_xll.FDS(G631,"FG_PRICE(12/31/2017)")</f>
        <v>18.149999999999999</v>
      </c>
      <c r="J631" s="13">
        <f>I631/H631-1</f>
        <v>-0.3199700262270514</v>
      </c>
      <c r="K631" s="13">
        <f>J631-E631</f>
        <v>-0.6157254930384658</v>
      </c>
      <c r="L631" s="13">
        <f>_xll.FDS(G631,"FF_ROE(ANN_R,12/30/2015)")</f>
        <v>5.650139116817094</v>
      </c>
      <c r="M631" s="8" t="s">
        <v>2305</v>
      </c>
      <c r="N631" s="4" t="s">
        <v>2305</v>
      </c>
      <c r="O631" s="4" t="s">
        <v>2306</v>
      </c>
      <c r="P631" s="4" t="s">
        <v>96</v>
      </c>
      <c r="Q631" s="4" t="s">
        <v>63</v>
      </c>
      <c r="R631" s="4" t="s">
        <v>61</v>
      </c>
      <c r="S631" s="4" t="s">
        <v>62</v>
      </c>
      <c r="T631" s="6" t="e">
        <v>#N/A</v>
      </c>
      <c r="U631" s="5">
        <v>60</v>
      </c>
      <c r="V631" s="5">
        <v>61</v>
      </c>
      <c r="W631" s="5">
        <v>57</v>
      </c>
      <c r="X631" s="5">
        <v>62</v>
      </c>
      <c r="Y631" s="5">
        <v>73.05</v>
      </c>
      <c r="Z631" s="5">
        <v>72.400000000000006</v>
      </c>
      <c r="AA631" s="5">
        <v>52.92</v>
      </c>
      <c r="AB631" s="5">
        <v>79.87</v>
      </c>
      <c r="AC631" s="6">
        <v>0.4</v>
      </c>
      <c r="AD631" s="6">
        <v>0.3</v>
      </c>
      <c r="AE631" s="6">
        <v>0.3</v>
      </c>
      <c r="AF631" s="4" t="s">
        <v>6296</v>
      </c>
      <c r="AG631" s="4" t="s">
        <v>6296</v>
      </c>
      <c r="AH631" s="4" t="s">
        <v>6296</v>
      </c>
      <c r="AI631" s="4" t="s">
        <v>6296</v>
      </c>
      <c r="AJ631" s="4" t="s">
        <v>6296</v>
      </c>
      <c r="AK631" s="4" t="s">
        <v>6296</v>
      </c>
      <c r="AL631" s="4" t="s">
        <v>6296</v>
      </c>
      <c r="AM631" s="4" t="s">
        <v>6296</v>
      </c>
      <c r="AN631" s="4" t="s">
        <v>6296</v>
      </c>
      <c r="AO631" s="4" t="s">
        <v>6296</v>
      </c>
      <c r="AP631" s="4" t="s">
        <v>2307</v>
      </c>
      <c r="AQ631" s="4" t="s">
        <v>47</v>
      </c>
    </row>
    <row r="632" spans="1:43" ht="12.6" customHeight="1" x14ac:dyDescent="0.25">
      <c r="A632" s="8" t="s">
        <v>2410</v>
      </c>
      <c r="B632" s="9">
        <v>20151231</v>
      </c>
      <c r="C632" s="12">
        <f>_xll.FDS("SPX","FG_PRICE(12/30/2015)")</f>
        <v>2063.36</v>
      </c>
      <c r="D632" s="12">
        <f>_xll.FDS("SPX","FG_PRICE(12/30/2017)")</f>
        <v>2673.61</v>
      </c>
      <c r="E632" s="15">
        <f>D632/C632-1</f>
        <v>0.2957554668114144</v>
      </c>
      <c r="F632" s="8" t="s">
        <v>2411</v>
      </c>
      <c r="G632" s="8" t="s">
        <v>2412</v>
      </c>
      <c r="H632" s="13">
        <f>_xll.FDS(G632,"FG_PRICE(12/30/2015)")</f>
        <v>31.45</v>
      </c>
      <c r="I632" s="13">
        <f>_xll.FDS(G632,"FG_PRICE(12/31/2017)")</f>
        <v>43.01</v>
      </c>
      <c r="J632" s="13">
        <f>I632/H632-1</f>
        <v>0.36756756756756759</v>
      </c>
      <c r="K632" s="13">
        <f>J632-E632</f>
        <v>7.1812100756153185E-2</v>
      </c>
      <c r="L632" s="13">
        <f>_xll.FDS(G632,"FF_ROE(ANN_R,12/30/2015)")</f>
        <v>5.6228432480428854</v>
      </c>
      <c r="M632" s="8" t="s">
        <v>2413</v>
      </c>
      <c r="N632" s="4" t="s">
        <v>2413</v>
      </c>
      <c r="O632" s="4" t="s">
        <v>2414</v>
      </c>
      <c r="P632" s="4" t="s">
        <v>96</v>
      </c>
      <c r="Q632" s="4" t="s">
        <v>63</v>
      </c>
      <c r="R632" s="4" t="s">
        <v>61</v>
      </c>
      <c r="S632" s="4" t="s">
        <v>62</v>
      </c>
      <c r="T632" s="6" t="e">
        <v>#N/A</v>
      </c>
      <c r="U632" s="5">
        <v>62</v>
      </c>
      <c r="V632" s="5">
        <v>68</v>
      </c>
      <c r="W632" s="5">
        <v>53</v>
      </c>
      <c r="X632" s="5">
        <v>62</v>
      </c>
      <c r="Y632" s="5">
        <v>78.25</v>
      </c>
      <c r="Z632" s="5">
        <v>82.14</v>
      </c>
      <c r="AA632" s="5">
        <v>22.08</v>
      </c>
      <c r="AB632" s="5">
        <v>79.87</v>
      </c>
      <c r="AC632" s="6">
        <v>0.4</v>
      </c>
      <c r="AD632" s="6">
        <v>0.3</v>
      </c>
      <c r="AE632" s="6">
        <v>0.3</v>
      </c>
      <c r="AF632" s="4" t="s">
        <v>6296</v>
      </c>
      <c r="AG632" s="4" t="s">
        <v>6296</v>
      </c>
      <c r="AH632" s="4" t="s">
        <v>6296</v>
      </c>
      <c r="AI632" s="4" t="s">
        <v>6296</v>
      </c>
      <c r="AJ632" s="4" t="s">
        <v>6296</v>
      </c>
      <c r="AK632" s="4" t="s">
        <v>6296</v>
      </c>
      <c r="AL632" s="4" t="s">
        <v>6296</v>
      </c>
      <c r="AM632" s="4" t="s">
        <v>6296</v>
      </c>
      <c r="AN632" s="4" t="s">
        <v>6296</v>
      </c>
      <c r="AO632" s="4" t="s">
        <v>6296</v>
      </c>
      <c r="AP632" s="4" t="s">
        <v>2415</v>
      </c>
      <c r="AQ632" s="4" t="s">
        <v>47</v>
      </c>
    </row>
    <row r="633" spans="1:43" ht="12.6" customHeight="1" x14ac:dyDescent="0.25">
      <c r="A633" s="8" t="s">
        <v>2506</v>
      </c>
      <c r="B633" s="9">
        <v>20151231</v>
      </c>
      <c r="C633" s="12">
        <f>_xll.FDS("SPX","FG_PRICE(12/30/2015)")</f>
        <v>2063.36</v>
      </c>
      <c r="D633" s="12">
        <f>_xll.FDS("SPX","FG_PRICE(12/30/2017)")</f>
        <v>2673.61</v>
      </c>
      <c r="E633" s="15">
        <f>D633/C633-1</f>
        <v>0.2957554668114144</v>
      </c>
      <c r="F633" s="8" t="s">
        <v>2507</v>
      </c>
      <c r="G633" s="8" t="s">
        <v>2508</v>
      </c>
      <c r="H633" s="13">
        <f>_xll.FDS(G633,"FG_PRICE(12/30/2015)")</f>
        <v>81.650000000000006</v>
      </c>
      <c r="I633" s="13">
        <f>_xll.FDS(G633,"FG_PRICE(12/31/2017)")</f>
        <v>65.680000000000007</v>
      </c>
      <c r="J633" s="13">
        <f>I633/H633-1</f>
        <v>-0.19559093692590324</v>
      </c>
      <c r="K633" s="13">
        <f>J633-E633</f>
        <v>-0.49134640373731764</v>
      </c>
      <c r="L633" s="13">
        <f>_xll.FDS(G633,"FF_ROE(ANN_R,12/30/2015)")</f>
        <v>1.9780263497557311E-2</v>
      </c>
      <c r="M633" s="8" t="s">
        <v>2509</v>
      </c>
      <c r="N633" s="4" t="s">
        <v>2509</v>
      </c>
      <c r="O633" s="4" t="s">
        <v>2510</v>
      </c>
      <c r="P633" s="4" t="s">
        <v>96</v>
      </c>
      <c r="Q633" s="4" t="s">
        <v>63</v>
      </c>
      <c r="R633" s="4" t="s">
        <v>61</v>
      </c>
      <c r="S633" s="4" t="s">
        <v>62</v>
      </c>
      <c r="T633" s="6" t="e">
        <v>#N/A</v>
      </c>
      <c r="U633" s="5">
        <v>55</v>
      </c>
      <c r="V633" s="5">
        <v>64</v>
      </c>
      <c r="W633" s="5">
        <v>50</v>
      </c>
      <c r="X633" s="5">
        <v>46</v>
      </c>
      <c r="Y633" s="5">
        <v>59.42</v>
      </c>
      <c r="Z633" s="5">
        <v>77.27</v>
      </c>
      <c r="AA633" s="5">
        <v>17.53</v>
      </c>
      <c r="AB633" s="5">
        <v>29.87</v>
      </c>
      <c r="AC633" s="6">
        <v>0.4</v>
      </c>
      <c r="AD633" s="6">
        <v>0.3</v>
      </c>
      <c r="AE633" s="6">
        <v>0.3</v>
      </c>
      <c r="AF633" s="4" t="s">
        <v>6296</v>
      </c>
      <c r="AG633" s="4" t="s">
        <v>6296</v>
      </c>
      <c r="AH633" s="4" t="s">
        <v>6296</v>
      </c>
      <c r="AI633" s="4" t="s">
        <v>6296</v>
      </c>
      <c r="AJ633" s="4" t="s">
        <v>6296</v>
      </c>
      <c r="AK633" s="4" t="s">
        <v>6296</v>
      </c>
      <c r="AL633" s="4" t="s">
        <v>6296</v>
      </c>
      <c r="AM633" s="4" t="s">
        <v>6296</v>
      </c>
      <c r="AN633" s="4" t="s">
        <v>37</v>
      </c>
      <c r="AO633" s="4" t="s">
        <v>6296</v>
      </c>
      <c r="AP633" s="4" t="s">
        <v>2511</v>
      </c>
      <c r="AQ633" s="4" t="s">
        <v>47</v>
      </c>
    </row>
    <row r="634" spans="1:43" ht="12.6" customHeight="1" x14ac:dyDescent="0.25">
      <c r="A634" s="8" t="s">
        <v>1922</v>
      </c>
      <c r="B634" s="9">
        <v>20151231</v>
      </c>
      <c r="C634" s="12">
        <f>_xll.FDS("SPX","FG_PRICE(12/30/2015)")</f>
        <v>2063.36</v>
      </c>
      <c r="D634" s="12">
        <f>_xll.FDS("SPX","FG_PRICE(12/30/2017)")</f>
        <v>2673.61</v>
      </c>
      <c r="E634" s="15">
        <f>D634/C634-1</f>
        <v>0.2957554668114144</v>
      </c>
      <c r="F634" s="8" t="s">
        <v>1923</v>
      </c>
      <c r="G634" s="8" t="s">
        <v>1924</v>
      </c>
      <c r="H634" s="13">
        <f>_xll.FDS(G634,"FG_PRICE(12/30/2015)")</f>
        <v>6.64</v>
      </c>
      <c r="I634" s="13">
        <f>_xll.FDS(G634,"FG_PRICE(12/31/2017)")</f>
        <v>7.92</v>
      </c>
      <c r="J634" s="13">
        <f>I634/H634-1</f>
        <v>0.19277108433734935</v>
      </c>
      <c r="K634" s="13">
        <f>J634-E634</f>
        <v>-0.10298438247406505</v>
      </c>
      <c r="L634" s="13">
        <f>_xll.FDS(G634,"FF_ROE(ANN_R,12/30/2015)")</f>
        <v>9.84624907986308</v>
      </c>
      <c r="M634" s="8" t="s">
        <v>1925</v>
      </c>
      <c r="N634" s="4" t="s">
        <v>1926</v>
      </c>
      <c r="O634" s="4" t="s">
        <v>1927</v>
      </c>
      <c r="P634" s="4" t="s">
        <v>96</v>
      </c>
      <c r="Q634" s="4" t="s">
        <v>63</v>
      </c>
      <c r="R634" s="4" t="s">
        <v>61</v>
      </c>
      <c r="S634" s="4" t="s">
        <v>62</v>
      </c>
      <c r="T634" s="6" t="e">
        <v>#N/A</v>
      </c>
      <c r="U634" s="5">
        <v>47</v>
      </c>
      <c r="V634" s="5">
        <v>38</v>
      </c>
      <c r="W634" s="5">
        <v>58</v>
      </c>
      <c r="X634" s="5">
        <v>48</v>
      </c>
      <c r="Y634" s="5">
        <v>27.6</v>
      </c>
      <c r="Z634" s="6">
        <v>0.65</v>
      </c>
      <c r="AA634" s="5">
        <v>56.17</v>
      </c>
      <c r="AB634" s="5">
        <v>37.01</v>
      </c>
      <c r="AC634" s="6">
        <v>0.4</v>
      </c>
      <c r="AD634" s="6">
        <v>0.3</v>
      </c>
      <c r="AE634" s="6">
        <v>0.3</v>
      </c>
      <c r="AF634" s="4" t="s">
        <v>6296</v>
      </c>
      <c r="AG634" s="4" t="s">
        <v>6296</v>
      </c>
      <c r="AH634" s="4" t="s">
        <v>6296</v>
      </c>
      <c r="AI634" s="4" t="s">
        <v>6296</v>
      </c>
      <c r="AJ634" s="4" t="s">
        <v>6296</v>
      </c>
      <c r="AK634" s="4" t="s">
        <v>6296</v>
      </c>
      <c r="AL634" s="4" t="s">
        <v>6296</v>
      </c>
      <c r="AM634" s="4" t="s">
        <v>6296</v>
      </c>
      <c r="AN634" s="4" t="s">
        <v>6296</v>
      </c>
      <c r="AO634" s="4" t="s">
        <v>6296</v>
      </c>
      <c r="AP634" s="4" t="s">
        <v>1928</v>
      </c>
      <c r="AQ634" s="4" t="s">
        <v>47</v>
      </c>
    </row>
    <row r="635" spans="1:43" ht="12.6" customHeight="1" x14ac:dyDescent="0.25">
      <c r="A635" s="8" t="s">
        <v>706</v>
      </c>
      <c r="B635" s="9">
        <v>20151231</v>
      </c>
      <c r="C635" s="12">
        <f>_xll.FDS("SPX","FG_PRICE(12/30/2015)")</f>
        <v>2063.36</v>
      </c>
      <c r="D635" s="12">
        <f>_xll.FDS("SPX","FG_PRICE(12/30/2017)")</f>
        <v>2673.61</v>
      </c>
      <c r="E635" s="15">
        <f>D635/C635-1</f>
        <v>0.2957554668114144</v>
      </c>
      <c r="F635" s="8" t="s">
        <v>707</v>
      </c>
      <c r="G635" s="8" t="s">
        <v>708</v>
      </c>
      <c r="H635" s="13">
        <f>_xll.FDS(G635,"FG_PRICE(12/30/2015)")</f>
        <v>9.3699999999999992</v>
      </c>
      <c r="I635" s="13">
        <f>_xll.FDS(G635,"FG_PRICE(12/31/2017)")</f>
        <v>11.89</v>
      </c>
      <c r="J635" s="13">
        <f>I635/H635-1</f>
        <v>0.2689434364994665</v>
      </c>
      <c r="K635" s="13">
        <f>J635-E635</f>
        <v>-2.6812030311947899E-2</v>
      </c>
      <c r="L635" s="13">
        <f>_xll.FDS(G635,"FF_ROE(ANN_R,12/30/2015)")</f>
        <v>-6.5446324420272273</v>
      </c>
      <c r="M635" s="8" t="s">
        <v>709</v>
      </c>
      <c r="N635" s="4" t="s">
        <v>710</v>
      </c>
      <c r="O635" s="4" t="s">
        <v>711</v>
      </c>
      <c r="P635" s="4" t="s">
        <v>96</v>
      </c>
      <c r="Q635" s="4" t="s">
        <v>63</v>
      </c>
      <c r="R635" s="4" t="s">
        <v>61</v>
      </c>
      <c r="S635" s="4" t="s">
        <v>62</v>
      </c>
      <c r="T635" s="6" t="e">
        <v>#N/A</v>
      </c>
      <c r="U635" s="5">
        <v>44</v>
      </c>
      <c r="V635" s="5">
        <v>41</v>
      </c>
      <c r="W635" s="5">
        <v>46</v>
      </c>
      <c r="X635" s="5">
        <v>46</v>
      </c>
      <c r="Y635" s="6">
        <v>8.77</v>
      </c>
      <c r="Z635" s="5">
        <v>21.75</v>
      </c>
      <c r="AA635" s="6">
        <v>6.82</v>
      </c>
      <c r="AB635" s="5">
        <v>29.87</v>
      </c>
      <c r="AC635" s="6">
        <v>0.4</v>
      </c>
      <c r="AD635" s="6">
        <v>0.3</v>
      </c>
      <c r="AE635" s="6">
        <v>0.3</v>
      </c>
      <c r="AF635" s="4" t="s">
        <v>6296</v>
      </c>
      <c r="AG635" s="4" t="s">
        <v>6296</v>
      </c>
      <c r="AH635" s="4" t="s">
        <v>6296</v>
      </c>
      <c r="AI635" s="4" t="s">
        <v>6296</v>
      </c>
      <c r="AJ635" s="4" t="s">
        <v>6296</v>
      </c>
      <c r="AK635" s="4" t="s">
        <v>6296</v>
      </c>
      <c r="AL635" s="4" t="s">
        <v>6296</v>
      </c>
      <c r="AM635" s="4" t="s">
        <v>6296</v>
      </c>
      <c r="AN635" s="4" t="s">
        <v>6296</v>
      </c>
      <c r="AO635" s="4" t="s">
        <v>6296</v>
      </c>
      <c r="AP635" s="4" t="s">
        <v>712</v>
      </c>
      <c r="AQ635" s="4" t="s">
        <v>47</v>
      </c>
    </row>
    <row r="636" spans="1:43" ht="12.6" customHeight="1" x14ac:dyDescent="0.25">
      <c r="A636" s="8" t="s">
        <v>3457</v>
      </c>
      <c r="B636" s="9">
        <v>20151231</v>
      </c>
      <c r="C636" s="12">
        <f>_xll.FDS("SPX","FG_PRICE(12/30/2015)")</f>
        <v>2063.36</v>
      </c>
      <c r="D636" s="12">
        <f>_xll.FDS("SPX","FG_PRICE(12/30/2017)")</f>
        <v>2673.61</v>
      </c>
      <c r="E636" s="15">
        <f>D636/C636-1</f>
        <v>0.2957554668114144</v>
      </c>
      <c r="F636" s="8" t="s">
        <v>3458</v>
      </c>
      <c r="G636" s="8" t="s">
        <v>3459</v>
      </c>
      <c r="H636" s="13">
        <f>_xll.FDS(G636,"FG_PRICE(12/30/2015)")</f>
        <v>22.17</v>
      </c>
      <c r="I636" s="13">
        <f>_xll.FDS(G636,"FG_PRICE(12/31/2017)")</f>
        <v>29.2</v>
      </c>
      <c r="J636" s="13">
        <f>I636/H636-1</f>
        <v>0.31709517365809647</v>
      </c>
      <c r="K636" s="13">
        <f>J636-E636</f>
        <v>2.1339706846682072E-2</v>
      </c>
      <c r="L636" s="13">
        <f>_xll.FDS(G636,"FF_ROE(ANN_R,12/30/2015)")</f>
        <v>1.9014899859472021</v>
      </c>
      <c r="M636" s="8" t="s">
        <v>3460</v>
      </c>
      <c r="N636" s="4" t="s">
        <v>3460</v>
      </c>
      <c r="O636" s="4" t="s">
        <v>3461</v>
      </c>
      <c r="P636" s="4" t="s">
        <v>96</v>
      </c>
      <c r="Q636" s="4" t="s">
        <v>63</v>
      </c>
      <c r="R636" s="4" t="s">
        <v>61</v>
      </c>
      <c r="S636" s="4" t="s">
        <v>62</v>
      </c>
      <c r="T636" s="6" t="e">
        <v>#N/A</v>
      </c>
      <c r="U636" s="5">
        <v>65</v>
      </c>
      <c r="V636" s="5">
        <v>67</v>
      </c>
      <c r="W636" s="5">
        <v>63</v>
      </c>
      <c r="X636" s="5">
        <v>64</v>
      </c>
      <c r="Y636" s="5">
        <v>83.12</v>
      </c>
      <c r="Z636" s="5">
        <v>81.17</v>
      </c>
      <c r="AA636" s="5">
        <v>76.95</v>
      </c>
      <c r="AB636" s="5">
        <v>84.74</v>
      </c>
      <c r="AC636" s="6">
        <v>0.4</v>
      </c>
      <c r="AD636" s="6">
        <v>0.3</v>
      </c>
      <c r="AE636" s="6">
        <v>0.3</v>
      </c>
      <c r="AF636" s="4" t="s">
        <v>6296</v>
      </c>
      <c r="AG636" s="4" t="s">
        <v>6296</v>
      </c>
      <c r="AH636" s="4" t="s">
        <v>6296</v>
      </c>
      <c r="AI636" s="4" t="s">
        <v>6296</v>
      </c>
      <c r="AJ636" s="4" t="s">
        <v>6296</v>
      </c>
      <c r="AK636" s="4" t="s">
        <v>6296</v>
      </c>
      <c r="AL636" s="4" t="s">
        <v>6296</v>
      </c>
      <c r="AM636" s="4" t="s">
        <v>6296</v>
      </c>
      <c r="AN636" s="4" t="s">
        <v>6296</v>
      </c>
      <c r="AO636" s="4" t="s">
        <v>6296</v>
      </c>
      <c r="AP636" s="4" t="s">
        <v>3462</v>
      </c>
      <c r="AQ636" s="4" t="s">
        <v>47</v>
      </c>
    </row>
    <row r="637" spans="1:43" ht="12.6" customHeight="1" x14ac:dyDescent="0.25">
      <c r="A637" s="8" t="s">
        <v>3330</v>
      </c>
      <c r="B637" s="9">
        <v>20151231</v>
      </c>
      <c r="C637" s="12">
        <f>_xll.FDS("SPX","FG_PRICE(12/30/2015)")</f>
        <v>2063.36</v>
      </c>
      <c r="D637" s="12">
        <f>_xll.FDS("SPX","FG_PRICE(12/30/2017)")</f>
        <v>2673.61</v>
      </c>
      <c r="E637" s="15">
        <f>D637/C637-1</f>
        <v>0.2957554668114144</v>
      </c>
      <c r="F637" s="8" t="s">
        <v>3331</v>
      </c>
      <c r="G637" s="8" t="s">
        <v>3332</v>
      </c>
      <c r="H637" s="13">
        <f>_xll.FDS(G637,"FG_PRICE(12/30/2015)")</f>
        <v>51.92</v>
      </c>
      <c r="I637" s="13">
        <f>_xll.FDS(G637,"FG_PRICE(12/31/2017)")</f>
        <v>57.02</v>
      </c>
      <c r="J637" s="13">
        <f>I637/H637-1</f>
        <v>9.8228043143297361E-2</v>
      </c>
      <c r="K637" s="13">
        <f>J637-E637</f>
        <v>-0.19752742366811704</v>
      </c>
      <c r="L637" s="13">
        <f>_xll.FDS(G637,"FF_ROE(ANN_R,12/30/2015)")</f>
        <v>4.7608622284806561</v>
      </c>
      <c r="M637" s="8" t="s">
        <v>3333</v>
      </c>
      <c r="N637" s="4" t="s">
        <v>3333</v>
      </c>
      <c r="O637" s="4" t="s">
        <v>3334</v>
      </c>
      <c r="P637" s="4" t="s">
        <v>96</v>
      </c>
      <c r="Q637" s="4" t="s">
        <v>63</v>
      </c>
      <c r="R637" s="4" t="s">
        <v>61</v>
      </c>
      <c r="S637" s="4" t="s">
        <v>62</v>
      </c>
      <c r="T637" s="6" t="e">
        <v>#N/A</v>
      </c>
      <c r="U637" s="5">
        <v>46</v>
      </c>
      <c r="V637" s="5">
        <v>41</v>
      </c>
      <c r="W637" s="5">
        <v>46</v>
      </c>
      <c r="X637" s="5">
        <v>52</v>
      </c>
      <c r="Y637" s="5">
        <v>19.48</v>
      </c>
      <c r="Z637" s="5">
        <v>21.75</v>
      </c>
      <c r="AA637" s="6">
        <v>6.82</v>
      </c>
      <c r="AB637" s="5">
        <v>55.52</v>
      </c>
      <c r="AC637" s="6">
        <v>0.4</v>
      </c>
      <c r="AD637" s="6">
        <v>0.3</v>
      </c>
      <c r="AE637" s="6">
        <v>0.3</v>
      </c>
      <c r="AF637" s="4" t="s">
        <v>6296</v>
      </c>
      <c r="AG637" s="4" t="s">
        <v>6296</v>
      </c>
      <c r="AH637" s="4" t="s">
        <v>6296</v>
      </c>
      <c r="AI637" s="4" t="s">
        <v>6296</v>
      </c>
      <c r="AJ637" s="4" t="s">
        <v>6296</v>
      </c>
      <c r="AK637" s="4" t="s">
        <v>6296</v>
      </c>
      <c r="AL637" s="4" t="s">
        <v>6296</v>
      </c>
      <c r="AM637" s="4" t="s">
        <v>6296</v>
      </c>
      <c r="AN637" s="4" t="s">
        <v>6296</v>
      </c>
      <c r="AO637" s="4" t="s">
        <v>6296</v>
      </c>
      <c r="AP637" s="4" t="s">
        <v>3335</v>
      </c>
      <c r="AQ637" s="4" t="s">
        <v>47</v>
      </c>
    </row>
    <row r="638" spans="1:43" ht="12.6" customHeight="1" x14ac:dyDescent="0.25">
      <c r="A638" s="8" t="s">
        <v>5078</v>
      </c>
      <c r="B638" s="9">
        <v>20151231</v>
      </c>
      <c r="C638" s="12">
        <f>_xll.FDS("SPX","FG_PRICE(12/30/2015)")</f>
        <v>2063.36</v>
      </c>
      <c r="D638" s="12">
        <f>_xll.FDS("SPX","FG_PRICE(12/30/2017)")</f>
        <v>2673.61</v>
      </c>
      <c r="E638" s="15">
        <f>D638/C638-1</f>
        <v>0.2957554668114144</v>
      </c>
      <c r="F638" s="8" t="s">
        <v>5079</v>
      </c>
      <c r="G638" s="8" t="s">
        <v>5080</v>
      </c>
      <c r="H638" s="13">
        <f>_xll.FDS(G638,"FG_PRICE(12/30/2015)")</f>
        <v>19.11</v>
      </c>
      <c r="I638" s="13">
        <f>_xll.FDS(G638,"FG_PRICE(12/31/2017)")</f>
        <v>19.61</v>
      </c>
      <c r="J638" s="13">
        <f>I638/H638-1</f>
        <v>2.616431187859769E-2</v>
      </c>
      <c r="K638" s="13">
        <f>J638-E638</f>
        <v>-0.26959115493281671</v>
      </c>
      <c r="L638" s="13">
        <f>_xll.FDS(G638,"FF_ROE(ANN_R,12/30/2015)")</f>
        <v>1.6798477805665299</v>
      </c>
      <c r="M638" s="8" t="s">
        <v>5081</v>
      </c>
      <c r="N638" s="4" t="s">
        <v>5082</v>
      </c>
      <c r="O638" s="4" t="s">
        <v>5083</v>
      </c>
      <c r="P638" s="4" t="s">
        <v>96</v>
      </c>
      <c r="Q638" s="4" t="s">
        <v>63</v>
      </c>
      <c r="R638" s="4" t="s">
        <v>61</v>
      </c>
      <c r="S638" s="4" t="s">
        <v>62</v>
      </c>
      <c r="T638" s="6" t="e">
        <v>#N/A</v>
      </c>
      <c r="U638" s="5">
        <v>56</v>
      </c>
      <c r="V638" s="5">
        <v>50</v>
      </c>
      <c r="W638" s="5">
        <v>58</v>
      </c>
      <c r="X638" s="5">
        <v>63</v>
      </c>
      <c r="Y638" s="5">
        <v>62.34</v>
      </c>
      <c r="Z638" s="5">
        <v>50.97</v>
      </c>
      <c r="AA638" s="5">
        <v>56.17</v>
      </c>
      <c r="AB638" s="5">
        <v>82.14</v>
      </c>
      <c r="AC638" s="6">
        <v>0.4</v>
      </c>
      <c r="AD638" s="6">
        <v>0.3</v>
      </c>
      <c r="AE638" s="6">
        <v>0.3</v>
      </c>
      <c r="AF638" s="4" t="s">
        <v>6296</v>
      </c>
      <c r="AG638" s="4" t="s">
        <v>6296</v>
      </c>
      <c r="AH638" s="4" t="s">
        <v>6296</v>
      </c>
      <c r="AI638" s="4" t="s">
        <v>6296</v>
      </c>
      <c r="AJ638" s="4" t="s">
        <v>6296</v>
      </c>
      <c r="AK638" s="4" t="s">
        <v>6296</v>
      </c>
      <c r="AL638" s="4" t="s">
        <v>6296</v>
      </c>
      <c r="AM638" s="4" t="s">
        <v>6296</v>
      </c>
      <c r="AN638" s="4" t="s">
        <v>6296</v>
      </c>
      <c r="AO638" s="4" t="s">
        <v>6296</v>
      </c>
      <c r="AP638" s="4" t="s">
        <v>5084</v>
      </c>
      <c r="AQ638" s="4" t="s">
        <v>47</v>
      </c>
    </row>
    <row r="639" spans="1:43" ht="12.6" customHeight="1" x14ac:dyDescent="0.25">
      <c r="A639" s="8" t="s">
        <v>5163</v>
      </c>
      <c r="B639" s="9">
        <v>20151231</v>
      </c>
      <c r="C639" s="12">
        <f>_xll.FDS("SPX","FG_PRICE(12/30/2015)")</f>
        <v>2063.36</v>
      </c>
      <c r="D639" s="12">
        <f>_xll.FDS("SPX","FG_PRICE(12/30/2017)")</f>
        <v>2673.61</v>
      </c>
      <c r="E639" s="15">
        <f>D639/C639-1</f>
        <v>0.2957554668114144</v>
      </c>
      <c r="F639" s="8" t="s">
        <v>5164</v>
      </c>
      <c r="G639" s="8" t="s">
        <v>5165</v>
      </c>
      <c r="H639" s="13">
        <f>_xll.FDS(G639,"FG_PRICE(12/30/2015)")</f>
        <v>43.24</v>
      </c>
      <c r="I639" s="13">
        <f>_xll.FDS(G639,"FG_PRICE(12/31/2017)")</f>
        <v>64.510000000000005</v>
      </c>
      <c r="J639" s="13">
        <f>I639/H639-1</f>
        <v>0.49190564292321937</v>
      </c>
      <c r="K639" s="13">
        <f>J639-E639</f>
        <v>0.19615017611180496</v>
      </c>
      <c r="L639" s="13">
        <f>_xll.FDS(G639,"FF_ROE(ANN_R,12/30/2015)")</f>
        <v>4.5485142722307446</v>
      </c>
      <c r="M639" s="8" t="s">
        <v>5166</v>
      </c>
      <c r="N639" s="4" t="s">
        <v>5167</v>
      </c>
      <c r="O639" s="4" t="s">
        <v>5168</v>
      </c>
      <c r="P639" s="4" t="s">
        <v>96</v>
      </c>
      <c r="Q639" s="4" t="s">
        <v>63</v>
      </c>
      <c r="R639" s="4" t="s">
        <v>61</v>
      </c>
      <c r="S639" s="4" t="s">
        <v>62</v>
      </c>
      <c r="T639" s="6" t="e">
        <v>#N/A</v>
      </c>
      <c r="U639" s="5">
        <v>77</v>
      </c>
      <c r="V639" s="5">
        <v>82</v>
      </c>
      <c r="W639" s="5">
        <v>68</v>
      </c>
      <c r="X639" s="5">
        <v>79</v>
      </c>
      <c r="Y639" s="5">
        <v>95.13</v>
      </c>
      <c r="Z639" s="5">
        <v>93.83</v>
      </c>
      <c r="AA639" s="5">
        <v>86.36</v>
      </c>
      <c r="AB639" s="5">
        <v>97.08</v>
      </c>
      <c r="AC639" s="6">
        <v>0.4</v>
      </c>
      <c r="AD639" s="6">
        <v>0.3</v>
      </c>
      <c r="AE639" s="6">
        <v>0.3</v>
      </c>
      <c r="AF639" s="4" t="s">
        <v>6296</v>
      </c>
      <c r="AG639" s="4" t="s">
        <v>6296</v>
      </c>
      <c r="AH639" s="4" t="s">
        <v>6296</v>
      </c>
      <c r="AI639" s="4" t="s">
        <v>6296</v>
      </c>
      <c r="AJ639" s="4" t="s">
        <v>6296</v>
      </c>
      <c r="AK639" s="4" t="s">
        <v>6296</v>
      </c>
      <c r="AL639" s="4" t="s">
        <v>6296</v>
      </c>
      <c r="AM639" s="4" t="s">
        <v>6296</v>
      </c>
      <c r="AN639" s="4" t="s">
        <v>6296</v>
      </c>
      <c r="AO639" s="4" t="s">
        <v>6296</v>
      </c>
      <c r="AP639" s="4" t="s">
        <v>5169</v>
      </c>
      <c r="AQ639" s="4" t="s">
        <v>47</v>
      </c>
    </row>
    <row r="640" spans="1:43" ht="12.6" customHeight="1" x14ac:dyDescent="0.25">
      <c r="A640" s="8" t="s">
        <v>3826</v>
      </c>
      <c r="B640" s="9">
        <v>20151231</v>
      </c>
      <c r="C640" s="12">
        <f>_xll.FDS("SPX","FG_PRICE(12/30/2015)")</f>
        <v>2063.36</v>
      </c>
      <c r="D640" s="12">
        <f>_xll.FDS("SPX","FG_PRICE(12/30/2017)")</f>
        <v>2673.61</v>
      </c>
      <c r="E640" s="15">
        <f>D640/C640-1</f>
        <v>0.2957554668114144</v>
      </c>
      <c r="F640" s="8" t="s">
        <v>3827</v>
      </c>
      <c r="G640" s="8" t="s">
        <v>3828</v>
      </c>
      <c r="H640" s="13">
        <f>_xll.FDS(G640,"FG_PRICE(12/30/2015)")</f>
        <v>250.46</v>
      </c>
      <c r="I640" s="13">
        <f>_xll.FDS(G640,"FG_PRICE(12/31/2017)")</f>
        <v>209</v>
      </c>
      <c r="J640" s="13">
        <f>I640/H640-1</f>
        <v>-0.16553541483670053</v>
      </c>
      <c r="K640" s="13">
        <f>J640-E640</f>
        <v>-0.46129088164811494</v>
      </c>
      <c r="L640" s="13">
        <f>_xll.FDS(G640,"FF_ROE(ANN_R,12/30/2015)")</f>
        <v>12.486637041862741</v>
      </c>
      <c r="M640" s="8" t="s">
        <v>3829</v>
      </c>
      <c r="N640" s="4" t="s">
        <v>3829</v>
      </c>
      <c r="O640" s="4" t="s">
        <v>3830</v>
      </c>
      <c r="P640" s="4" t="s">
        <v>96</v>
      </c>
      <c r="Q640" s="4" t="s">
        <v>63</v>
      </c>
      <c r="R640" s="4" t="s">
        <v>61</v>
      </c>
      <c r="S640" s="4" t="s">
        <v>62</v>
      </c>
      <c r="T640" s="6" t="e">
        <v>#N/A</v>
      </c>
      <c r="U640" s="5">
        <v>47</v>
      </c>
      <c r="V640" s="5">
        <v>42</v>
      </c>
      <c r="W640" s="5">
        <v>46</v>
      </c>
      <c r="X640" s="5">
        <v>54</v>
      </c>
      <c r="Y640" s="5">
        <v>27.6</v>
      </c>
      <c r="Z640" s="5">
        <v>27.6</v>
      </c>
      <c r="AA640" s="6">
        <v>6.82</v>
      </c>
      <c r="AB640" s="5">
        <v>61.69</v>
      </c>
      <c r="AC640" s="6">
        <v>0.4</v>
      </c>
      <c r="AD640" s="6">
        <v>0.3</v>
      </c>
      <c r="AE640" s="6">
        <v>0.3</v>
      </c>
      <c r="AF640" s="4" t="s">
        <v>6296</v>
      </c>
      <c r="AG640" s="4" t="s">
        <v>6296</v>
      </c>
      <c r="AH640" s="4" t="s">
        <v>6296</v>
      </c>
      <c r="AI640" s="4" t="s">
        <v>6296</v>
      </c>
      <c r="AJ640" s="4" t="s">
        <v>6296</v>
      </c>
      <c r="AK640" s="4" t="s">
        <v>37</v>
      </c>
      <c r="AL640" s="4" t="s">
        <v>6296</v>
      </c>
      <c r="AM640" s="4" t="s">
        <v>6296</v>
      </c>
      <c r="AN640" s="4" t="s">
        <v>6296</v>
      </c>
      <c r="AO640" s="4" t="s">
        <v>6296</v>
      </c>
      <c r="AP640" s="4" t="s">
        <v>3831</v>
      </c>
      <c r="AQ640" s="4" t="s">
        <v>47</v>
      </c>
    </row>
    <row r="641" spans="1:43" ht="12.6" customHeight="1" x14ac:dyDescent="0.25">
      <c r="A641" s="8" t="s">
        <v>3343</v>
      </c>
      <c r="B641" s="9">
        <v>20151231</v>
      </c>
      <c r="C641" s="12">
        <f>_xll.FDS("SPX","FG_PRICE(12/30/2015)")</f>
        <v>2063.36</v>
      </c>
      <c r="D641" s="12">
        <f>_xll.FDS("SPX","FG_PRICE(12/30/2017)")</f>
        <v>2673.61</v>
      </c>
      <c r="E641" s="15">
        <f>D641/C641-1</f>
        <v>0.2957554668114144</v>
      </c>
      <c r="F641" s="8" t="s">
        <v>3344</v>
      </c>
      <c r="G641" s="8" t="s">
        <v>3345</v>
      </c>
      <c r="H641" s="13">
        <f>_xll.FDS(G641,"FG_PRICE(12/30/2015)")</f>
        <v>68.89</v>
      </c>
      <c r="I641" s="13">
        <f>_xll.FDS(G641,"FG_PRICE(12/31/2017)")</f>
        <v>69.180000000000007</v>
      </c>
      <c r="J641" s="13">
        <f>I641/H641-1</f>
        <v>4.2096095224271046E-3</v>
      </c>
      <c r="K641" s="13">
        <f>J641-E641</f>
        <v>-0.2915458572889873</v>
      </c>
      <c r="L641" s="13">
        <f>_xll.FDS(G641,"FF_ROE(ANN_R,12/30/2015)")</f>
        <v>7.0326346032716218</v>
      </c>
      <c r="M641" s="8" t="s">
        <v>3346</v>
      </c>
      <c r="N641" s="4" t="s">
        <v>3346</v>
      </c>
      <c r="O641" s="4" t="s">
        <v>3347</v>
      </c>
      <c r="P641" s="4" t="s">
        <v>96</v>
      </c>
      <c r="Q641" s="4" t="s">
        <v>63</v>
      </c>
      <c r="R641" s="4" t="s">
        <v>61</v>
      </c>
      <c r="S641" s="4" t="s">
        <v>62</v>
      </c>
      <c r="T641" s="6" t="e">
        <v>#N/A</v>
      </c>
      <c r="U641" s="5">
        <v>65</v>
      </c>
      <c r="V641" s="5">
        <v>71</v>
      </c>
      <c r="W641" s="5">
        <v>59</v>
      </c>
      <c r="X641" s="5">
        <v>63</v>
      </c>
      <c r="Y641" s="5">
        <v>83.12</v>
      </c>
      <c r="Z641" s="5">
        <v>85.06</v>
      </c>
      <c r="AA641" s="5">
        <v>61.69</v>
      </c>
      <c r="AB641" s="5">
        <v>82.14</v>
      </c>
      <c r="AC641" s="6">
        <v>0.4</v>
      </c>
      <c r="AD641" s="6">
        <v>0.3</v>
      </c>
      <c r="AE641" s="6">
        <v>0.3</v>
      </c>
      <c r="AF641" s="4" t="s">
        <v>6296</v>
      </c>
      <c r="AG641" s="4" t="s">
        <v>6296</v>
      </c>
      <c r="AH641" s="4" t="s">
        <v>6296</v>
      </c>
      <c r="AI641" s="4" t="s">
        <v>6296</v>
      </c>
      <c r="AJ641" s="4" t="s">
        <v>6296</v>
      </c>
      <c r="AK641" s="4" t="s">
        <v>6296</v>
      </c>
      <c r="AL641" s="4" t="s">
        <v>6296</v>
      </c>
      <c r="AM641" s="4" t="s">
        <v>6296</v>
      </c>
      <c r="AN641" s="4" t="s">
        <v>6296</v>
      </c>
      <c r="AO641" s="4" t="s">
        <v>6296</v>
      </c>
      <c r="AP641" s="4" t="s">
        <v>3348</v>
      </c>
      <c r="AQ641" s="4" t="s">
        <v>47</v>
      </c>
    </row>
    <row r="642" spans="1:43" ht="12.6" customHeight="1" x14ac:dyDescent="0.25">
      <c r="A642" s="8" t="s">
        <v>5333</v>
      </c>
      <c r="B642" s="9">
        <v>20151231</v>
      </c>
      <c r="C642" s="12">
        <f>_xll.FDS("SPX","FG_PRICE(12/30/2015)")</f>
        <v>2063.36</v>
      </c>
      <c r="D642" s="12">
        <f>_xll.FDS("SPX","FG_PRICE(12/30/2017)")</f>
        <v>2673.61</v>
      </c>
      <c r="E642" s="15">
        <f>D642/C642-1</f>
        <v>0.2957554668114144</v>
      </c>
      <c r="F642" s="8" t="s">
        <v>5334</v>
      </c>
      <c r="G642" s="8" t="s">
        <v>5335</v>
      </c>
      <c r="H642" s="13">
        <f>_xll.FDS(G642,"FG_PRICE(12/30/2015)")</f>
        <v>36.479999999999997</v>
      </c>
      <c r="I642" s="13">
        <f>_xll.FDS(G642,"FG_PRICE(12/31/2017)")</f>
        <v>26.5</v>
      </c>
      <c r="J642" s="13">
        <f>I642/H642-1</f>
        <v>-0.27357456140350866</v>
      </c>
      <c r="K642" s="13">
        <f>J642-E642</f>
        <v>-0.56933002821492307</v>
      </c>
      <c r="L642" s="13">
        <f>_xll.FDS(G642,"FF_ROE(ANN_R,12/30/2015)")</f>
        <v>6.8274051086178078</v>
      </c>
      <c r="M642" s="8" t="s">
        <v>5336</v>
      </c>
      <c r="N642" s="4" t="s">
        <v>5336</v>
      </c>
      <c r="O642" s="4" t="s">
        <v>5337</v>
      </c>
      <c r="P642" s="4" t="s">
        <v>96</v>
      </c>
      <c r="Q642" s="4" t="s">
        <v>63</v>
      </c>
      <c r="R642" s="4" t="s">
        <v>61</v>
      </c>
      <c r="S642" s="4" t="s">
        <v>62</v>
      </c>
      <c r="T642" s="6" t="e">
        <v>#N/A</v>
      </c>
      <c r="U642" s="5">
        <v>55</v>
      </c>
      <c r="V642" s="5">
        <v>63</v>
      </c>
      <c r="W642" s="5">
        <v>52</v>
      </c>
      <c r="X642" s="5">
        <v>49</v>
      </c>
      <c r="Y642" s="5">
        <v>59.42</v>
      </c>
      <c r="Z642" s="5">
        <v>74.680000000000007</v>
      </c>
      <c r="AA642" s="5">
        <v>20.13</v>
      </c>
      <c r="AB642" s="5">
        <v>44.16</v>
      </c>
      <c r="AC642" s="6">
        <v>0.4</v>
      </c>
      <c r="AD642" s="6">
        <v>0.3</v>
      </c>
      <c r="AE642" s="6">
        <v>0.3</v>
      </c>
      <c r="AF642" s="4" t="s">
        <v>6296</v>
      </c>
      <c r="AG642" s="4" t="s">
        <v>6296</v>
      </c>
      <c r="AH642" s="4" t="s">
        <v>6296</v>
      </c>
      <c r="AI642" s="4" t="s">
        <v>6296</v>
      </c>
      <c r="AJ642" s="4" t="s">
        <v>6296</v>
      </c>
      <c r="AK642" s="4" t="s">
        <v>6296</v>
      </c>
      <c r="AL642" s="4" t="s">
        <v>6296</v>
      </c>
      <c r="AM642" s="4" t="s">
        <v>6296</v>
      </c>
      <c r="AN642" s="4" t="s">
        <v>6296</v>
      </c>
      <c r="AO642" s="4" t="s">
        <v>6296</v>
      </c>
      <c r="AP642" s="4" t="s">
        <v>5338</v>
      </c>
      <c r="AQ642" s="4" t="s">
        <v>47</v>
      </c>
    </row>
    <row r="643" spans="1:43" ht="12.6" customHeight="1" x14ac:dyDescent="0.25">
      <c r="A643" s="8" t="s">
        <v>5320</v>
      </c>
      <c r="B643" s="9">
        <v>20151231</v>
      </c>
      <c r="C643" s="12">
        <f>_xll.FDS("SPX","FG_PRICE(12/30/2015)")</f>
        <v>2063.36</v>
      </c>
      <c r="D643" s="12">
        <f>_xll.FDS("SPX","FG_PRICE(12/30/2017)")</f>
        <v>2673.61</v>
      </c>
      <c r="E643" s="15">
        <f>D643/C643-1</f>
        <v>0.2957554668114144</v>
      </c>
      <c r="F643" s="8" t="s">
        <v>5321</v>
      </c>
      <c r="G643" s="8" t="s">
        <v>5322</v>
      </c>
      <c r="H643" s="13">
        <f>_xll.FDS(G643,"FG_PRICE(12/30/2015)")</f>
        <v>14.89</v>
      </c>
      <c r="I643" s="13" t="e">
        <f>_xll.FDS(G643,"FG_PRICE(12/31/2017)")</f>
        <v>#N/A</v>
      </c>
      <c r="J643" s="13" t="e">
        <f>I643/H643-1</f>
        <v>#N/A</v>
      </c>
      <c r="K643" s="13" t="e">
        <f>J643-E643</f>
        <v>#N/A</v>
      </c>
      <c r="L643" s="13">
        <f>_xll.FDS(G643,"FF_ROE(ANN_R,12/30/2015)")</f>
        <v>-10.653109112240911</v>
      </c>
      <c r="M643" s="8" t="s">
        <v>5323</v>
      </c>
      <c r="N643" s="4" t="s">
        <v>5324</v>
      </c>
      <c r="O643" s="4" t="s">
        <v>47</v>
      </c>
      <c r="P643" s="4" t="s">
        <v>96</v>
      </c>
      <c r="Q643" s="4" t="s">
        <v>63</v>
      </c>
      <c r="R643" s="4" t="s">
        <v>61</v>
      </c>
      <c r="S643" s="4" t="s">
        <v>62</v>
      </c>
      <c r="T643" s="6" t="e">
        <v>#N/A</v>
      </c>
      <c r="U643" s="5">
        <v>46</v>
      </c>
      <c r="V643" s="5">
        <v>38</v>
      </c>
      <c r="W643" s="5">
        <v>55</v>
      </c>
      <c r="X643" s="5">
        <v>48</v>
      </c>
      <c r="Y643" s="5">
        <v>19.48</v>
      </c>
      <c r="Z643" s="6">
        <v>0.65</v>
      </c>
      <c r="AA643" s="5">
        <v>25.97</v>
      </c>
      <c r="AB643" s="5">
        <v>37.01</v>
      </c>
      <c r="AC643" s="6">
        <v>0.4</v>
      </c>
      <c r="AD643" s="6">
        <v>0.3</v>
      </c>
      <c r="AE643" s="6">
        <v>0.3</v>
      </c>
      <c r="AF643" s="4" t="s">
        <v>6296</v>
      </c>
      <c r="AG643" s="4" t="s">
        <v>6296</v>
      </c>
      <c r="AH643" s="4" t="s">
        <v>6296</v>
      </c>
      <c r="AI643" s="4" t="s">
        <v>6296</v>
      </c>
      <c r="AJ643" s="4" t="s">
        <v>6296</v>
      </c>
      <c r="AK643" s="4" t="s">
        <v>6296</v>
      </c>
      <c r="AL643" s="4" t="s">
        <v>6296</v>
      </c>
      <c r="AM643" s="4" t="s">
        <v>6296</v>
      </c>
      <c r="AN643" s="4" t="s">
        <v>6296</v>
      </c>
      <c r="AO643" s="4" t="s">
        <v>6296</v>
      </c>
      <c r="AP643" s="4" t="s">
        <v>5325</v>
      </c>
      <c r="AQ643" s="4" t="s">
        <v>47</v>
      </c>
    </row>
    <row r="644" spans="1:43" ht="12.6" customHeight="1" x14ac:dyDescent="0.25">
      <c r="A644" s="8" t="s">
        <v>3939</v>
      </c>
      <c r="B644" s="9">
        <v>20151231</v>
      </c>
      <c r="C644" s="12">
        <f>_xll.FDS("SPX","FG_PRICE(12/30/2015)")</f>
        <v>2063.36</v>
      </c>
      <c r="D644" s="12">
        <f>_xll.FDS("SPX","FG_PRICE(12/30/2017)")</f>
        <v>2673.61</v>
      </c>
      <c r="E644" s="15">
        <f>D644/C644-1</f>
        <v>0.2957554668114144</v>
      </c>
      <c r="F644" s="8" t="s">
        <v>3940</v>
      </c>
      <c r="G644" s="8" t="s">
        <v>3941</v>
      </c>
      <c r="H644" s="13">
        <f>_xll.FDS(G644,"FG_PRICE(12/30/2015)")</f>
        <v>33.22</v>
      </c>
      <c r="I644" s="13">
        <f>_xll.FDS(G644,"FG_PRICE(12/31/2017)")</f>
        <v>26.51</v>
      </c>
      <c r="J644" s="13">
        <f>I644/H644-1</f>
        <v>-0.20198675496688734</v>
      </c>
      <c r="K644" s="13">
        <f>J644-E644</f>
        <v>-0.49774222177830174</v>
      </c>
      <c r="L644" s="13">
        <f>_xll.FDS(G644,"FF_ROE(ANN_R,12/30/2015)")</f>
        <v>14.15769941064374</v>
      </c>
      <c r="M644" s="8" t="s">
        <v>3942</v>
      </c>
      <c r="N644" s="4" t="s">
        <v>3943</v>
      </c>
      <c r="O644" s="4" t="s">
        <v>3944</v>
      </c>
      <c r="P644" s="4" t="s">
        <v>96</v>
      </c>
      <c r="Q644" s="4" t="s">
        <v>63</v>
      </c>
      <c r="R644" s="4" t="s">
        <v>61</v>
      </c>
      <c r="S644" s="4" t="s">
        <v>62</v>
      </c>
      <c r="T644" s="6" t="e">
        <v>#N/A</v>
      </c>
      <c r="U644" s="5">
        <v>49</v>
      </c>
      <c r="V644" s="5">
        <v>45</v>
      </c>
      <c r="W644" s="5">
        <v>50</v>
      </c>
      <c r="X644" s="5">
        <v>52</v>
      </c>
      <c r="Y644" s="5">
        <v>38.64</v>
      </c>
      <c r="Z644" s="5">
        <v>36.69</v>
      </c>
      <c r="AA644" s="5">
        <v>17.53</v>
      </c>
      <c r="AB644" s="5">
        <v>55.52</v>
      </c>
      <c r="AC644" s="6">
        <v>0.4</v>
      </c>
      <c r="AD644" s="6">
        <v>0.3</v>
      </c>
      <c r="AE644" s="6">
        <v>0.3</v>
      </c>
      <c r="AF644" s="4" t="s">
        <v>6296</v>
      </c>
      <c r="AG644" s="4" t="s">
        <v>6296</v>
      </c>
      <c r="AH644" s="4" t="s">
        <v>6296</v>
      </c>
      <c r="AI644" s="4" t="s">
        <v>6296</v>
      </c>
      <c r="AJ644" s="4" t="s">
        <v>6296</v>
      </c>
      <c r="AK644" s="4" t="s">
        <v>6296</v>
      </c>
      <c r="AL644" s="4" t="s">
        <v>6296</v>
      </c>
      <c r="AM644" s="4" t="s">
        <v>6296</v>
      </c>
      <c r="AN644" s="4" t="s">
        <v>6296</v>
      </c>
      <c r="AO644" s="4" t="s">
        <v>6296</v>
      </c>
      <c r="AP644" s="4" t="s">
        <v>3945</v>
      </c>
      <c r="AQ644" s="4" t="s">
        <v>47</v>
      </c>
    </row>
    <row r="645" spans="1:43" ht="12.6" customHeight="1" x14ac:dyDescent="0.25">
      <c r="A645" s="8" t="s">
        <v>622</v>
      </c>
      <c r="B645" s="9">
        <v>20151231</v>
      </c>
      <c r="C645" s="12">
        <f>_xll.FDS("SPX","FG_PRICE(12/30/2015)")</f>
        <v>2063.36</v>
      </c>
      <c r="D645" s="12">
        <f>_xll.FDS("SPX","FG_PRICE(12/30/2017)")</f>
        <v>2673.61</v>
      </c>
      <c r="E645" s="15">
        <f>D645/C645-1</f>
        <v>0.2957554668114144</v>
      </c>
      <c r="F645" s="8" t="s">
        <v>623</v>
      </c>
      <c r="G645" s="8" t="s">
        <v>624</v>
      </c>
      <c r="H645" s="13">
        <f>_xll.FDS(G645,"FG_PRICE(12/30/2015)")</f>
        <v>114.03</v>
      </c>
      <c r="I645" s="13">
        <f>_xll.FDS(G645,"FG_PRICE(12/31/2017)")</f>
        <v>100.93</v>
      </c>
      <c r="J645" s="13">
        <f>I645/H645-1</f>
        <v>-0.11488204858370599</v>
      </c>
      <c r="K645" s="13">
        <f>J645-E645</f>
        <v>-0.41063751539512039</v>
      </c>
      <c r="L645" s="13">
        <f>_xll.FDS(G645,"FF_ROE(ANN_R,12/30/2015)")</f>
        <v>4.9865409685496553</v>
      </c>
      <c r="M645" s="8" t="s">
        <v>625</v>
      </c>
      <c r="N645" s="4" t="s">
        <v>625</v>
      </c>
      <c r="O645" s="4" t="s">
        <v>626</v>
      </c>
      <c r="P645" s="4" t="s">
        <v>96</v>
      </c>
      <c r="Q645" s="4" t="s">
        <v>63</v>
      </c>
      <c r="R645" s="4" t="s">
        <v>61</v>
      </c>
      <c r="S645" s="4" t="s">
        <v>62</v>
      </c>
      <c r="T645" s="6" t="e">
        <v>#N/A</v>
      </c>
      <c r="U645" s="5">
        <v>55</v>
      </c>
      <c r="V645" s="5">
        <v>55</v>
      </c>
      <c r="W645" s="5">
        <v>49</v>
      </c>
      <c r="X645" s="5">
        <v>62</v>
      </c>
      <c r="Y645" s="5">
        <v>59.42</v>
      </c>
      <c r="Z645" s="5">
        <v>62.01</v>
      </c>
      <c r="AA645" s="5">
        <v>15.26</v>
      </c>
      <c r="AB645" s="5">
        <v>79.87</v>
      </c>
      <c r="AC645" s="6">
        <v>0.4</v>
      </c>
      <c r="AD645" s="6">
        <v>0.3</v>
      </c>
      <c r="AE645" s="6">
        <v>0.3</v>
      </c>
      <c r="AF645" s="4" t="s">
        <v>6296</v>
      </c>
      <c r="AG645" s="4" t="s">
        <v>6296</v>
      </c>
      <c r="AH645" s="4" t="s">
        <v>6296</v>
      </c>
      <c r="AI645" s="4" t="s">
        <v>6296</v>
      </c>
      <c r="AJ645" s="4" t="s">
        <v>6296</v>
      </c>
      <c r="AK645" s="4" t="s">
        <v>6296</v>
      </c>
      <c r="AL645" s="4" t="s">
        <v>6296</v>
      </c>
      <c r="AM645" s="4" t="s">
        <v>6296</v>
      </c>
      <c r="AN645" s="4" t="s">
        <v>6296</v>
      </c>
      <c r="AO645" s="4" t="s">
        <v>6296</v>
      </c>
      <c r="AP645" s="4" t="s">
        <v>627</v>
      </c>
      <c r="AQ645" s="4" t="s">
        <v>47</v>
      </c>
    </row>
    <row r="646" spans="1:43" ht="12.6" customHeight="1" x14ac:dyDescent="0.25">
      <c r="A646" s="8" t="s">
        <v>2340</v>
      </c>
      <c r="B646" s="9">
        <v>20151231</v>
      </c>
      <c r="C646" s="12">
        <f>_xll.FDS("SPX","FG_PRICE(12/30/2015)")</f>
        <v>2063.36</v>
      </c>
      <c r="D646" s="12">
        <f>_xll.FDS("SPX","FG_PRICE(12/30/2017)")</f>
        <v>2673.61</v>
      </c>
      <c r="E646" s="15">
        <f>D646/C646-1</f>
        <v>0.2957554668114144</v>
      </c>
      <c r="F646" s="8" t="s">
        <v>2341</v>
      </c>
      <c r="G646" s="8" t="s">
        <v>2342</v>
      </c>
      <c r="H646" s="13">
        <f>_xll.FDS(G646,"FG_PRICE(12/30/2015)")</f>
        <v>15</v>
      </c>
      <c r="I646" s="13">
        <f>_xll.FDS(G646,"FG_PRICE(12/31/2017)")</f>
        <v>19.149999999999999</v>
      </c>
      <c r="J646" s="13">
        <f>I646/H646-1</f>
        <v>0.27666666666666662</v>
      </c>
      <c r="K646" s="13">
        <f>J646-E646</f>
        <v>-1.9088800144747786E-2</v>
      </c>
      <c r="L646" s="13">
        <f>_xll.FDS(G646,"FF_ROE(ANN_R,12/30/2015)")</f>
        <v>5.4525468304163294</v>
      </c>
      <c r="M646" s="8" t="s">
        <v>2343</v>
      </c>
      <c r="N646" s="4" t="s">
        <v>2343</v>
      </c>
      <c r="O646" s="4" t="s">
        <v>2344</v>
      </c>
      <c r="P646" s="4" t="s">
        <v>96</v>
      </c>
      <c r="Q646" s="4" t="s">
        <v>63</v>
      </c>
      <c r="R646" s="4" t="s">
        <v>61</v>
      </c>
      <c r="S646" s="4" t="s">
        <v>62</v>
      </c>
      <c r="T646" s="6" t="e">
        <v>#N/A</v>
      </c>
      <c r="U646" s="5">
        <v>51</v>
      </c>
      <c r="V646" s="5">
        <v>38</v>
      </c>
      <c r="W646" s="5">
        <v>60</v>
      </c>
      <c r="X646" s="5">
        <v>59</v>
      </c>
      <c r="Y646" s="5">
        <v>47.4</v>
      </c>
      <c r="Z646" s="6">
        <v>0.65</v>
      </c>
      <c r="AA646" s="5">
        <v>63.96</v>
      </c>
      <c r="AB646" s="5">
        <v>74.680000000000007</v>
      </c>
      <c r="AC646" s="6">
        <v>0.4</v>
      </c>
      <c r="AD646" s="6">
        <v>0.3</v>
      </c>
      <c r="AE646" s="6">
        <v>0.3</v>
      </c>
      <c r="AF646" s="4" t="s">
        <v>6296</v>
      </c>
      <c r="AG646" s="4" t="s">
        <v>6296</v>
      </c>
      <c r="AH646" s="4" t="s">
        <v>6296</v>
      </c>
      <c r="AI646" s="4" t="s">
        <v>6296</v>
      </c>
      <c r="AJ646" s="4" t="s">
        <v>6296</v>
      </c>
      <c r="AK646" s="4" t="s">
        <v>6296</v>
      </c>
      <c r="AL646" s="4" t="s">
        <v>6296</v>
      </c>
      <c r="AM646" s="4" t="s">
        <v>6296</v>
      </c>
      <c r="AN646" s="4" t="s">
        <v>6296</v>
      </c>
      <c r="AO646" s="4" t="s">
        <v>6296</v>
      </c>
      <c r="AP646" s="4" t="s">
        <v>2345</v>
      </c>
      <c r="AQ646" s="4" t="s">
        <v>47</v>
      </c>
    </row>
    <row r="647" spans="1:43" ht="12.6" customHeight="1" x14ac:dyDescent="0.25">
      <c r="A647" s="8" t="s">
        <v>3660</v>
      </c>
      <c r="B647" s="9">
        <v>20151231</v>
      </c>
      <c r="C647" s="12">
        <f>_xll.FDS("SPX","FG_PRICE(12/30/2015)")</f>
        <v>2063.36</v>
      </c>
      <c r="D647" s="12">
        <f>_xll.FDS("SPX","FG_PRICE(12/30/2017)")</f>
        <v>2673.61</v>
      </c>
      <c r="E647" s="15">
        <f>D647/C647-1</f>
        <v>0.2957554668114144</v>
      </c>
      <c r="F647" s="8" t="s">
        <v>3661</v>
      </c>
      <c r="G647" s="8" t="s">
        <v>3662</v>
      </c>
      <c r="H647" s="13">
        <f>_xll.FDS(G647,"FG_PRICE(12/30/2015)")</f>
        <v>195.16</v>
      </c>
      <c r="I647" s="13">
        <f>_xll.FDS(G647,"FG_PRICE(12/31/2017)")</f>
        <v>171.74</v>
      </c>
      <c r="J647" s="13">
        <f>I647/H647-1</f>
        <v>-0.1200040992006558</v>
      </c>
      <c r="K647" s="13">
        <f>J647-E647</f>
        <v>-0.4157595660120702</v>
      </c>
      <c r="L647" s="13">
        <f>_xll.FDS(G647,"FF_ROE(ANN_R,12/30/2015)")</f>
        <v>22.315005515608149</v>
      </c>
      <c r="M647" s="8" t="s">
        <v>3663</v>
      </c>
      <c r="N647" s="4" t="s">
        <v>3664</v>
      </c>
      <c r="O647" s="4" t="s">
        <v>3665</v>
      </c>
      <c r="P647" s="4" t="s">
        <v>96</v>
      </c>
      <c r="Q647" s="4" t="s">
        <v>63</v>
      </c>
      <c r="R647" s="4" t="s">
        <v>61</v>
      </c>
      <c r="S647" s="4" t="s">
        <v>62</v>
      </c>
      <c r="T647" s="6" t="e">
        <v>#N/A</v>
      </c>
      <c r="U647" s="5">
        <v>48</v>
      </c>
      <c r="V647" s="5">
        <v>47</v>
      </c>
      <c r="W647" s="5">
        <v>54</v>
      </c>
      <c r="X647" s="5">
        <v>45</v>
      </c>
      <c r="Y647" s="5">
        <v>33.119999999999997</v>
      </c>
      <c r="Z647" s="5">
        <v>43.51</v>
      </c>
      <c r="AA647" s="5">
        <v>23.7</v>
      </c>
      <c r="AB647" s="5">
        <v>26.62</v>
      </c>
      <c r="AC647" s="6">
        <v>0.4</v>
      </c>
      <c r="AD647" s="6">
        <v>0.3</v>
      </c>
      <c r="AE647" s="6">
        <v>0.3</v>
      </c>
      <c r="AF647" s="4" t="s">
        <v>6296</v>
      </c>
      <c r="AG647" s="4" t="s">
        <v>6296</v>
      </c>
      <c r="AH647" s="4" t="s">
        <v>6296</v>
      </c>
      <c r="AI647" s="4" t="s">
        <v>42</v>
      </c>
      <c r="AJ647" s="4" t="s">
        <v>6296</v>
      </c>
      <c r="AK647" s="4" t="s">
        <v>6296</v>
      </c>
      <c r="AL647" s="4" t="s">
        <v>6296</v>
      </c>
      <c r="AM647" s="4" t="s">
        <v>6296</v>
      </c>
      <c r="AN647" s="4" t="s">
        <v>37</v>
      </c>
      <c r="AO647" s="4" t="s">
        <v>6296</v>
      </c>
      <c r="AP647" s="4" t="s">
        <v>3666</v>
      </c>
      <c r="AQ647" s="4" t="s">
        <v>47</v>
      </c>
    </row>
    <row r="648" spans="1:43" ht="12.6" customHeight="1" x14ac:dyDescent="0.25">
      <c r="A648" s="8" t="s">
        <v>3932</v>
      </c>
      <c r="B648" s="9">
        <v>20151231</v>
      </c>
      <c r="C648" s="12">
        <f>_xll.FDS("SPX","FG_PRICE(12/30/2015)")</f>
        <v>2063.36</v>
      </c>
      <c r="D648" s="12">
        <f>_xll.FDS("SPX","FG_PRICE(12/30/2017)")</f>
        <v>2673.61</v>
      </c>
      <c r="E648" s="15">
        <f>D648/C648-1</f>
        <v>0.2957554668114144</v>
      </c>
      <c r="F648" s="8" t="s">
        <v>3933</v>
      </c>
      <c r="G648" s="8" t="s">
        <v>3934</v>
      </c>
      <c r="H648" s="13">
        <f>_xll.FDS(G648,"FG_PRICE(12/30/2015)")</f>
        <v>77.16</v>
      </c>
      <c r="I648" s="13">
        <f>_xll.FDS(G648,"FG_PRICE(12/31/2017)")</f>
        <v>65.430000000000007</v>
      </c>
      <c r="J648" s="13">
        <f>I648/H648-1</f>
        <v>-0.15202177293934671</v>
      </c>
      <c r="K648" s="13">
        <f>J648-E648</f>
        <v>-0.44777723975076111</v>
      </c>
      <c r="L648" s="13">
        <f>_xll.FDS(G648,"FF_ROE(ANN_R,12/30/2015)")</f>
        <v>-221.51274238786101</v>
      </c>
      <c r="M648" s="8" t="s">
        <v>3935</v>
      </c>
      <c r="N648" s="4" t="s">
        <v>3936</v>
      </c>
      <c r="O648" s="4" t="s">
        <v>3937</v>
      </c>
      <c r="P648" s="4" t="s">
        <v>96</v>
      </c>
      <c r="Q648" s="4" t="s">
        <v>63</v>
      </c>
      <c r="R648" s="4" t="s">
        <v>61</v>
      </c>
      <c r="S648" s="4" t="s">
        <v>62</v>
      </c>
      <c r="T648" s="6" t="e">
        <v>#N/A</v>
      </c>
      <c r="U648" s="5">
        <v>48</v>
      </c>
      <c r="V648" s="5">
        <v>38</v>
      </c>
      <c r="W648" s="5">
        <v>60</v>
      </c>
      <c r="X648" s="5">
        <v>51</v>
      </c>
      <c r="Y648" s="5">
        <v>33.119999999999997</v>
      </c>
      <c r="Z648" s="6">
        <v>0.65</v>
      </c>
      <c r="AA648" s="5">
        <v>63.96</v>
      </c>
      <c r="AB648" s="5">
        <v>50.97</v>
      </c>
      <c r="AC648" s="6">
        <v>0.4</v>
      </c>
      <c r="AD648" s="6">
        <v>0.3</v>
      </c>
      <c r="AE648" s="6">
        <v>0.3</v>
      </c>
      <c r="AF648" s="4" t="s">
        <v>6296</v>
      </c>
      <c r="AG648" s="4" t="s">
        <v>6296</v>
      </c>
      <c r="AH648" s="4" t="s">
        <v>6296</v>
      </c>
      <c r="AI648" s="4" t="s">
        <v>6296</v>
      </c>
      <c r="AJ648" s="4" t="s">
        <v>6296</v>
      </c>
      <c r="AK648" s="4" t="s">
        <v>42</v>
      </c>
      <c r="AL648" s="4" t="s">
        <v>6296</v>
      </c>
      <c r="AM648" s="4" t="s">
        <v>6296</v>
      </c>
      <c r="AN648" s="4" t="s">
        <v>6296</v>
      </c>
      <c r="AO648" s="4" t="s">
        <v>6296</v>
      </c>
      <c r="AP648" s="4" t="s">
        <v>3938</v>
      </c>
      <c r="AQ648" s="4" t="s">
        <v>47</v>
      </c>
    </row>
    <row r="649" spans="1:43" ht="12.6" customHeight="1" x14ac:dyDescent="0.25">
      <c r="A649" s="8" t="s">
        <v>5264</v>
      </c>
      <c r="B649" s="9">
        <v>20151231</v>
      </c>
      <c r="C649" s="12">
        <f>_xll.FDS("SPX","FG_PRICE(12/30/2015)")</f>
        <v>2063.36</v>
      </c>
      <c r="D649" s="12">
        <f>_xll.FDS("SPX","FG_PRICE(12/30/2017)")</f>
        <v>2673.61</v>
      </c>
      <c r="E649" s="15">
        <f>D649/C649-1</f>
        <v>0.2957554668114144</v>
      </c>
      <c r="F649" s="8" t="s">
        <v>5265</v>
      </c>
      <c r="G649" s="8" t="s">
        <v>5266</v>
      </c>
      <c r="H649" s="13">
        <f>_xll.FDS(G649,"FG_PRICE(12/30/2015)")</f>
        <v>13.3683195</v>
      </c>
      <c r="I649" s="13">
        <f>_xll.FDS(G649,"FG_PRICE(12/31/2017)")</f>
        <v>16.260000000000002</v>
      </c>
      <c r="J649" s="13">
        <f>I649/H649-1</f>
        <v>0.21630845223290796</v>
      </c>
      <c r="K649" s="13">
        <f>J649-E649</f>
        <v>-7.9447014578506447E-2</v>
      </c>
      <c r="L649" s="13">
        <f>_xll.FDS(G649,"FF_ROE(ANN_R,12/30/2015)")</f>
        <v>4.2190639776136347</v>
      </c>
      <c r="M649" s="8" t="s">
        <v>5267</v>
      </c>
      <c r="N649" s="4" t="s">
        <v>5267</v>
      </c>
      <c r="O649" s="4" t="s">
        <v>5268</v>
      </c>
      <c r="P649" s="4" t="s">
        <v>96</v>
      </c>
      <c r="Q649" s="4" t="s">
        <v>63</v>
      </c>
      <c r="R649" s="4" t="s">
        <v>61</v>
      </c>
      <c r="S649" s="4" t="s">
        <v>62</v>
      </c>
      <c r="T649" s="6" t="e">
        <v>#N/A</v>
      </c>
      <c r="U649" s="5">
        <v>46</v>
      </c>
      <c r="V649" s="5">
        <v>38</v>
      </c>
      <c r="W649" s="5">
        <v>57</v>
      </c>
      <c r="X649" s="5">
        <v>48</v>
      </c>
      <c r="Y649" s="5">
        <v>19.48</v>
      </c>
      <c r="Z649" s="6">
        <v>0.65</v>
      </c>
      <c r="AA649" s="5">
        <v>52.92</v>
      </c>
      <c r="AB649" s="5">
        <v>37.01</v>
      </c>
      <c r="AC649" s="6">
        <v>0.4</v>
      </c>
      <c r="AD649" s="6">
        <v>0.3</v>
      </c>
      <c r="AE649" s="6">
        <v>0.3</v>
      </c>
      <c r="AF649" s="4" t="s">
        <v>6296</v>
      </c>
      <c r="AG649" s="4" t="s">
        <v>6296</v>
      </c>
      <c r="AH649" s="4" t="s">
        <v>6296</v>
      </c>
      <c r="AI649" s="4" t="s">
        <v>6296</v>
      </c>
      <c r="AJ649" s="4" t="s">
        <v>6296</v>
      </c>
      <c r="AK649" s="4" t="s">
        <v>6296</v>
      </c>
      <c r="AL649" s="4" t="s">
        <v>6296</v>
      </c>
      <c r="AM649" s="4" t="s">
        <v>6296</v>
      </c>
      <c r="AN649" s="4" t="s">
        <v>6296</v>
      </c>
      <c r="AO649" s="4" t="s">
        <v>6296</v>
      </c>
      <c r="AP649" s="4" t="s">
        <v>5269</v>
      </c>
      <c r="AQ649" s="4" t="s">
        <v>47</v>
      </c>
    </row>
    <row r="650" spans="1:43" ht="12.6" customHeight="1" x14ac:dyDescent="0.25">
      <c r="A650" s="8" t="s">
        <v>3349</v>
      </c>
      <c r="B650" s="9">
        <v>20151231</v>
      </c>
      <c r="C650" s="12">
        <f>_xll.FDS("SPX","FG_PRICE(12/30/2015)")</f>
        <v>2063.36</v>
      </c>
      <c r="D650" s="12">
        <f>_xll.FDS("SPX","FG_PRICE(12/30/2017)")</f>
        <v>2673.61</v>
      </c>
      <c r="E650" s="15">
        <f>D650/C650-1</f>
        <v>0.2957554668114144</v>
      </c>
      <c r="F650" s="8" t="s">
        <v>3350</v>
      </c>
      <c r="G650" s="8" t="s">
        <v>3351</v>
      </c>
      <c r="H650" s="13">
        <f>_xll.FDS(G650,"FG_PRICE(12/30/2015)")</f>
        <v>37.76</v>
      </c>
      <c r="I650" s="13">
        <f>_xll.FDS(G650,"FG_PRICE(12/31/2017)")</f>
        <v>38.520000000000003</v>
      </c>
      <c r="J650" s="13">
        <f>I650/H650-1</f>
        <v>2.012711864406791E-2</v>
      </c>
      <c r="K650" s="13">
        <f>J650-E650</f>
        <v>-0.27562834816734649</v>
      </c>
      <c r="L650" s="13">
        <f>_xll.FDS(G650,"FF_ROE(ANN_R,12/30/2015)")</f>
        <v>0.3876868325477375</v>
      </c>
      <c r="M650" s="8" t="s">
        <v>3352</v>
      </c>
      <c r="N650" s="4" t="s">
        <v>3353</v>
      </c>
      <c r="O650" s="4" t="s">
        <v>3354</v>
      </c>
      <c r="P650" s="4" t="s">
        <v>96</v>
      </c>
      <c r="Q650" s="4" t="s">
        <v>63</v>
      </c>
      <c r="R650" s="4" t="s">
        <v>61</v>
      </c>
      <c r="S650" s="4" t="s">
        <v>62</v>
      </c>
      <c r="T650" s="6" t="e">
        <v>#N/A</v>
      </c>
      <c r="U650" s="5">
        <v>51</v>
      </c>
      <c r="V650" s="5">
        <v>53</v>
      </c>
      <c r="W650" s="5">
        <v>48</v>
      </c>
      <c r="X650" s="5">
        <v>52</v>
      </c>
      <c r="Y650" s="5">
        <v>47.4</v>
      </c>
      <c r="Z650" s="5">
        <v>57.14</v>
      </c>
      <c r="AA650" s="5">
        <v>12.01</v>
      </c>
      <c r="AB650" s="5">
        <v>55.52</v>
      </c>
      <c r="AC650" s="6">
        <v>0.4</v>
      </c>
      <c r="AD650" s="6">
        <v>0.3</v>
      </c>
      <c r="AE650" s="6">
        <v>0.3</v>
      </c>
      <c r="AF650" s="4" t="s">
        <v>6296</v>
      </c>
      <c r="AG650" s="4" t="s">
        <v>6296</v>
      </c>
      <c r="AH650" s="4" t="s">
        <v>6296</v>
      </c>
      <c r="AI650" s="4" t="s">
        <v>6296</v>
      </c>
      <c r="AJ650" s="4" t="s">
        <v>6296</v>
      </c>
      <c r="AK650" s="4" t="s">
        <v>6296</v>
      </c>
      <c r="AL650" s="4" t="s">
        <v>6296</v>
      </c>
      <c r="AM650" s="4" t="s">
        <v>6296</v>
      </c>
      <c r="AN650" s="4" t="s">
        <v>6296</v>
      </c>
      <c r="AO650" s="4" t="s">
        <v>6296</v>
      </c>
      <c r="AP650" s="4" t="s">
        <v>3355</v>
      </c>
      <c r="AQ650" s="4" t="s">
        <v>47</v>
      </c>
    </row>
    <row r="651" spans="1:43" ht="12.6" customHeight="1" x14ac:dyDescent="0.25">
      <c r="A651" s="8" t="s">
        <v>6053</v>
      </c>
      <c r="B651" s="9">
        <v>20151231</v>
      </c>
      <c r="C651" s="12">
        <f>_xll.FDS("SPX","FG_PRICE(12/30/2015)")</f>
        <v>2063.36</v>
      </c>
      <c r="D651" s="12">
        <f>_xll.FDS("SPX","FG_PRICE(12/30/2017)")</f>
        <v>2673.61</v>
      </c>
      <c r="E651" s="15">
        <f>D651/C651-1</f>
        <v>0.2957554668114144</v>
      </c>
      <c r="F651" s="8" t="s">
        <v>6054</v>
      </c>
      <c r="G651" s="8" t="s">
        <v>6055</v>
      </c>
      <c r="H651" s="13">
        <f>_xll.FDS(G651,"FG_PRICE(12/30/2015)")</f>
        <v>23.76</v>
      </c>
      <c r="I651" s="13">
        <f>_xll.FDS(G651,"FG_PRICE(12/31/2017)")</f>
        <v>25.49</v>
      </c>
      <c r="J651" s="13">
        <f>I651/H651-1</f>
        <v>7.281144781144766E-2</v>
      </c>
      <c r="K651" s="13">
        <f>J651-E651</f>
        <v>-0.22294401899996674</v>
      </c>
      <c r="L651" s="13" t="e">
        <f>_xll.FDS(G651,"FF_ROE(ANN_R,12/30/2015)")</f>
        <v>#N/A</v>
      </c>
      <c r="M651" s="8" t="s">
        <v>6056</v>
      </c>
      <c r="N651" s="4" t="s">
        <v>6056</v>
      </c>
      <c r="O651" s="4" t="s">
        <v>6057</v>
      </c>
      <c r="P651" s="4" t="s">
        <v>96</v>
      </c>
      <c r="Q651" s="4" t="s">
        <v>63</v>
      </c>
      <c r="R651" s="4" t="s">
        <v>61</v>
      </c>
      <c r="S651" s="4" t="s">
        <v>62</v>
      </c>
      <c r="T651" s="6" t="e">
        <v>#N/A</v>
      </c>
      <c r="U651" s="5">
        <v>46</v>
      </c>
      <c r="V651" s="5">
        <v>39</v>
      </c>
      <c r="W651" s="5">
        <v>55</v>
      </c>
      <c r="X651" s="5">
        <v>48</v>
      </c>
      <c r="Y651" s="5">
        <v>19.48</v>
      </c>
      <c r="Z651" s="5">
        <v>14.94</v>
      </c>
      <c r="AA651" s="5">
        <v>25.97</v>
      </c>
      <c r="AB651" s="5">
        <v>37.01</v>
      </c>
      <c r="AC651" s="6">
        <v>0.4</v>
      </c>
      <c r="AD651" s="6">
        <v>0.3</v>
      </c>
      <c r="AE651" s="6">
        <v>0.3</v>
      </c>
      <c r="AF651" s="4" t="s">
        <v>6296</v>
      </c>
      <c r="AG651" s="4" t="s">
        <v>6296</v>
      </c>
      <c r="AH651" s="4" t="s">
        <v>6296</v>
      </c>
      <c r="AI651" s="4" t="s">
        <v>6296</v>
      </c>
      <c r="AJ651" s="4" t="s">
        <v>6296</v>
      </c>
      <c r="AK651" s="4" t="s">
        <v>6296</v>
      </c>
      <c r="AL651" s="4" t="s">
        <v>6296</v>
      </c>
      <c r="AM651" s="4" t="s">
        <v>6296</v>
      </c>
      <c r="AN651" s="4" t="s">
        <v>6296</v>
      </c>
      <c r="AO651" s="4" t="s">
        <v>6296</v>
      </c>
      <c r="AP651" s="4" t="s">
        <v>6058</v>
      </c>
      <c r="AQ651" s="4" t="s">
        <v>47</v>
      </c>
    </row>
    <row r="652" spans="1:43" ht="12.6" customHeight="1" x14ac:dyDescent="0.25">
      <c r="A652" s="8" t="s">
        <v>6551</v>
      </c>
      <c r="B652" s="9">
        <v>20151231</v>
      </c>
      <c r="C652" s="12">
        <f>_xll.FDS("SPX","FG_PRICE(12/30/2015)")</f>
        <v>2063.36</v>
      </c>
      <c r="D652" s="12">
        <f>_xll.FDS("SPX","FG_PRICE(12/30/2017)")</f>
        <v>2673.61</v>
      </c>
      <c r="E652" s="15">
        <f>D652/C652-1</f>
        <v>0.2957554668114144</v>
      </c>
      <c r="F652" s="8" t="s">
        <v>5759</v>
      </c>
      <c r="G652" s="8" t="s">
        <v>5760</v>
      </c>
      <c r="H652" s="13">
        <f>_xll.FDS(G652,"FG_PRICE(12/30/2015)")</f>
        <v>18.649999999999999</v>
      </c>
      <c r="I652" s="13">
        <f>_xll.FDS(G652,"FG_PRICE(12/31/2017)")</f>
        <v>17.79</v>
      </c>
      <c r="J652" s="13">
        <f>I652/H652-1</f>
        <v>-4.6112600536193038E-2</v>
      </c>
      <c r="K652" s="13">
        <f>J652-E652</f>
        <v>-0.34186806734760744</v>
      </c>
      <c r="L652" s="13" t="e">
        <f>_xll.FDS(G652,"FF_ROE(ANN_R,12/30/2015)")</f>
        <v>#N/A</v>
      </c>
      <c r="M652" s="8" t="s">
        <v>5761</v>
      </c>
      <c r="N652" s="4" t="s">
        <v>6552</v>
      </c>
      <c r="O652" s="4" t="s">
        <v>6553</v>
      </c>
      <c r="P652" s="4" t="s">
        <v>106</v>
      </c>
      <c r="Q652" s="4" t="s">
        <v>63</v>
      </c>
      <c r="R652" s="4" t="s">
        <v>61</v>
      </c>
      <c r="S652" s="4" t="s">
        <v>62</v>
      </c>
      <c r="T652" s="6" t="e">
        <v>#N/A</v>
      </c>
      <c r="U652" s="5">
        <v>43</v>
      </c>
      <c r="V652" s="5">
        <v>39</v>
      </c>
      <c r="W652" s="5">
        <v>42</v>
      </c>
      <c r="X652" s="5">
        <v>50</v>
      </c>
      <c r="Y652" s="6">
        <v>2.92</v>
      </c>
      <c r="Z652" s="5">
        <v>14.94</v>
      </c>
      <c r="AA652" s="6">
        <v>1.62</v>
      </c>
      <c r="AB652" s="5">
        <v>48.38</v>
      </c>
      <c r="AC652" s="6">
        <v>0.4</v>
      </c>
      <c r="AD652" s="6">
        <v>0.3</v>
      </c>
      <c r="AE652" s="6">
        <v>0.3</v>
      </c>
      <c r="AF652" s="4" t="s">
        <v>6296</v>
      </c>
      <c r="AG652" s="4" t="s">
        <v>6296</v>
      </c>
      <c r="AH652" s="4" t="s">
        <v>6296</v>
      </c>
      <c r="AI652" s="4" t="s">
        <v>6296</v>
      </c>
      <c r="AJ652" s="4" t="s">
        <v>6296</v>
      </c>
      <c r="AK652" s="4" t="s">
        <v>6296</v>
      </c>
      <c r="AL652" s="4" t="s">
        <v>6296</v>
      </c>
      <c r="AM652" s="4" t="s">
        <v>6296</v>
      </c>
      <c r="AN652" s="4" t="s">
        <v>6296</v>
      </c>
      <c r="AO652" s="4" t="s">
        <v>6296</v>
      </c>
      <c r="AP652" s="4" t="s">
        <v>6554</v>
      </c>
      <c r="AQ652" s="4" t="s">
        <v>47</v>
      </c>
    </row>
    <row r="653" spans="1:43" ht="12.6" customHeight="1" x14ac:dyDescent="0.25">
      <c r="A653" s="8" t="s">
        <v>6179</v>
      </c>
      <c r="B653" s="9">
        <v>20151231</v>
      </c>
      <c r="C653" s="12">
        <f>_xll.FDS("SPX","FG_PRICE(12/30/2015)")</f>
        <v>2063.36</v>
      </c>
      <c r="D653" s="12">
        <f>_xll.FDS("SPX","FG_PRICE(12/30/2017)")</f>
        <v>2673.61</v>
      </c>
      <c r="E653" s="15">
        <f>D653/C653-1</f>
        <v>0.2957554668114144</v>
      </c>
      <c r="F653" s="8" t="s">
        <v>6180</v>
      </c>
      <c r="G653" s="8" t="s">
        <v>6181</v>
      </c>
      <c r="H653" s="13">
        <f>_xll.FDS(G653,"FG_PRICE(12/30/2015)")</f>
        <v>7.96</v>
      </c>
      <c r="I653" s="13">
        <f>_xll.FDS(G653,"FG_PRICE(12/31/2017)")</f>
        <v>7.79</v>
      </c>
      <c r="J653" s="13">
        <f>I653/H653-1</f>
        <v>-2.1356783919597944E-2</v>
      </c>
      <c r="K653" s="13">
        <f>J653-E653</f>
        <v>-0.31711225073101235</v>
      </c>
      <c r="L653" s="13">
        <f>_xll.FDS(G653,"FF_ROE(ANN_R,12/30/2015)")</f>
        <v>-16.999522555200372</v>
      </c>
      <c r="M653" s="8" t="s">
        <v>6182</v>
      </c>
      <c r="N653" s="4" t="s">
        <v>6183</v>
      </c>
      <c r="O653" s="4" t="s">
        <v>4494</v>
      </c>
      <c r="P653" s="4" t="s">
        <v>96</v>
      </c>
      <c r="Q653" s="4" t="s">
        <v>63</v>
      </c>
      <c r="R653" s="4" t="s">
        <v>61</v>
      </c>
      <c r="S653" s="4" t="s">
        <v>62</v>
      </c>
      <c r="T653" s="6" t="e">
        <v>#N/A</v>
      </c>
      <c r="U653" s="5">
        <v>42</v>
      </c>
      <c r="V653" s="5">
        <v>41</v>
      </c>
      <c r="W653" s="5">
        <v>46</v>
      </c>
      <c r="X653" s="5">
        <v>41</v>
      </c>
      <c r="Y653" s="6">
        <v>1.3</v>
      </c>
      <c r="Z653" s="5">
        <v>21.75</v>
      </c>
      <c r="AA653" s="6">
        <v>6.82</v>
      </c>
      <c r="AB653" s="5">
        <v>10.06</v>
      </c>
      <c r="AC653" s="6">
        <v>0.4</v>
      </c>
      <c r="AD653" s="6">
        <v>0.3</v>
      </c>
      <c r="AE653" s="6">
        <v>0.3</v>
      </c>
      <c r="AF653" s="4" t="s">
        <v>6296</v>
      </c>
      <c r="AG653" s="4" t="s">
        <v>6296</v>
      </c>
      <c r="AH653" s="4" t="s">
        <v>6296</v>
      </c>
      <c r="AI653" s="4" t="s">
        <v>6296</v>
      </c>
      <c r="AJ653" s="4" t="s">
        <v>6296</v>
      </c>
      <c r="AK653" s="4" t="s">
        <v>6296</v>
      </c>
      <c r="AL653" s="4" t="s">
        <v>6296</v>
      </c>
      <c r="AM653" s="4" t="s">
        <v>46</v>
      </c>
      <c r="AN653" s="4" t="s">
        <v>37</v>
      </c>
      <c r="AO653" s="4" t="s">
        <v>6296</v>
      </c>
      <c r="AP653" s="4" t="s">
        <v>6184</v>
      </c>
      <c r="AQ653" s="4" t="s">
        <v>47</v>
      </c>
    </row>
    <row r="654" spans="1:43" ht="12.6" customHeight="1" x14ac:dyDescent="0.25">
      <c r="A654" s="8" t="s">
        <v>4250</v>
      </c>
      <c r="B654" s="9">
        <v>20151231</v>
      </c>
      <c r="C654" s="12">
        <f>_xll.FDS("SPX","FG_PRICE(12/30/2015)")</f>
        <v>2063.36</v>
      </c>
      <c r="D654" s="12">
        <f>_xll.FDS("SPX","FG_PRICE(12/30/2017)")</f>
        <v>2673.61</v>
      </c>
      <c r="E654" s="15">
        <f>D654/C654-1</f>
        <v>0.2957554668114144</v>
      </c>
      <c r="F654" s="8" t="s">
        <v>4251</v>
      </c>
      <c r="G654" s="8" t="s">
        <v>4252</v>
      </c>
      <c r="H654" s="13">
        <f>_xll.FDS(G654,"FG_PRICE(12/30/2015)")</f>
        <v>81.752669999999995</v>
      </c>
      <c r="I654" s="13">
        <f>_xll.FDS(G654,"FG_PRICE(12/31/2017)")</f>
        <v>78.180000000000007</v>
      </c>
      <c r="J654" s="13">
        <f>I654/H654-1</f>
        <v>-4.3700958023756176E-2</v>
      </c>
      <c r="K654" s="13">
        <f>J654-E654</f>
        <v>-0.33945642483517058</v>
      </c>
      <c r="L654" s="13">
        <f>_xll.FDS(G654,"FF_ROE(ANN_R,12/30/2015)")</f>
        <v>5.6134645699713523</v>
      </c>
      <c r="M654" s="8" t="s">
        <v>4253</v>
      </c>
      <c r="N654" s="4" t="s">
        <v>4253</v>
      </c>
      <c r="O654" s="4" t="s">
        <v>4254</v>
      </c>
      <c r="P654" s="4" t="s">
        <v>96</v>
      </c>
      <c r="Q654" s="4" t="s">
        <v>63</v>
      </c>
      <c r="R654" s="4" t="s">
        <v>61</v>
      </c>
      <c r="S654" s="4" t="s">
        <v>62</v>
      </c>
      <c r="T654" s="6" t="e">
        <v>#N/A</v>
      </c>
      <c r="U654" s="5">
        <v>62</v>
      </c>
      <c r="V654" s="5">
        <v>75</v>
      </c>
      <c r="W654" s="5">
        <v>49</v>
      </c>
      <c r="X654" s="5">
        <v>58</v>
      </c>
      <c r="Y654" s="5">
        <v>78.25</v>
      </c>
      <c r="Z654" s="5">
        <v>88.31</v>
      </c>
      <c r="AA654" s="5">
        <v>15.26</v>
      </c>
      <c r="AB654" s="5">
        <v>72.08</v>
      </c>
      <c r="AC654" s="6">
        <v>0.4</v>
      </c>
      <c r="AD654" s="6">
        <v>0.3</v>
      </c>
      <c r="AE654" s="6">
        <v>0.3</v>
      </c>
      <c r="AF654" s="4" t="s">
        <v>6296</v>
      </c>
      <c r="AG654" s="4" t="s">
        <v>6296</v>
      </c>
      <c r="AH654" s="4" t="s">
        <v>6296</v>
      </c>
      <c r="AI654" s="4" t="s">
        <v>6296</v>
      </c>
      <c r="AJ654" s="4" t="s">
        <v>6296</v>
      </c>
      <c r="AK654" s="4" t="s">
        <v>6296</v>
      </c>
      <c r="AL654" s="4" t="s">
        <v>6296</v>
      </c>
      <c r="AM654" s="4" t="s">
        <v>6296</v>
      </c>
      <c r="AN654" s="4" t="s">
        <v>6296</v>
      </c>
      <c r="AO654" s="4" t="s">
        <v>6296</v>
      </c>
      <c r="AP654" s="4" t="s">
        <v>4255</v>
      </c>
      <c r="AQ654" s="4" t="s">
        <v>47</v>
      </c>
    </row>
    <row r="655" spans="1:43" ht="12.6" customHeight="1" x14ac:dyDescent="0.25">
      <c r="A655" s="8" t="s">
        <v>4205</v>
      </c>
      <c r="B655" s="9">
        <v>20151231</v>
      </c>
      <c r="C655" s="12">
        <f>_xll.FDS("SPX","FG_PRICE(12/30/2015)")</f>
        <v>2063.36</v>
      </c>
      <c r="D655" s="12">
        <f>_xll.FDS("SPX","FG_PRICE(12/30/2017)")</f>
        <v>2673.61</v>
      </c>
      <c r="E655" s="15">
        <f>D655/C655-1</f>
        <v>0.2957554668114144</v>
      </c>
      <c r="F655" s="8" t="s">
        <v>4206</v>
      </c>
      <c r="G655" s="8" t="s">
        <v>4207</v>
      </c>
      <c r="H655" s="13">
        <f>_xll.FDS(G655,"FG_PRICE(12/30/2015)")</f>
        <v>56.63</v>
      </c>
      <c r="I655" s="13">
        <f>_xll.FDS(G655,"FG_PRICE(12/31/2017)")</f>
        <v>60.01</v>
      </c>
      <c r="J655" s="13">
        <f>I655/H655-1</f>
        <v>5.9685678968744327E-2</v>
      </c>
      <c r="K655" s="13">
        <f>J655-E655</f>
        <v>-0.23606978784267008</v>
      </c>
      <c r="L655" s="13">
        <f>_xll.FDS(G655,"FF_ROE(ANN_R,12/30/2015)")</f>
        <v>5.2065687240369822</v>
      </c>
      <c r="M655" s="8" t="s">
        <v>4208</v>
      </c>
      <c r="N655" s="4" t="s">
        <v>4209</v>
      </c>
      <c r="O655" s="4" t="s">
        <v>4210</v>
      </c>
      <c r="P655" s="4" t="s">
        <v>96</v>
      </c>
      <c r="Q655" s="4" t="s">
        <v>63</v>
      </c>
      <c r="R655" s="4" t="s">
        <v>61</v>
      </c>
      <c r="S655" s="4" t="s">
        <v>62</v>
      </c>
      <c r="T655" s="6" t="e">
        <v>#N/A</v>
      </c>
      <c r="U655" s="5">
        <v>61</v>
      </c>
      <c r="V655" s="5">
        <v>59</v>
      </c>
      <c r="W655" s="5">
        <v>62</v>
      </c>
      <c r="X655" s="5">
        <v>64</v>
      </c>
      <c r="Y655" s="5">
        <v>74.680000000000007</v>
      </c>
      <c r="Z655" s="5">
        <v>69.81</v>
      </c>
      <c r="AA655" s="5">
        <v>72.73</v>
      </c>
      <c r="AB655" s="5">
        <v>84.74</v>
      </c>
      <c r="AC655" s="6">
        <v>0.4</v>
      </c>
      <c r="AD655" s="6">
        <v>0.3</v>
      </c>
      <c r="AE655" s="6">
        <v>0.3</v>
      </c>
      <c r="AF655" s="4" t="s">
        <v>6296</v>
      </c>
      <c r="AG655" s="4" t="s">
        <v>6296</v>
      </c>
      <c r="AH655" s="4" t="s">
        <v>6296</v>
      </c>
      <c r="AI655" s="4" t="s">
        <v>6296</v>
      </c>
      <c r="AJ655" s="4" t="s">
        <v>6296</v>
      </c>
      <c r="AK655" s="4" t="s">
        <v>6296</v>
      </c>
      <c r="AL655" s="4" t="s">
        <v>6296</v>
      </c>
      <c r="AM655" s="4" t="s">
        <v>6296</v>
      </c>
      <c r="AN655" s="4" t="s">
        <v>6296</v>
      </c>
      <c r="AO655" s="4" t="s">
        <v>6296</v>
      </c>
      <c r="AP655" s="4" t="s">
        <v>4211</v>
      </c>
      <c r="AQ655" s="4" t="s">
        <v>47</v>
      </c>
    </row>
    <row r="656" spans="1:43" ht="12.6" customHeight="1" x14ac:dyDescent="0.25">
      <c r="A656" s="8" t="s">
        <v>6192</v>
      </c>
      <c r="B656" s="9">
        <v>20151231</v>
      </c>
      <c r="C656" s="12">
        <f>_xll.FDS("SPX","FG_PRICE(12/30/2015)")</f>
        <v>2063.36</v>
      </c>
      <c r="D656" s="12">
        <f>_xll.FDS("SPX","FG_PRICE(12/30/2017)")</f>
        <v>2673.61</v>
      </c>
      <c r="E656" s="15">
        <f>D656/C656-1</f>
        <v>0.2957554668114144</v>
      </c>
      <c r="F656" s="8" t="s">
        <v>6193</v>
      </c>
      <c r="G656" s="8" t="s">
        <v>6194</v>
      </c>
      <c r="H656" s="13">
        <f>_xll.FDS(G656,"FG_PRICE(12/30/2015)")</f>
        <v>68.319999999999993</v>
      </c>
      <c r="I656" s="13">
        <f>_xll.FDS(G656,"FG_PRICE(12/31/2017)")</f>
        <v>63.77</v>
      </c>
      <c r="J656" s="13">
        <f>I656/H656-1</f>
        <v>-6.6598360655737543E-2</v>
      </c>
      <c r="K656" s="13">
        <f>J656-E656</f>
        <v>-0.36235382746715195</v>
      </c>
      <c r="L656" s="13">
        <f>_xll.FDS(G656,"FF_ROE(ANN_R,12/30/2015)")</f>
        <v>2.9110275929761911</v>
      </c>
      <c r="M656" s="8" t="s">
        <v>6195</v>
      </c>
      <c r="N656" s="4" t="s">
        <v>6196</v>
      </c>
      <c r="O656" s="4" t="s">
        <v>6197</v>
      </c>
      <c r="P656" s="4" t="s">
        <v>96</v>
      </c>
      <c r="Q656" s="4" t="s">
        <v>63</v>
      </c>
      <c r="R656" s="4" t="s">
        <v>61</v>
      </c>
      <c r="S656" s="4" t="s">
        <v>62</v>
      </c>
      <c r="T656" s="6" t="e">
        <v>#N/A</v>
      </c>
      <c r="U656" s="5">
        <v>60</v>
      </c>
      <c r="V656" s="5">
        <v>58</v>
      </c>
      <c r="W656" s="5">
        <v>59</v>
      </c>
      <c r="X656" s="5">
        <v>62</v>
      </c>
      <c r="Y656" s="5">
        <v>73.05</v>
      </c>
      <c r="Z656" s="5">
        <v>68.83</v>
      </c>
      <c r="AA656" s="5">
        <v>61.69</v>
      </c>
      <c r="AB656" s="5">
        <v>79.87</v>
      </c>
      <c r="AC656" s="6">
        <v>0.4</v>
      </c>
      <c r="AD656" s="6">
        <v>0.3</v>
      </c>
      <c r="AE656" s="6">
        <v>0.3</v>
      </c>
      <c r="AF656" s="4" t="s">
        <v>6296</v>
      </c>
      <c r="AG656" s="4" t="s">
        <v>6296</v>
      </c>
      <c r="AH656" s="4" t="s">
        <v>6296</v>
      </c>
      <c r="AI656" s="4" t="s">
        <v>6296</v>
      </c>
      <c r="AJ656" s="4" t="s">
        <v>6296</v>
      </c>
      <c r="AK656" s="4" t="s">
        <v>6296</v>
      </c>
      <c r="AL656" s="4" t="s">
        <v>6296</v>
      </c>
      <c r="AM656" s="4" t="s">
        <v>6296</v>
      </c>
      <c r="AN656" s="4" t="s">
        <v>6296</v>
      </c>
      <c r="AO656" s="4" t="s">
        <v>6296</v>
      </c>
      <c r="AP656" s="4" t="s">
        <v>6198</v>
      </c>
      <c r="AQ656" s="4" t="s">
        <v>47</v>
      </c>
    </row>
    <row r="657" spans="1:43" ht="12.6" customHeight="1" x14ac:dyDescent="0.25">
      <c r="A657" s="8" t="s">
        <v>5544</v>
      </c>
      <c r="B657" s="9">
        <v>20151231</v>
      </c>
      <c r="C657" s="12">
        <f>_xll.FDS("SPX","FG_PRICE(12/30/2015)")</f>
        <v>2063.36</v>
      </c>
      <c r="D657" s="12">
        <f>_xll.FDS("SPX","FG_PRICE(12/30/2017)")</f>
        <v>2673.61</v>
      </c>
      <c r="E657" s="15">
        <f>D657/C657-1</f>
        <v>0.2957554668114144</v>
      </c>
      <c r="F657" s="8" t="s">
        <v>5545</v>
      </c>
      <c r="G657" s="8" t="s">
        <v>5546</v>
      </c>
      <c r="H657" s="13">
        <f>_xll.FDS(G657,"FG_PRICE(12/30/2015)")</f>
        <v>59.62</v>
      </c>
      <c r="I657" s="13">
        <f>_xll.FDS(G657,"FG_PRICE(12/31/2017)")</f>
        <v>68.900000000000006</v>
      </c>
      <c r="J657" s="13">
        <f>I657/H657-1</f>
        <v>0.15565246561556534</v>
      </c>
      <c r="K657" s="13">
        <f>J657-E657</f>
        <v>-0.14010300119584906</v>
      </c>
      <c r="L657" s="13">
        <f>_xll.FDS(G657,"FF_ROE(ANN_R,12/30/2015)")</f>
        <v>7.2116370755665837</v>
      </c>
      <c r="M657" s="8" t="s">
        <v>5547</v>
      </c>
      <c r="N657" s="4" t="s">
        <v>5547</v>
      </c>
      <c r="O657" s="4" t="s">
        <v>5548</v>
      </c>
      <c r="P657" s="4" t="s">
        <v>96</v>
      </c>
      <c r="Q657" s="4" t="s">
        <v>63</v>
      </c>
      <c r="R657" s="4" t="s">
        <v>61</v>
      </c>
      <c r="S657" s="4" t="s">
        <v>62</v>
      </c>
      <c r="T657" s="6" t="e">
        <v>#N/A</v>
      </c>
      <c r="U657" s="5">
        <v>49</v>
      </c>
      <c r="V657" s="5">
        <v>38</v>
      </c>
      <c r="W657" s="5">
        <v>60</v>
      </c>
      <c r="X657" s="5">
        <v>53</v>
      </c>
      <c r="Y657" s="5">
        <v>38.64</v>
      </c>
      <c r="Z657" s="6">
        <v>0.65</v>
      </c>
      <c r="AA657" s="5">
        <v>63.96</v>
      </c>
      <c r="AB657" s="5">
        <v>58.77</v>
      </c>
      <c r="AC657" s="6">
        <v>0.4</v>
      </c>
      <c r="AD657" s="6">
        <v>0.3</v>
      </c>
      <c r="AE657" s="6">
        <v>0.3</v>
      </c>
      <c r="AF657" s="4" t="s">
        <v>6296</v>
      </c>
      <c r="AG657" s="4" t="s">
        <v>6296</v>
      </c>
      <c r="AH657" s="4" t="s">
        <v>6296</v>
      </c>
      <c r="AI657" s="4" t="s">
        <v>6296</v>
      </c>
      <c r="AJ657" s="4" t="s">
        <v>6296</v>
      </c>
      <c r="AK657" s="4" t="s">
        <v>6296</v>
      </c>
      <c r="AL657" s="4" t="s">
        <v>6296</v>
      </c>
      <c r="AM657" s="4" t="s">
        <v>6296</v>
      </c>
      <c r="AN657" s="4" t="s">
        <v>6296</v>
      </c>
      <c r="AO657" s="4" t="s">
        <v>6296</v>
      </c>
      <c r="AP657" s="4" t="s">
        <v>5549</v>
      </c>
      <c r="AQ657" s="4" t="s">
        <v>47</v>
      </c>
    </row>
    <row r="658" spans="1:43" ht="12.6" customHeight="1" x14ac:dyDescent="0.25">
      <c r="A658" s="8" t="s">
        <v>6548</v>
      </c>
      <c r="B658" s="9">
        <v>20151231</v>
      </c>
      <c r="C658" s="12">
        <f>_xll.FDS("SPX","FG_PRICE(12/30/2015)")</f>
        <v>2063.36</v>
      </c>
      <c r="D658" s="12">
        <f>_xll.FDS("SPX","FG_PRICE(12/30/2017)")</f>
        <v>2673.61</v>
      </c>
      <c r="E658" s="15">
        <f>D658/C658-1</f>
        <v>0.2957554668114144</v>
      </c>
      <c r="F658" s="8" t="s">
        <v>5749</v>
      </c>
      <c r="G658" s="8" t="s">
        <v>5750</v>
      </c>
      <c r="H658" s="13">
        <f>_xll.FDS(G658,"FG_PRICE(12/30/2015)")</f>
        <v>10.63</v>
      </c>
      <c r="I658" s="13">
        <f>_xll.FDS(G658,"FG_PRICE(12/31/2017)")</f>
        <v>7.12</v>
      </c>
      <c r="J658" s="13">
        <f>I658/H658-1</f>
        <v>-0.33019755409219198</v>
      </c>
      <c r="K658" s="13">
        <f>J658-E658</f>
        <v>-0.62595302090360638</v>
      </c>
      <c r="L658" s="13">
        <f>_xll.FDS(G658,"FF_ROE(ANN_R,12/30/2015)")</f>
        <v>12.723240760106419</v>
      </c>
      <c r="M658" s="8" t="s">
        <v>5751</v>
      </c>
      <c r="N658" s="4" t="s">
        <v>6549</v>
      </c>
      <c r="O658" s="4" t="s">
        <v>5752</v>
      </c>
      <c r="P658" s="4" t="s">
        <v>96</v>
      </c>
      <c r="Q658" s="4" t="s">
        <v>63</v>
      </c>
      <c r="R658" s="4" t="s">
        <v>61</v>
      </c>
      <c r="S658" s="4" t="s">
        <v>62</v>
      </c>
      <c r="T658" s="6" t="e">
        <v>#N/A</v>
      </c>
      <c r="U658" s="5">
        <v>48</v>
      </c>
      <c r="V658" s="5">
        <v>38</v>
      </c>
      <c r="W658" s="5">
        <v>60</v>
      </c>
      <c r="X658" s="5">
        <v>49</v>
      </c>
      <c r="Y658" s="5">
        <v>33.119999999999997</v>
      </c>
      <c r="Z658" s="6">
        <v>0.65</v>
      </c>
      <c r="AA658" s="5">
        <v>63.96</v>
      </c>
      <c r="AB658" s="5">
        <v>44.16</v>
      </c>
      <c r="AC658" s="6">
        <v>0.4</v>
      </c>
      <c r="AD658" s="6">
        <v>0.3</v>
      </c>
      <c r="AE658" s="6">
        <v>0.3</v>
      </c>
      <c r="AF658" s="4" t="s">
        <v>6296</v>
      </c>
      <c r="AG658" s="4" t="s">
        <v>6296</v>
      </c>
      <c r="AH658" s="4" t="s">
        <v>6296</v>
      </c>
      <c r="AI658" s="4" t="s">
        <v>6296</v>
      </c>
      <c r="AJ658" s="4" t="s">
        <v>6296</v>
      </c>
      <c r="AK658" s="4" t="s">
        <v>6296</v>
      </c>
      <c r="AL658" s="4" t="s">
        <v>6296</v>
      </c>
      <c r="AM658" s="4" t="s">
        <v>6296</v>
      </c>
      <c r="AN658" s="4" t="s">
        <v>6296</v>
      </c>
      <c r="AO658" s="4" t="s">
        <v>6296</v>
      </c>
      <c r="AP658" s="4" t="s">
        <v>6550</v>
      </c>
      <c r="AQ658" s="4" t="s">
        <v>47</v>
      </c>
    </row>
    <row r="659" spans="1:43" ht="12.6" customHeight="1" x14ac:dyDescent="0.25">
      <c r="A659" s="8" t="s">
        <v>4301</v>
      </c>
      <c r="B659" s="9">
        <v>20151231</v>
      </c>
      <c r="C659" s="12">
        <f>_xll.FDS("SPX","FG_PRICE(12/30/2015)")</f>
        <v>2063.36</v>
      </c>
      <c r="D659" s="12">
        <f>_xll.FDS("SPX","FG_PRICE(12/30/2017)")</f>
        <v>2673.61</v>
      </c>
      <c r="E659" s="15">
        <f>D659/C659-1</f>
        <v>0.2957554668114144</v>
      </c>
      <c r="F659" s="8" t="s">
        <v>4302</v>
      </c>
      <c r="G659" s="8" t="s">
        <v>4303</v>
      </c>
      <c r="H659" s="13">
        <f>_xll.FDS(G659,"FG_PRICE(12/30/2015)")</f>
        <v>34.89</v>
      </c>
      <c r="I659" s="13">
        <f>_xll.FDS(G659,"FG_PRICE(12/31/2017)")</f>
        <v>32.869999999999997</v>
      </c>
      <c r="J659" s="13">
        <f>I659/H659-1</f>
        <v>-5.7896245342505148E-2</v>
      </c>
      <c r="K659" s="13">
        <f>J659-E659</f>
        <v>-0.35365171215391955</v>
      </c>
      <c r="L659" s="13">
        <f>_xll.FDS(G659,"FF_ROE(ANN_R,12/30/2015)")</f>
        <v>6.7572338940147612</v>
      </c>
      <c r="M659" s="8" t="s">
        <v>4304</v>
      </c>
      <c r="N659" s="4" t="s">
        <v>4304</v>
      </c>
      <c r="O659" s="4" t="s">
        <v>4305</v>
      </c>
      <c r="P659" s="4" t="s">
        <v>96</v>
      </c>
      <c r="Q659" s="4" t="s">
        <v>63</v>
      </c>
      <c r="R659" s="4" t="s">
        <v>61</v>
      </c>
      <c r="S659" s="4" t="s">
        <v>62</v>
      </c>
      <c r="T659" s="6" t="e">
        <v>#N/A</v>
      </c>
      <c r="U659" s="5">
        <v>48</v>
      </c>
      <c r="V659" s="5">
        <v>41</v>
      </c>
      <c r="W659" s="5">
        <v>60</v>
      </c>
      <c r="X659" s="5">
        <v>48</v>
      </c>
      <c r="Y659" s="5">
        <v>33.119999999999997</v>
      </c>
      <c r="Z659" s="5">
        <v>21.75</v>
      </c>
      <c r="AA659" s="5">
        <v>63.96</v>
      </c>
      <c r="AB659" s="5">
        <v>37.01</v>
      </c>
      <c r="AC659" s="6">
        <v>0.4</v>
      </c>
      <c r="AD659" s="6">
        <v>0.3</v>
      </c>
      <c r="AE659" s="6">
        <v>0.3</v>
      </c>
      <c r="AF659" s="4" t="s">
        <v>6296</v>
      </c>
      <c r="AG659" s="4" t="s">
        <v>6296</v>
      </c>
      <c r="AH659" s="4" t="s">
        <v>6296</v>
      </c>
      <c r="AI659" s="4" t="s">
        <v>6296</v>
      </c>
      <c r="AJ659" s="4" t="s">
        <v>6296</v>
      </c>
      <c r="AK659" s="4" t="s">
        <v>6296</v>
      </c>
      <c r="AL659" s="4" t="s">
        <v>6296</v>
      </c>
      <c r="AM659" s="4" t="s">
        <v>6296</v>
      </c>
      <c r="AN659" s="4" t="s">
        <v>6296</v>
      </c>
      <c r="AO659" s="4" t="s">
        <v>6296</v>
      </c>
      <c r="AP659" s="4" t="s">
        <v>4306</v>
      </c>
      <c r="AQ659" s="4" t="s">
        <v>47</v>
      </c>
    </row>
    <row r="660" spans="1:43" ht="12.6" customHeight="1" x14ac:dyDescent="0.25">
      <c r="A660" s="8" t="s">
        <v>3978</v>
      </c>
      <c r="B660" s="9">
        <v>20151231</v>
      </c>
      <c r="C660" s="12">
        <f>_xll.FDS("SPX","FG_PRICE(12/30/2015)")</f>
        <v>2063.36</v>
      </c>
      <c r="D660" s="12">
        <f>_xll.FDS("SPX","FG_PRICE(12/30/2017)")</f>
        <v>2673.61</v>
      </c>
      <c r="E660" s="15">
        <f>D660/C660-1</f>
        <v>0.2957554668114144</v>
      </c>
      <c r="F660" s="8" t="s">
        <v>3979</v>
      </c>
      <c r="G660" s="8" t="s">
        <v>3980</v>
      </c>
      <c r="H660" s="13">
        <f>_xll.FDS(G660,"FG_PRICE(12/30/2015)")</f>
        <v>104.28</v>
      </c>
      <c r="I660" s="13">
        <f>_xll.FDS(G660,"FG_PRICE(12/31/2017)")</f>
        <v>114.34</v>
      </c>
      <c r="J660" s="13">
        <f>I660/H660-1</f>
        <v>9.6471039509014256E-2</v>
      </c>
      <c r="K660" s="13">
        <f>J660-E660</f>
        <v>-0.19928442730240015</v>
      </c>
      <c r="L660" s="13">
        <f>_xll.FDS(G660,"FF_ROE(ANN_R,12/30/2015)")</f>
        <v>19.917770671539522</v>
      </c>
      <c r="M660" s="8" t="s">
        <v>3981</v>
      </c>
      <c r="N660" s="4" t="s">
        <v>3982</v>
      </c>
      <c r="O660" s="4" t="s">
        <v>3983</v>
      </c>
      <c r="P660" s="4" t="s">
        <v>96</v>
      </c>
      <c r="Q660" s="4" t="s">
        <v>79</v>
      </c>
      <c r="R660" s="4" t="s">
        <v>61</v>
      </c>
      <c r="S660" s="4" t="s">
        <v>62</v>
      </c>
      <c r="T660" s="6" t="e">
        <v>#N/A</v>
      </c>
      <c r="U660" s="5">
        <v>61</v>
      </c>
      <c r="V660" s="5">
        <v>45</v>
      </c>
      <c r="W660" s="5">
        <v>64</v>
      </c>
      <c r="X660" s="5">
        <v>79</v>
      </c>
      <c r="Y660" s="5">
        <v>49.28</v>
      </c>
      <c r="Z660" s="5">
        <v>14.49</v>
      </c>
      <c r="AA660" s="5">
        <v>55.07</v>
      </c>
      <c r="AB660" s="5">
        <v>86.96</v>
      </c>
      <c r="AC660" s="6">
        <v>0.35</v>
      </c>
      <c r="AD660" s="6">
        <v>0.4</v>
      </c>
      <c r="AE660" s="6">
        <v>0.25</v>
      </c>
      <c r="AF660" s="4" t="s">
        <v>46</v>
      </c>
      <c r="AG660" s="4" t="s">
        <v>6296</v>
      </c>
      <c r="AH660" s="4" t="s">
        <v>6296</v>
      </c>
      <c r="AI660" s="4" t="s">
        <v>37</v>
      </c>
      <c r="AJ660" s="4" t="s">
        <v>6296</v>
      </c>
      <c r="AK660" s="4" t="s">
        <v>42</v>
      </c>
      <c r="AL660" s="4" t="s">
        <v>6296</v>
      </c>
      <c r="AM660" s="4" t="s">
        <v>42</v>
      </c>
      <c r="AN660" s="4" t="s">
        <v>42</v>
      </c>
      <c r="AO660" s="4" t="s">
        <v>6296</v>
      </c>
      <c r="AP660" s="4" t="s">
        <v>3984</v>
      </c>
      <c r="AQ660" s="4" t="s">
        <v>47</v>
      </c>
    </row>
    <row r="661" spans="1:43" ht="12.6" customHeight="1" x14ac:dyDescent="0.25">
      <c r="A661" s="8" t="s">
        <v>5339</v>
      </c>
      <c r="B661" s="9">
        <v>20151231</v>
      </c>
      <c r="C661" s="12">
        <f>_xll.FDS("SPX","FG_PRICE(12/30/2015)")</f>
        <v>2063.36</v>
      </c>
      <c r="D661" s="12">
        <f>_xll.FDS("SPX","FG_PRICE(12/30/2017)")</f>
        <v>2673.61</v>
      </c>
      <c r="E661" s="15">
        <f>D661/C661-1</f>
        <v>0.2957554668114144</v>
      </c>
      <c r="F661" s="8" t="s">
        <v>5340</v>
      </c>
      <c r="G661" s="8" t="s">
        <v>5341</v>
      </c>
      <c r="H661" s="13">
        <f>_xll.FDS(G661,"FG_PRICE(12/30/2015)")</f>
        <v>39.81</v>
      </c>
      <c r="I661" s="13">
        <f>_xll.FDS(G661,"FG_PRICE(12/31/2017)")</f>
        <v>51.22</v>
      </c>
      <c r="J661" s="13">
        <f>I661/H661-1</f>
        <v>0.28661140416980646</v>
      </c>
      <c r="K661" s="13">
        <f>J661-E661</f>
        <v>-9.1440626416079418E-3</v>
      </c>
      <c r="L661" s="13">
        <f>_xll.FDS(G661,"FF_ROE(ANN_R,12/30/2015)")</f>
        <v>4.8679516565010914</v>
      </c>
      <c r="M661" s="8" t="s">
        <v>5342</v>
      </c>
      <c r="N661" s="4" t="s">
        <v>5342</v>
      </c>
      <c r="O661" s="4" t="s">
        <v>5343</v>
      </c>
      <c r="P661" s="4" t="s">
        <v>96</v>
      </c>
      <c r="Q661" s="4" t="s">
        <v>79</v>
      </c>
      <c r="R661" s="4" t="s">
        <v>61</v>
      </c>
      <c r="S661" s="4" t="s">
        <v>62</v>
      </c>
      <c r="T661" s="6" t="e">
        <v>#N/A</v>
      </c>
      <c r="U661" s="5">
        <v>58</v>
      </c>
      <c r="V661" s="5">
        <v>48</v>
      </c>
      <c r="W661" s="5">
        <v>60</v>
      </c>
      <c r="X661" s="5">
        <v>68</v>
      </c>
      <c r="Y661" s="5">
        <v>31.88</v>
      </c>
      <c r="Z661" s="5">
        <v>21.74</v>
      </c>
      <c r="AA661" s="5">
        <v>40.58</v>
      </c>
      <c r="AB661" s="5">
        <v>47.83</v>
      </c>
      <c r="AC661" s="6">
        <v>0.35</v>
      </c>
      <c r="AD661" s="6">
        <v>0.4</v>
      </c>
      <c r="AE661" s="6">
        <v>0.25</v>
      </c>
      <c r="AF661" s="4" t="s">
        <v>42</v>
      </c>
      <c r="AG661" s="4" t="s">
        <v>6296</v>
      </c>
      <c r="AH661" s="4" t="s">
        <v>6296</v>
      </c>
      <c r="AI661" s="4" t="s">
        <v>42</v>
      </c>
      <c r="AJ661" s="4" t="s">
        <v>42</v>
      </c>
      <c r="AK661" s="4" t="s">
        <v>6296</v>
      </c>
      <c r="AL661" s="4" t="s">
        <v>6296</v>
      </c>
      <c r="AM661" s="4" t="s">
        <v>42</v>
      </c>
      <c r="AN661" s="4" t="s">
        <v>6296</v>
      </c>
      <c r="AO661" s="4" t="s">
        <v>6296</v>
      </c>
      <c r="AP661" s="4" t="s">
        <v>5344</v>
      </c>
      <c r="AQ661" s="4" t="s">
        <v>47</v>
      </c>
    </row>
    <row r="662" spans="1:43" ht="12.6" customHeight="1" x14ac:dyDescent="0.25">
      <c r="A662" s="8" t="s">
        <v>5099</v>
      </c>
      <c r="B662" s="9">
        <v>20151231</v>
      </c>
      <c r="C662" s="12">
        <f>_xll.FDS("SPX","FG_PRICE(12/30/2015)")</f>
        <v>2063.36</v>
      </c>
      <c r="D662" s="12">
        <f>_xll.FDS("SPX","FG_PRICE(12/30/2017)")</f>
        <v>2673.61</v>
      </c>
      <c r="E662" s="15">
        <f>D662/C662-1</f>
        <v>0.2957554668114144</v>
      </c>
      <c r="F662" s="8" t="s">
        <v>5100</v>
      </c>
      <c r="G662" s="8" t="s">
        <v>5101</v>
      </c>
      <c r="H662" s="13">
        <f>_xll.FDS(G662,"FG_PRICE(12/30/2015)")</f>
        <v>14.54</v>
      </c>
      <c r="I662" s="13">
        <f>_xll.FDS(G662,"FG_PRICE(12/31/2017)")</f>
        <v>18.07</v>
      </c>
      <c r="J662" s="13">
        <f>I662/H662-1</f>
        <v>0.24277854195323245</v>
      </c>
      <c r="K662" s="13">
        <f>J662-E662</f>
        <v>-5.2976924858181951E-2</v>
      </c>
      <c r="L662" s="13">
        <f>_xll.FDS(G662,"FF_ROE(ANN_R,12/30/2015)")</f>
        <v>4.3036740231931994</v>
      </c>
      <c r="M662" s="8" t="s">
        <v>5102</v>
      </c>
      <c r="N662" s="4" t="s">
        <v>5103</v>
      </c>
      <c r="O662" s="4" t="s">
        <v>5104</v>
      </c>
      <c r="P662" s="4" t="s">
        <v>96</v>
      </c>
      <c r="Q662" s="4" t="s">
        <v>79</v>
      </c>
      <c r="R662" s="4" t="s">
        <v>61</v>
      </c>
      <c r="S662" s="4" t="s">
        <v>62</v>
      </c>
      <c r="T662" s="6" t="e">
        <v>#N/A</v>
      </c>
      <c r="U662" s="5">
        <v>60</v>
      </c>
      <c r="V662" s="5">
        <v>43</v>
      </c>
      <c r="W662" s="5">
        <v>69</v>
      </c>
      <c r="X662" s="5">
        <v>70</v>
      </c>
      <c r="Y662" s="5">
        <v>44.93</v>
      </c>
      <c r="Z662" s="6">
        <v>7.25</v>
      </c>
      <c r="AA662" s="5">
        <v>72.459999999999994</v>
      </c>
      <c r="AB662" s="5">
        <v>62.32</v>
      </c>
      <c r="AC662" s="6">
        <v>0.35</v>
      </c>
      <c r="AD662" s="6">
        <v>0.4</v>
      </c>
      <c r="AE662" s="6">
        <v>0.25</v>
      </c>
      <c r="AF662" s="4" t="s">
        <v>37</v>
      </c>
      <c r="AG662" s="4" t="s">
        <v>6296</v>
      </c>
      <c r="AH662" s="4" t="s">
        <v>6296</v>
      </c>
      <c r="AI662" s="4" t="s">
        <v>42</v>
      </c>
      <c r="AJ662" s="4" t="s">
        <v>6296</v>
      </c>
      <c r="AK662" s="4" t="s">
        <v>6296</v>
      </c>
      <c r="AL662" s="4" t="s">
        <v>37</v>
      </c>
      <c r="AM662" s="4" t="s">
        <v>6296</v>
      </c>
      <c r="AN662" s="4" t="s">
        <v>42</v>
      </c>
      <c r="AO662" s="4" t="s">
        <v>6296</v>
      </c>
      <c r="AP662" s="4" t="s">
        <v>5105</v>
      </c>
      <c r="AQ662" s="4" t="s">
        <v>47</v>
      </c>
    </row>
    <row r="663" spans="1:43" ht="12.6" customHeight="1" x14ac:dyDescent="0.25">
      <c r="A663" s="8" t="s">
        <v>2977</v>
      </c>
      <c r="B663" s="9">
        <v>20151231</v>
      </c>
      <c r="C663" s="12">
        <f>_xll.FDS("SPX","FG_PRICE(12/30/2015)")</f>
        <v>2063.36</v>
      </c>
      <c r="D663" s="12">
        <f>_xll.FDS("SPX","FG_PRICE(12/30/2017)")</f>
        <v>2673.61</v>
      </c>
      <c r="E663" s="15">
        <f>D663/C663-1</f>
        <v>0.2957554668114144</v>
      </c>
      <c r="F663" s="8" t="s">
        <v>2978</v>
      </c>
      <c r="G663" s="8" t="s">
        <v>2979</v>
      </c>
      <c r="H663" s="13">
        <f>_xll.FDS(G663,"FG_PRICE(12/30/2015)")</f>
        <v>36.43</v>
      </c>
      <c r="I663" s="13">
        <f>_xll.FDS(G663,"FG_PRICE(12/31/2017)")</f>
        <v>53.84</v>
      </c>
      <c r="J663" s="13">
        <f>I663/H663-1</f>
        <v>0.47790282734010447</v>
      </c>
      <c r="K663" s="13">
        <f>J663-E663</f>
        <v>0.18214736052869007</v>
      </c>
      <c r="L663" s="13">
        <f>_xll.FDS(G663,"FF_ROE(ANN_R,12/30/2015)")</f>
        <v>-7067.8103837471808</v>
      </c>
      <c r="M663" s="8" t="s">
        <v>2980</v>
      </c>
      <c r="N663" s="4" t="s">
        <v>2981</v>
      </c>
      <c r="O663" s="4" t="s">
        <v>2982</v>
      </c>
      <c r="P663" s="4" t="s">
        <v>145</v>
      </c>
      <c r="Q663" s="4" t="s">
        <v>79</v>
      </c>
      <c r="R663" s="4" t="s">
        <v>61</v>
      </c>
      <c r="S663" s="4" t="s">
        <v>62</v>
      </c>
      <c r="T663" s="6" t="e">
        <v>#N/A</v>
      </c>
      <c r="U663" s="5">
        <v>55</v>
      </c>
      <c r="V663" s="5">
        <v>45</v>
      </c>
      <c r="W663" s="5">
        <v>56</v>
      </c>
      <c r="X663" s="5">
        <v>64</v>
      </c>
      <c r="Y663" s="5">
        <v>15.94</v>
      </c>
      <c r="Z663" s="5">
        <v>14.49</v>
      </c>
      <c r="AA663" s="5">
        <v>24.64</v>
      </c>
      <c r="AB663" s="5">
        <v>28.99</v>
      </c>
      <c r="AC663" s="6">
        <v>0.35</v>
      </c>
      <c r="AD663" s="6">
        <v>0.4</v>
      </c>
      <c r="AE663" s="6">
        <v>0.25</v>
      </c>
      <c r="AF663" s="4" t="s">
        <v>6296</v>
      </c>
      <c r="AG663" s="4" t="s">
        <v>6296</v>
      </c>
      <c r="AH663" s="4" t="s">
        <v>6296</v>
      </c>
      <c r="AI663" s="4" t="s">
        <v>6296</v>
      </c>
      <c r="AJ663" s="4" t="s">
        <v>6296</v>
      </c>
      <c r="AK663" s="4" t="s">
        <v>6296</v>
      </c>
      <c r="AL663" s="4" t="s">
        <v>6296</v>
      </c>
      <c r="AM663" s="4" t="s">
        <v>6296</v>
      </c>
      <c r="AN663" s="4" t="s">
        <v>42</v>
      </c>
      <c r="AO663" s="4" t="s">
        <v>6296</v>
      </c>
      <c r="AP663" s="4" t="s">
        <v>2983</v>
      </c>
      <c r="AQ663" s="4" t="s">
        <v>47</v>
      </c>
    </row>
    <row r="664" spans="1:43" ht="12.6" customHeight="1" x14ac:dyDescent="0.25">
      <c r="A664" s="8" t="s">
        <v>5058</v>
      </c>
      <c r="B664" s="9">
        <v>20151231</v>
      </c>
      <c r="C664" s="12">
        <f>_xll.FDS("SPX","FG_PRICE(12/30/2015)")</f>
        <v>2063.36</v>
      </c>
      <c r="D664" s="12">
        <f>_xll.FDS("SPX","FG_PRICE(12/30/2017)")</f>
        <v>2673.61</v>
      </c>
      <c r="E664" s="15">
        <f>D664/C664-1</f>
        <v>0.2957554668114144</v>
      </c>
      <c r="F664" s="8" t="s">
        <v>5059</v>
      </c>
      <c r="G664" s="8" t="s">
        <v>5060</v>
      </c>
      <c r="H664" s="13">
        <f>_xll.FDS(G664,"FG_PRICE(12/30/2015)")</f>
        <v>52.3</v>
      </c>
      <c r="I664" s="13">
        <f>_xll.FDS(G664,"FG_PRICE(12/31/2017)")</f>
        <v>65.98</v>
      </c>
      <c r="J664" s="13">
        <f>I664/H664-1</f>
        <v>0.26156787762906331</v>
      </c>
      <c r="K664" s="13">
        <f>J664-E664</f>
        <v>-3.4187589182351097E-2</v>
      </c>
      <c r="L664" s="13">
        <f>_xll.FDS(G664,"FF_ROE(ANN_R,12/30/2015)")</f>
        <v>23.25688708412164</v>
      </c>
      <c r="M664" s="8" t="s">
        <v>5061</v>
      </c>
      <c r="N664" s="4" t="s">
        <v>5061</v>
      </c>
      <c r="O664" s="4" t="s">
        <v>5062</v>
      </c>
      <c r="P664" s="4" t="s">
        <v>96</v>
      </c>
      <c r="Q664" s="4" t="s">
        <v>79</v>
      </c>
      <c r="R664" s="4" t="s">
        <v>61</v>
      </c>
      <c r="S664" s="4" t="s">
        <v>62</v>
      </c>
      <c r="T664" s="6" t="e">
        <v>#N/A</v>
      </c>
      <c r="U664" s="5">
        <v>62</v>
      </c>
      <c r="V664" s="5">
        <v>54</v>
      </c>
      <c r="W664" s="5">
        <v>65</v>
      </c>
      <c r="X664" s="5">
        <v>69</v>
      </c>
      <c r="Y664" s="5">
        <v>52.17</v>
      </c>
      <c r="Z664" s="5">
        <v>43.48</v>
      </c>
      <c r="AA664" s="5">
        <v>59.42</v>
      </c>
      <c r="AB664" s="5">
        <v>55.07</v>
      </c>
      <c r="AC664" s="6">
        <v>0.35</v>
      </c>
      <c r="AD664" s="6">
        <v>0.4</v>
      </c>
      <c r="AE664" s="6">
        <v>0.25</v>
      </c>
      <c r="AF664" s="4" t="s">
        <v>37</v>
      </c>
      <c r="AG664" s="4" t="s">
        <v>6296</v>
      </c>
      <c r="AH664" s="4" t="s">
        <v>6296</v>
      </c>
      <c r="AI664" s="4" t="s">
        <v>42</v>
      </c>
      <c r="AJ664" s="4" t="s">
        <v>6296</v>
      </c>
      <c r="AK664" s="4" t="s">
        <v>42</v>
      </c>
      <c r="AL664" s="4" t="s">
        <v>6296</v>
      </c>
      <c r="AM664" s="4" t="s">
        <v>6296</v>
      </c>
      <c r="AN664" s="4" t="s">
        <v>6296</v>
      </c>
      <c r="AO664" s="4" t="s">
        <v>6296</v>
      </c>
      <c r="AP664" s="4" t="s">
        <v>5063</v>
      </c>
      <c r="AQ664" s="4" t="s">
        <v>47</v>
      </c>
    </row>
    <row r="665" spans="1:43" ht="12.6" customHeight="1" x14ac:dyDescent="0.25">
      <c r="A665" s="8" t="s">
        <v>753</v>
      </c>
      <c r="B665" s="9">
        <v>20151231</v>
      </c>
      <c r="C665" s="12">
        <f>_xll.FDS("SPX","FG_PRICE(12/30/2015)")</f>
        <v>2063.36</v>
      </c>
      <c r="D665" s="12">
        <f>_xll.FDS("SPX","FG_PRICE(12/30/2017)")</f>
        <v>2673.61</v>
      </c>
      <c r="E665" s="15">
        <f>D665/C665-1</f>
        <v>0.2957554668114144</v>
      </c>
      <c r="F665" s="8" t="s">
        <v>754</v>
      </c>
      <c r="G665" s="8" t="s">
        <v>755</v>
      </c>
      <c r="H665" s="13">
        <f>_xll.FDS(G665,"FG_PRICE(12/30/2015)")</f>
        <v>23.44</v>
      </c>
      <c r="I665" s="13">
        <f>_xll.FDS(G665,"FG_PRICE(12/31/2017)")</f>
        <v>53.45</v>
      </c>
      <c r="J665" s="13">
        <f>I665/H665-1</f>
        <v>1.2802901023890785</v>
      </c>
      <c r="K665" s="13">
        <f>J665-E665</f>
        <v>0.98453463557766407</v>
      </c>
      <c r="L665" s="13">
        <f>_xll.FDS(G665,"FF_ROE(ANN_R,12/30/2015)")</f>
        <v>21.823734473369321</v>
      </c>
      <c r="M665" s="8" t="s">
        <v>756</v>
      </c>
      <c r="N665" s="4" t="s">
        <v>757</v>
      </c>
      <c r="O665" s="4" t="s">
        <v>758</v>
      </c>
      <c r="P665" s="4" t="s">
        <v>96</v>
      </c>
      <c r="Q665" s="4" t="s">
        <v>79</v>
      </c>
      <c r="R665" s="4" t="s">
        <v>61</v>
      </c>
      <c r="S665" s="4" t="s">
        <v>62</v>
      </c>
      <c r="T665" s="6" t="e">
        <v>#N/A</v>
      </c>
      <c r="U665" s="5">
        <v>65</v>
      </c>
      <c r="V665" s="5">
        <v>54</v>
      </c>
      <c r="W665" s="5">
        <v>67</v>
      </c>
      <c r="X665" s="5">
        <v>78</v>
      </c>
      <c r="Y665" s="5">
        <v>66.67</v>
      </c>
      <c r="Z665" s="5">
        <v>43.48</v>
      </c>
      <c r="AA665" s="5">
        <v>65.22</v>
      </c>
      <c r="AB665" s="5">
        <v>84.06</v>
      </c>
      <c r="AC665" s="6">
        <v>0.35</v>
      </c>
      <c r="AD665" s="6">
        <v>0.4</v>
      </c>
      <c r="AE665" s="6">
        <v>0.25</v>
      </c>
      <c r="AF665" s="4" t="s">
        <v>6296</v>
      </c>
      <c r="AG665" s="4" t="s">
        <v>6296</v>
      </c>
      <c r="AH665" s="4" t="s">
        <v>6296</v>
      </c>
      <c r="AI665" s="4" t="s">
        <v>6296</v>
      </c>
      <c r="AJ665" s="4" t="s">
        <v>6296</v>
      </c>
      <c r="AK665" s="4" t="s">
        <v>42</v>
      </c>
      <c r="AL665" s="4" t="s">
        <v>42</v>
      </c>
      <c r="AM665" s="4" t="s">
        <v>6296</v>
      </c>
      <c r="AN665" s="4" t="s">
        <v>6296</v>
      </c>
      <c r="AO665" s="4" t="s">
        <v>6296</v>
      </c>
      <c r="AP665" s="4" t="s">
        <v>759</v>
      </c>
      <c r="AQ665" s="4" t="s">
        <v>47</v>
      </c>
    </row>
    <row r="666" spans="1:43" ht="12.6" customHeight="1" x14ac:dyDescent="0.25">
      <c r="A666" s="8" t="s">
        <v>6542</v>
      </c>
      <c r="B666" s="9">
        <v>20151231</v>
      </c>
      <c r="C666" s="12">
        <f>_xll.FDS("SPX","FG_PRICE(12/30/2015)")</f>
        <v>2063.36</v>
      </c>
      <c r="D666" s="12">
        <f>_xll.FDS("SPX","FG_PRICE(12/30/2017)")</f>
        <v>2673.61</v>
      </c>
      <c r="E666" s="15">
        <f>D666/C666-1</f>
        <v>0.2957554668114144</v>
      </c>
      <c r="F666" s="8" t="s">
        <v>6543</v>
      </c>
      <c r="G666" s="8" t="s">
        <v>6544</v>
      </c>
      <c r="H666" s="13">
        <f>_xll.FDS(G666,"FG_PRICE(12/30/2015)")</f>
        <v>3.3</v>
      </c>
      <c r="I666" s="13" t="e">
        <f>_xll.FDS(G666,"FG_PRICE(12/31/2017)")</f>
        <v>#N/A</v>
      </c>
      <c r="J666" s="13" t="e">
        <f>I666/H666-1</f>
        <v>#N/A</v>
      </c>
      <c r="K666" s="13" t="e">
        <f>J666-E666</f>
        <v>#N/A</v>
      </c>
      <c r="L666" s="13">
        <f>_xll.FDS(G666,"FF_ROE(ANN_R,12/30/2015)")</f>
        <v>-24.84386216798277</v>
      </c>
      <c r="M666" s="8" t="s">
        <v>6545</v>
      </c>
      <c r="N666" s="4" t="s">
        <v>6234</v>
      </c>
      <c r="O666" s="4" t="s">
        <v>6546</v>
      </c>
      <c r="P666" s="4" t="s">
        <v>145</v>
      </c>
      <c r="Q666" s="4" t="s">
        <v>79</v>
      </c>
      <c r="R666" s="4" t="s">
        <v>61</v>
      </c>
      <c r="S666" s="4" t="s">
        <v>62</v>
      </c>
      <c r="T666" s="6" t="e">
        <v>#N/A</v>
      </c>
      <c r="U666" s="5">
        <v>72</v>
      </c>
      <c r="V666" s="5">
        <v>59</v>
      </c>
      <c r="W666" s="5">
        <v>76</v>
      </c>
      <c r="X666" s="5">
        <v>84</v>
      </c>
      <c r="Y666" s="5">
        <v>92.75</v>
      </c>
      <c r="Z666" s="5">
        <v>63.77</v>
      </c>
      <c r="AA666" s="5">
        <v>85.51</v>
      </c>
      <c r="AB666" s="5">
        <v>91.3</v>
      </c>
      <c r="AC666" s="6">
        <v>0.35</v>
      </c>
      <c r="AD666" s="6">
        <v>0.4</v>
      </c>
      <c r="AE666" s="6">
        <v>0.25</v>
      </c>
      <c r="AF666" s="4" t="s">
        <v>6296</v>
      </c>
      <c r="AG666" s="4" t="s">
        <v>6296</v>
      </c>
      <c r="AH666" s="4" t="s">
        <v>6296</v>
      </c>
      <c r="AI666" s="4" t="s">
        <v>6296</v>
      </c>
      <c r="AJ666" s="4" t="s">
        <v>6296</v>
      </c>
      <c r="AK666" s="4" t="s">
        <v>6296</v>
      </c>
      <c r="AL666" s="4" t="s">
        <v>6296</v>
      </c>
      <c r="AM666" s="4" t="s">
        <v>6296</v>
      </c>
      <c r="AN666" s="4" t="s">
        <v>42</v>
      </c>
      <c r="AO666" s="4" t="s">
        <v>6296</v>
      </c>
      <c r="AP666" s="4" t="s">
        <v>6547</v>
      </c>
      <c r="AQ666" s="4" t="s">
        <v>47</v>
      </c>
    </row>
    <row r="667" spans="1:43" ht="12.6" customHeight="1" x14ac:dyDescent="0.25">
      <c r="A667" s="8" t="s">
        <v>5465</v>
      </c>
      <c r="B667" s="9">
        <v>20151231</v>
      </c>
      <c r="C667" s="12">
        <f>_xll.FDS("SPX","FG_PRICE(12/30/2015)")</f>
        <v>2063.36</v>
      </c>
      <c r="D667" s="12">
        <f>_xll.FDS("SPX","FG_PRICE(12/30/2017)")</f>
        <v>2673.61</v>
      </c>
      <c r="E667" s="15">
        <f>D667/C667-1</f>
        <v>0.2957554668114144</v>
      </c>
      <c r="F667" s="8" t="s">
        <v>5466</v>
      </c>
      <c r="G667" s="8" t="s">
        <v>5467</v>
      </c>
      <c r="H667" s="13">
        <f>_xll.FDS(G667,"FG_PRICE(12/30/2015)")</f>
        <v>82.01</v>
      </c>
      <c r="I667" s="13">
        <f>_xll.FDS(G667,"FG_PRICE(12/31/2017)")</f>
        <v>101.15</v>
      </c>
      <c r="J667" s="13">
        <f>I667/H667-1</f>
        <v>0.23338617241799775</v>
      </c>
      <c r="K667" s="13">
        <f>J667-E667</f>
        <v>-6.2369294393416652E-2</v>
      </c>
      <c r="L667" s="13">
        <f>_xll.FDS(G667,"FF_ROE(ANN_R,12/30/2015)")</f>
        <v>18.598989435002299</v>
      </c>
      <c r="M667" s="8" t="s">
        <v>5468</v>
      </c>
      <c r="N667" s="4" t="s">
        <v>5468</v>
      </c>
      <c r="O667" s="4" t="s">
        <v>5469</v>
      </c>
      <c r="P667" s="4" t="s">
        <v>96</v>
      </c>
      <c r="Q667" s="4" t="s">
        <v>79</v>
      </c>
      <c r="R667" s="4" t="s">
        <v>61</v>
      </c>
      <c r="S667" s="4" t="s">
        <v>62</v>
      </c>
      <c r="T667" s="6" t="e">
        <v>#N/A</v>
      </c>
      <c r="U667" s="5">
        <v>52</v>
      </c>
      <c r="V667" s="5">
        <v>35</v>
      </c>
      <c r="W667" s="5">
        <v>58</v>
      </c>
      <c r="X667" s="5">
        <v>66</v>
      </c>
      <c r="Y667" s="6">
        <v>5.8</v>
      </c>
      <c r="Z667" s="6">
        <v>0</v>
      </c>
      <c r="AA667" s="5">
        <v>30.43</v>
      </c>
      <c r="AB667" s="5">
        <v>40.58</v>
      </c>
      <c r="AC667" s="6">
        <v>0.35</v>
      </c>
      <c r="AD667" s="6">
        <v>0.4</v>
      </c>
      <c r="AE667" s="6">
        <v>0.25</v>
      </c>
      <c r="AF667" s="4" t="s">
        <v>46</v>
      </c>
      <c r="AG667" s="4" t="s">
        <v>6296</v>
      </c>
      <c r="AH667" s="4" t="s">
        <v>6296</v>
      </c>
      <c r="AI667" s="4" t="s">
        <v>42</v>
      </c>
      <c r="AJ667" s="4" t="s">
        <v>42</v>
      </c>
      <c r="AK667" s="4" t="s">
        <v>42</v>
      </c>
      <c r="AL667" s="4" t="s">
        <v>6296</v>
      </c>
      <c r="AM667" s="4" t="s">
        <v>42</v>
      </c>
      <c r="AN667" s="4" t="s">
        <v>6296</v>
      </c>
      <c r="AO667" s="4" t="s">
        <v>6296</v>
      </c>
      <c r="AP667" s="4" t="s">
        <v>5470</v>
      </c>
      <c r="AQ667" s="4" t="s">
        <v>47</v>
      </c>
    </row>
    <row r="668" spans="1:43" ht="12.6" customHeight="1" x14ac:dyDescent="0.25">
      <c r="A668" s="8" t="s">
        <v>4856</v>
      </c>
      <c r="B668" s="9">
        <v>20151231</v>
      </c>
      <c r="C668" s="12">
        <f>_xll.FDS("SPX","FG_PRICE(12/30/2015)")</f>
        <v>2063.36</v>
      </c>
      <c r="D668" s="12">
        <f>_xll.FDS("SPX","FG_PRICE(12/30/2017)")</f>
        <v>2673.61</v>
      </c>
      <c r="E668" s="15">
        <f>D668/C668-1</f>
        <v>0.2957554668114144</v>
      </c>
      <c r="F668" s="8" t="s">
        <v>4857</v>
      </c>
      <c r="G668" s="8" t="s">
        <v>4858</v>
      </c>
      <c r="H668" s="13">
        <f>_xll.FDS(G668,"FG_PRICE(12/30/2015)")</f>
        <v>23.73</v>
      </c>
      <c r="I668" s="13" t="e">
        <f>_xll.FDS(G668,"FG_PRICE(12/31/2017)")</f>
        <v>#N/A</v>
      </c>
      <c r="J668" s="13" t="e">
        <f>I668/H668-1</f>
        <v>#N/A</v>
      </c>
      <c r="K668" s="13" t="e">
        <f>J668-E668</f>
        <v>#N/A</v>
      </c>
      <c r="L668" s="13">
        <f>_xll.FDS(G668,"FF_ROE(ANN_R,12/30/2015)")</f>
        <v>12.60337798485731</v>
      </c>
      <c r="M668" s="8" t="s">
        <v>4859</v>
      </c>
      <c r="N668" s="4" t="s">
        <v>4860</v>
      </c>
      <c r="O668" s="4" t="s">
        <v>47</v>
      </c>
      <c r="P668" s="4" t="s">
        <v>96</v>
      </c>
      <c r="Q668" s="4" t="s">
        <v>79</v>
      </c>
      <c r="R668" s="4" t="s">
        <v>61</v>
      </c>
      <c r="S668" s="4" t="s">
        <v>62</v>
      </c>
      <c r="T668" s="6" t="e">
        <v>#N/A</v>
      </c>
      <c r="U668" s="5">
        <v>70</v>
      </c>
      <c r="V668" s="5">
        <v>68</v>
      </c>
      <c r="W668" s="5">
        <v>74</v>
      </c>
      <c r="X668" s="5">
        <v>67</v>
      </c>
      <c r="Y668" s="5">
        <v>85.51</v>
      </c>
      <c r="Z668" s="5">
        <v>92.75</v>
      </c>
      <c r="AA668" s="5">
        <v>84.06</v>
      </c>
      <c r="AB668" s="5">
        <v>44.93</v>
      </c>
      <c r="AC668" s="6">
        <v>0.35</v>
      </c>
      <c r="AD668" s="6">
        <v>0.4</v>
      </c>
      <c r="AE668" s="6">
        <v>0.25</v>
      </c>
      <c r="AF668" s="4" t="s">
        <v>42</v>
      </c>
      <c r="AG668" s="4" t="s">
        <v>6296</v>
      </c>
      <c r="AH668" s="4" t="s">
        <v>6296</v>
      </c>
      <c r="AI668" s="4" t="s">
        <v>37</v>
      </c>
      <c r="AJ668" s="4" t="s">
        <v>6296</v>
      </c>
      <c r="AK668" s="4" t="s">
        <v>6296</v>
      </c>
      <c r="AL668" s="4" t="s">
        <v>42</v>
      </c>
      <c r="AM668" s="4" t="s">
        <v>6296</v>
      </c>
      <c r="AN668" s="4" t="s">
        <v>6296</v>
      </c>
      <c r="AO668" s="4" t="s">
        <v>6296</v>
      </c>
      <c r="AP668" s="4" t="s">
        <v>4861</v>
      </c>
      <c r="AQ668" s="4" t="s">
        <v>47</v>
      </c>
    </row>
    <row r="669" spans="1:43" ht="12.6" customHeight="1" x14ac:dyDescent="0.25">
      <c r="A669" s="8" t="s">
        <v>314</v>
      </c>
      <c r="B669" s="9">
        <v>20151231</v>
      </c>
      <c r="C669" s="12">
        <f>_xll.FDS("SPX","FG_PRICE(12/30/2015)")</f>
        <v>2063.36</v>
      </c>
      <c r="D669" s="12">
        <f>_xll.FDS("SPX","FG_PRICE(12/30/2017)")</f>
        <v>2673.61</v>
      </c>
      <c r="E669" s="15">
        <f>D669/C669-1</f>
        <v>0.2957554668114144</v>
      </c>
      <c r="F669" s="8" t="s">
        <v>315</v>
      </c>
      <c r="G669" s="8" t="s">
        <v>316</v>
      </c>
      <c r="H669" s="13">
        <f>_xll.FDS(G669,"FG_PRICE(12/30/2015)")</f>
        <v>71.58</v>
      </c>
      <c r="I669" s="13">
        <f>_xll.FDS(G669,"FG_PRICE(12/31/2017)")</f>
        <v>91.91</v>
      </c>
      <c r="J669" s="13">
        <f>I669/H669-1</f>
        <v>0.28401788208996925</v>
      </c>
      <c r="K669" s="13">
        <f>J669-E669</f>
        <v>-1.1737584721445149E-2</v>
      </c>
      <c r="L669" s="13">
        <f>_xll.FDS(G669,"FF_ROE(ANN_R,12/30/2015)")</f>
        <v>18.40695617510028</v>
      </c>
      <c r="M669" s="8" t="s">
        <v>317</v>
      </c>
      <c r="N669" s="4" t="s">
        <v>317</v>
      </c>
      <c r="O669" s="4" t="s">
        <v>318</v>
      </c>
      <c r="P669" s="4" t="s">
        <v>96</v>
      </c>
      <c r="Q669" s="4" t="s">
        <v>79</v>
      </c>
      <c r="R669" s="4" t="s">
        <v>61</v>
      </c>
      <c r="S669" s="4" t="s">
        <v>62</v>
      </c>
      <c r="T669" s="6" t="e">
        <v>#N/A</v>
      </c>
      <c r="U669" s="5">
        <v>58</v>
      </c>
      <c r="V669" s="5">
        <v>48</v>
      </c>
      <c r="W669" s="5">
        <v>63</v>
      </c>
      <c r="X669" s="5">
        <v>62</v>
      </c>
      <c r="Y669" s="5">
        <v>31.88</v>
      </c>
      <c r="Z669" s="5">
        <v>21.74</v>
      </c>
      <c r="AA669" s="5">
        <v>47.83</v>
      </c>
      <c r="AB669" s="5">
        <v>20.29</v>
      </c>
      <c r="AC669" s="6">
        <v>0.35</v>
      </c>
      <c r="AD669" s="6">
        <v>0.4</v>
      </c>
      <c r="AE669" s="6">
        <v>0.25</v>
      </c>
      <c r="AF669" s="4" t="s">
        <v>37</v>
      </c>
      <c r="AG669" s="4" t="s">
        <v>6296</v>
      </c>
      <c r="AH669" s="4" t="s">
        <v>6296</v>
      </c>
      <c r="AI669" s="4" t="s">
        <v>37</v>
      </c>
      <c r="AJ669" s="4" t="s">
        <v>42</v>
      </c>
      <c r="AK669" s="4" t="s">
        <v>42</v>
      </c>
      <c r="AL669" s="4" t="s">
        <v>6296</v>
      </c>
      <c r="AM669" s="4" t="s">
        <v>6296</v>
      </c>
      <c r="AN669" s="4" t="s">
        <v>6296</v>
      </c>
      <c r="AO669" s="4" t="s">
        <v>6296</v>
      </c>
      <c r="AP669" s="4" t="s">
        <v>319</v>
      </c>
      <c r="AQ669" s="4" t="s">
        <v>47</v>
      </c>
    </row>
    <row r="670" spans="1:43" ht="12.6" customHeight="1" x14ac:dyDescent="0.25">
      <c r="A670" s="8" t="s">
        <v>4388</v>
      </c>
      <c r="B670" s="9">
        <v>20151231</v>
      </c>
      <c r="C670" s="12">
        <f>_xll.FDS("SPX","FG_PRICE(12/30/2015)")</f>
        <v>2063.36</v>
      </c>
      <c r="D670" s="12">
        <f>_xll.FDS("SPX","FG_PRICE(12/30/2017)")</f>
        <v>2673.61</v>
      </c>
      <c r="E670" s="15">
        <f>D670/C670-1</f>
        <v>0.2957554668114144</v>
      </c>
      <c r="F670" s="8" t="s">
        <v>4389</v>
      </c>
      <c r="G670" s="8" t="s">
        <v>4390</v>
      </c>
      <c r="H670" s="13">
        <f>_xll.FDS(G670,"FG_PRICE(12/30/2015)")</f>
        <v>24.41</v>
      </c>
      <c r="I670" s="13">
        <f>_xll.FDS(G670,"FG_PRICE(12/31/2017)")</f>
        <v>30.49</v>
      </c>
      <c r="J670" s="13">
        <f>I670/H670-1</f>
        <v>0.24907824662023748</v>
      </c>
      <c r="K670" s="13">
        <f>J670-E670</f>
        <v>-4.6677220191176927E-2</v>
      </c>
      <c r="L670" s="13">
        <f>_xll.FDS(G670,"FF_ROE(ANN_R,12/30/2015)")</f>
        <v>30.877501649439189</v>
      </c>
      <c r="M670" s="8" t="s">
        <v>4391</v>
      </c>
      <c r="N670" s="4" t="s">
        <v>4392</v>
      </c>
      <c r="O670" s="4" t="s">
        <v>4393</v>
      </c>
      <c r="P670" s="4" t="s">
        <v>96</v>
      </c>
      <c r="Q670" s="4" t="s">
        <v>79</v>
      </c>
      <c r="R670" s="4" t="s">
        <v>61</v>
      </c>
      <c r="S670" s="4" t="s">
        <v>62</v>
      </c>
      <c r="T670" s="6" t="e">
        <v>#N/A</v>
      </c>
      <c r="U670" s="5">
        <v>55</v>
      </c>
      <c r="V670" s="5">
        <v>46</v>
      </c>
      <c r="W670" s="5">
        <v>55</v>
      </c>
      <c r="X670" s="5">
        <v>68</v>
      </c>
      <c r="Y670" s="5">
        <v>15.94</v>
      </c>
      <c r="Z670" s="5">
        <v>18.84</v>
      </c>
      <c r="AA670" s="5">
        <v>10.14</v>
      </c>
      <c r="AB670" s="5">
        <v>47.83</v>
      </c>
      <c r="AC670" s="6">
        <v>0.35</v>
      </c>
      <c r="AD670" s="6">
        <v>0.4</v>
      </c>
      <c r="AE670" s="6">
        <v>0.25</v>
      </c>
      <c r="AF670" s="4" t="s">
        <v>42</v>
      </c>
      <c r="AG670" s="4" t="s">
        <v>6296</v>
      </c>
      <c r="AH670" s="4" t="s">
        <v>6296</v>
      </c>
      <c r="AI670" s="4" t="s">
        <v>37</v>
      </c>
      <c r="AJ670" s="4" t="s">
        <v>6296</v>
      </c>
      <c r="AK670" s="4" t="s">
        <v>6296</v>
      </c>
      <c r="AL670" s="4" t="s">
        <v>37</v>
      </c>
      <c r="AM670" s="4" t="s">
        <v>6296</v>
      </c>
      <c r="AN670" s="4" t="s">
        <v>6296</v>
      </c>
      <c r="AO670" s="4" t="s">
        <v>6296</v>
      </c>
      <c r="AP670" s="4" t="s">
        <v>4394</v>
      </c>
      <c r="AQ670" s="4" t="s">
        <v>47</v>
      </c>
    </row>
    <row r="671" spans="1:43" ht="12.6" customHeight="1" x14ac:dyDescent="0.25">
      <c r="A671" s="8" t="s">
        <v>123</v>
      </c>
      <c r="B671" s="9">
        <v>20151231</v>
      </c>
      <c r="C671" s="12">
        <f>_xll.FDS("SPX","FG_PRICE(12/30/2015)")</f>
        <v>2063.36</v>
      </c>
      <c r="D671" s="12">
        <f>_xll.FDS("SPX","FG_PRICE(12/30/2017)")</f>
        <v>2673.61</v>
      </c>
      <c r="E671" s="15">
        <f>D671/C671-1</f>
        <v>0.2957554668114144</v>
      </c>
      <c r="F671" s="8" t="s">
        <v>124</v>
      </c>
      <c r="G671" s="8" t="s">
        <v>125</v>
      </c>
      <c r="H671" s="13">
        <f>_xll.FDS(G671,"FG_PRICE(12/30/2015)")</f>
        <v>22.55</v>
      </c>
      <c r="I671" s="13">
        <f>_xll.FDS(G671,"FG_PRICE(12/31/2017)")</f>
        <v>39.85</v>
      </c>
      <c r="J671" s="13">
        <f>I671/H671-1</f>
        <v>0.76718403547671832</v>
      </c>
      <c r="K671" s="13">
        <f>J671-E671</f>
        <v>0.47142856866530392</v>
      </c>
      <c r="L671" s="13">
        <f>_xll.FDS(G671,"FF_ROE(ANN_R,12/30/2015)")</f>
        <v>6.6201421291618656</v>
      </c>
      <c r="M671" s="8" t="s">
        <v>126</v>
      </c>
      <c r="N671" s="4" t="s">
        <v>127</v>
      </c>
      <c r="O671" s="4" t="s">
        <v>128</v>
      </c>
      <c r="P671" s="4" t="s">
        <v>96</v>
      </c>
      <c r="Q671" s="4" t="s">
        <v>83</v>
      </c>
      <c r="R671" s="4" t="s">
        <v>61</v>
      </c>
      <c r="S671" s="4" t="s">
        <v>62</v>
      </c>
      <c r="T671" s="6" t="e">
        <v>#N/A</v>
      </c>
      <c r="U671" s="5">
        <v>47</v>
      </c>
      <c r="V671" s="5">
        <v>34</v>
      </c>
      <c r="W671" s="5">
        <v>50</v>
      </c>
      <c r="X671" s="5">
        <v>60</v>
      </c>
      <c r="Y671" s="5">
        <v>18.09</v>
      </c>
      <c r="Z671" s="6">
        <v>0</v>
      </c>
      <c r="AA671" s="5">
        <v>30.85</v>
      </c>
      <c r="AB671" s="5">
        <v>31.91</v>
      </c>
      <c r="AC671" s="6">
        <v>0.35</v>
      </c>
      <c r="AD671" s="6">
        <v>0.4</v>
      </c>
      <c r="AE671" s="6">
        <v>0.25</v>
      </c>
      <c r="AF671" s="4" t="s">
        <v>6296</v>
      </c>
      <c r="AG671" s="4" t="s">
        <v>6296</v>
      </c>
      <c r="AH671" s="4" t="s">
        <v>6296</v>
      </c>
      <c r="AI671" s="4" t="s">
        <v>42</v>
      </c>
      <c r="AJ671" s="4" t="s">
        <v>6296</v>
      </c>
      <c r="AK671" s="4" t="s">
        <v>37</v>
      </c>
      <c r="AL671" s="4" t="s">
        <v>6296</v>
      </c>
      <c r="AM671" s="4" t="s">
        <v>6296</v>
      </c>
      <c r="AN671" s="4" t="s">
        <v>6296</v>
      </c>
      <c r="AO671" s="4" t="s">
        <v>6296</v>
      </c>
      <c r="AP671" s="4" t="s">
        <v>129</v>
      </c>
      <c r="AQ671" s="4" t="s">
        <v>47</v>
      </c>
    </row>
    <row r="672" spans="1:43" ht="12.6" customHeight="1" x14ac:dyDescent="0.25">
      <c r="A672" s="8" t="s">
        <v>3713</v>
      </c>
      <c r="B672" s="9">
        <v>20151231</v>
      </c>
      <c r="C672" s="12">
        <f>_xll.FDS("SPX","FG_PRICE(12/30/2015)")</f>
        <v>2063.36</v>
      </c>
      <c r="D672" s="12">
        <f>_xll.FDS("SPX","FG_PRICE(12/30/2017)")</f>
        <v>2673.61</v>
      </c>
      <c r="E672" s="15">
        <f>D672/C672-1</f>
        <v>0.2957554668114144</v>
      </c>
      <c r="F672" s="8" t="s">
        <v>3714</v>
      </c>
      <c r="G672" s="8" t="s">
        <v>3715</v>
      </c>
      <c r="H672" s="13">
        <f>_xll.FDS(G672,"FG_PRICE(12/30/2015)")</f>
        <v>151.4</v>
      </c>
      <c r="I672" s="13">
        <f>_xll.FDS(G672,"FG_PRICE(12/31/2017)")</f>
        <v>99.69</v>
      </c>
      <c r="J672" s="13">
        <f>I672/H672-1</f>
        <v>-0.34154557463672397</v>
      </c>
      <c r="K672" s="13">
        <f>J672-E672</f>
        <v>-0.63730104144813837</v>
      </c>
      <c r="L672" s="13">
        <f>_xll.FDS(G672,"FF_ROE(ANN_R,12/30/2015)")</f>
        <v>27.976904433697431</v>
      </c>
      <c r="M672" s="8" t="s">
        <v>3716</v>
      </c>
      <c r="N672" s="4" t="s">
        <v>3717</v>
      </c>
      <c r="O672" s="4" t="s">
        <v>3718</v>
      </c>
      <c r="P672" s="4" t="s">
        <v>96</v>
      </c>
      <c r="Q672" s="4" t="s">
        <v>83</v>
      </c>
      <c r="R672" s="4" t="s">
        <v>61</v>
      </c>
      <c r="S672" s="4" t="s">
        <v>62</v>
      </c>
      <c r="T672" s="6" t="e">
        <v>#N/A</v>
      </c>
      <c r="U672" s="5">
        <v>50</v>
      </c>
      <c r="V672" s="5">
        <v>45</v>
      </c>
      <c r="W672" s="5">
        <v>46</v>
      </c>
      <c r="X672" s="5">
        <v>63</v>
      </c>
      <c r="Y672" s="5">
        <v>34.04</v>
      </c>
      <c r="Z672" s="5">
        <v>56.91</v>
      </c>
      <c r="AA672" s="6">
        <v>9.0399999999999991</v>
      </c>
      <c r="AB672" s="5">
        <v>41.49</v>
      </c>
      <c r="AC672" s="6">
        <v>0.35</v>
      </c>
      <c r="AD672" s="6">
        <v>0.4</v>
      </c>
      <c r="AE672" s="6">
        <v>0.25</v>
      </c>
      <c r="AF672" s="4" t="s">
        <v>6296</v>
      </c>
      <c r="AG672" s="4" t="s">
        <v>6296</v>
      </c>
      <c r="AH672" s="4" t="s">
        <v>6296</v>
      </c>
      <c r="AI672" s="4" t="s">
        <v>42</v>
      </c>
      <c r="AJ672" s="4" t="s">
        <v>6296</v>
      </c>
      <c r="AK672" s="4" t="s">
        <v>6296</v>
      </c>
      <c r="AL672" s="4" t="s">
        <v>6296</v>
      </c>
      <c r="AM672" s="4" t="s">
        <v>6296</v>
      </c>
      <c r="AN672" s="4" t="s">
        <v>6296</v>
      </c>
      <c r="AO672" s="4" t="s">
        <v>6296</v>
      </c>
      <c r="AP672" s="4" t="s">
        <v>3719</v>
      </c>
      <c r="AQ672" s="4" t="s">
        <v>47</v>
      </c>
    </row>
    <row r="673" spans="1:43" ht="12.6" customHeight="1" x14ac:dyDescent="0.25">
      <c r="A673" s="8" t="s">
        <v>387</v>
      </c>
      <c r="B673" s="9">
        <v>20151231</v>
      </c>
      <c r="C673" s="12">
        <f>_xll.FDS("SPX","FG_PRICE(12/30/2015)")</f>
        <v>2063.36</v>
      </c>
      <c r="D673" s="12">
        <f>_xll.FDS("SPX","FG_PRICE(12/30/2017)")</f>
        <v>2673.61</v>
      </c>
      <c r="E673" s="15">
        <f>D673/C673-1</f>
        <v>0.2957554668114144</v>
      </c>
      <c r="F673" s="8" t="s">
        <v>388</v>
      </c>
      <c r="G673" s="8" t="s">
        <v>389</v>
      </c>
      <c r="H673" s="13">
        <f>_xll.FDS(G673,"FG_PRICE(12/30/2015)")</f>
        <v>15.63</v>
      </c>
      <c r="I673" s="13">
        <f>_xll.FDS(G673,"FG_PRICE(12/31/2017)")</f>
        <v>18.8</v>
      </c>
      <c r="J673" s="13">
        <f>I673/H673-1</f>
        <v>0.20281509916826623</v>
      </c>
      <c r="K673" s="13">
        <f>J673-E673</f>
        <v>-9.294036764314817E-2</v>
      </c>
      <c r="L673" s="13">
        <f>_xll.FDS(G673,"FF_ROE(ANN_R,12/30/2015)")</f>
        <v>7.700774179894915</v>
      </c>
      <c r="M673" s="8" t="s">
        <v>390</v>
      </c>
      <c r="N673" s="4" t="s">
        <v>391</v>
      </c>
      <c r="O673" s="4" t="s">
        <v>392</v>
      </c>
      <c r="P673" s="4" t="s">
        <v>96</v>
      </c>
      <c r="Q673" s="4" t="s">
        <v>83</v>
      </c>
      <c r="R673" s="4" t="s">
        <v>61</v>
      </c>
      <c r="S673" s="4" t="s">
        <v>62</v>
      </c>
      <c r="T673" s="6" t="e">
        <v>#N/A</v>
      </c>
      <c r="U673" s="5">
        <v>53</v>
      </c>
      <c r="V673" s="5">
        <v>41</v>
      </c>
      <c r="W673" s="5">
        <v>57</v>
      </c>
      <c r="X673" s="5">
        <v>65</v>
      </c>
      <c r="Y673" s="5">
        <v>45.74</v>
      </c>
      <c r="Z673" s="5">
        <v>41.49</v>
      </c>
      <c r="AA673" s="5">
        <v>51.6</v>
      </c>
      <c r="AB673" s="5">
        <v>48.94</v>
      </c>
      <c r="AC673" s="6">
        <v>0.35</v>
      </c>
      <c r="AD673" s="6">
        <v>0.4</v>
      </c>
      <c r="AE673" s="6">
        <v>0.25</v>
      </c>
      <c r="AF673" s="4" t="s">
        <v>6296</v>
      </c>
      <c r="AG673" s="4" t="s">
        <v>6296</v>
      </c>
      <c r="AH673" s="4" t="s">
        <v>6296</v>
      </c>
      <c r="AI673" s="4" t="s">
        <v>6296</v>
      </c>
      <c r="AJ673" s="4" t="s">
        <v>37</v>
      </c>
      <c r="AK673" s="4" t="s">
        <v>42</v>
      </c>
      <c r="AL673" s="4" t="s">
        <v>6296</v>
      </c>
      <c r="AM673" s="4" t="s">
        <v>42</v>
      </c>
      <c r="AN673" s="4" t="s">
        <v>6296</v>
      </c>
      <c r="AO673" s="4" t="s">
        <v>6296</v>
      </c>
      <c r="AP673" s="4" t="s">
        <v>393</v>
      </c>
      <c r="AQ673" s="4" t="s">
        <v>47</v>
      </c>
    </row>
    <row r="674" spans="1:43" ht="12.6" customHeight="1" x14ac:dyDescent="0.25">
      <c r="A674" s="8" t="s">
        <v>100</v>
      </c>
      <c r="B674" s="9">
        <v>20151231</v>
      </c>
      <c r="C674" s="12">
        <f>_xll.FDS("SPX","FG_PRICE(12/30/2015)")</f>
        <v>2063.36</v>
      </c>
      <c r="D674" s="12">
        <f>_xll.FDS("SPX","FG_PRICE(12/30/2017)")</f>
        <v>2673.61</v>
      </c>
      <c r="E674" s="15">
        <f>D674/C674-1</f>
        <v>0.2957554668114144</v>
      </c>
      <c r="F674" s="8" t="s">
        <v>101</v>
      </c>
      <c r="G674" s="8" t="s">
        <v>102</v>
      </c>
      <c r="H674" s="13">
        <f>_xll.FDS(G674,"FG_PRICE(12/30/2015)")</f>
        <v>689.07</v>
      </c>
      <c r="I674" s="13">
        <f>_xll.FDS(G674,"FG_PRICE(12/31/2017)")</f>
        <v>1169.47</v>
      </c>
      <c r="J674" s="13">
        <f>I674/H674-1</f>
        <v>0.69717155006022602</v>
      </c>
      <c r="K674" s="13">
        <f>J674-E674</f>
        <v>0.40141608324881162</v>
      </c>
      <c r="L674" s="13">
        <f>_xll.FDS(G674,"FF_ROE(ANN_R,12/30/2015)")</f>
        <v>-2.352711475569873</v>
      </c>
      <c r="M674" s="8" t="s">
        <v>103</v>
      </c>
      <c r="N674" s="4" t="s">
        <v>104</v>
      </c>
      <c r="O674" s="4" t="s">
        <v>105</v>
      </c>
      <c r="P674" s="4" t="s">
        <v>106</v>
      </c>
      <c r="Q674" s="4" t="s">
        <v>83</v>
      </c>
      <c r="R674" s="4" t="s">
        <v>61</v>
      </c>
      <c r="S674" s="4" t="s">
        <v>62</v>
      </c>
      <c r="T674" s="6" t="e">
        <v>#N/A</v>
      </c>
      <c r="U674" s="5">
        <v>53</v>
      </c>
      <c r="V674" s="5">
        <v>47</v>
      </c>
      <c r="W674" s="5">
        <v>59</v>
      </c>
      <c r="X674" s="5">
        <v>50</v>
      </c>
      <c r="Y674" s="5">
        <v>45.74</v>
      </c>
      <c r="Z674" s="5">
        <v>62.23</v>
      </c>
      <c r="AA674" s="5">
        <v>57.98</v>
      </c>
      <c r="AB674" s="6">
        <v>5.85</v>
      </c>
      <c r="AC674" s="6">
        <v>0.35</v>
      </c>
      <c r="AD674" s="6">
        <v>0.4</v>
      </c>
      <c r="AE674" s="6">
        <v>0.25</v>
      </c>
      <c r="AF674" s="4" t="s">
        <v>42</v>
      </c>
      <c r="AG674" s="4" t="s">
        <v>6296</v>
      </c>
      <c r="AH674" s="4" t="s">
        <v>6296</v>
      </c>
      <c r="AI674" s="4" t="s">
        <v>37</v>
      </c>
      <c r="AJ674" s="4" t="s">
        <v>42</v>
      </c>
      <c r="AK674" s="4" t="s">
        <v>46</v>
      </c>
      <c r="AL674" s="4" t="s">
        <v>42</v>
      </c>
      <c r="AM674" s="4" t="s">
        <v>46</v>
      </c>
      <c r="AN674" s="4" t="s">
        <v>42</v>
      </c>
      <c r="AO674" s="4" t="s">
        <v>6296</v>
      </c>
      <c r="AP674" s="4" t="s">
        <v>107</v>
      </c>
      <c r="AQ674" s="4" t="s">
        <v>47</v>
      </c>
    </row>
    <row r="675" spans="1:43" ht="12.6" customHeight="1" x14ac:dyDescent="0.25">
      <c r="A675" s="8" t="s">
        <v>131</v>
      </c>
      <c r="B675" s="9">
        <v>20151231</v>
      </c>
      <c r="C675" s="12">
        <f>_xll.FDS("SPX","FG_PRICE(12/30/2015)")</f>
        <v>2063.36</v>
      </c>
      <c r="D675" s="12">
        <f>_xll.FDS("SPX","FG_PRICE(12/30/2017)")</f>
        <v>2673.61</v>
      </c>
      <c r="E675" s="15">
        <f>D675/C675-1</f>
        <v>0.2957554668114144</v>
      </c>
      <c r="F675" s="8" t="s">
        <v>132</v>
      </c>
      <c r="G675" s="8" t="s">
        <v>133</v>
      </c>
      <c r="H675" s="13">
        <f>_xll.FDS(G675,"FG_PRICE(12/30/2015)")</f>
        <v>27.46</v>
      </c>
      <c r="I675" s="13">
        <f>_xll.FDS(G675,"FG_PRICE(12/31/2017)")</f>
        <v>17.43</v>
      </c>
      <c r="J675" s="13">
        <f>I675/H675-1</f>
        <v>-0.36525855790240358</v>
      </c>
      <c r="K675" s="13">
        <f>J675-E675</f>
        <v>-0.66101402471381798</v>
      </c>
      <c r="L675" s="13">
        <f>_xll.FDS(G675,"FF_ROE(ANN_R,12/30/2015)")</f>
        <v>3.3227173430059169</v>
      </c>
      <c r="M675" s="8" t="s">
        <v>134</v>
      </c>
      <c r="N675" s="4" t="s">
        <v>135</v>
      </c>
      <c r="O675" s="4" t="s">
        <v>136</v>
      </c>
      <c r="P675" s="4" t="s">
        <v>96</v>
      </c>
      <c r="Q675" s="4" t="s">
        <v>83</v>
      </c>
      <c r="R675" s="4" t="s">
        <v>61</v>
      </c>
      <c r="S675" s="4" t="s">
        <v>62</v>
      </c>
      <c r="T675" s="6" t="e">
        <v>#N/A</v>
      </c>
      <c r="U675" s="5">
        <v>61</v>
      </c>
      <c r="V675" s="5">
        <v>52</v>
      </c>
      <c r="W675" s="5">
        <v>64</v>
      </c>
      <c r="X675" s="5">
        <v>69</v>
      </c>
      <c r="Y675" s="5">
        <v>69.680000000000007</v>
      </c>
      <c r="Z675" s="5">
        <v>69.680000000000007</v>
      </c>
      <c r="AA675" s="5">
        <v>65.959999999999994</v>
      </c>
      <c r="AB675" s="5">
        <v>64.89</v>
      </c>
      <c r="AC675" s="6">
        <v>0.35</v>
      </c>
      <c r="AD675" s="6">
        <v>0.4</v>
      </c>
      <c r="AE675" s="6">
        <v>0.25</v>
      </c>
      <c r="AF675" s="4" t="s">
        <v>6296</v>
      </c>
      <c r="AG675" s="4" t="s">
        <v>6296</v>
      </c>
      <c r="AH675" s="4" t="s">
        <v>6296</v>
      </c>
      <c r="AI675" s="4" t="s">
        <v>37</v>
      </c>
      <c r="AJ675" s="4" t="s">
        <v>37</v>
      </c>
      <c r="AK675" s="4" t="s">
        <v>42</v>
      </c>
      <c r="AL675" s="4" t="s">
        <v>6296</v>
      </c>
      <c r="AM675" s="4" t="s">
        <v>6296</v>
      </c>
      <c r="AN675" s="4" t="s">
        <v>42</v>
      </c>
      <c r="AO675" s="4" t="s">
        <v>6296</v>
      </c>
      <c r="AP675" s="4" t="s">
        <v>137</v>
      </c>
      <c r="AQ675" s="4" t="s">
        <v>47</v>
      </c>
    </row>
    <row r="676" spans="1:43" ht="12.6" customHeight="1" x14ac:dyDescent="0.25">
      <c r="A676" s="8" t="s">
        <v>3383</v>
      </c>
      <c r="B676" s="9">
        <v>20151231</v>
      </c>
      <c r="C676" s="12">
        <f>_xll.FDS("SPX","FG_PRICE(12/30/2015)")</f>
        <v>2063.36</v>
      </c>
      <c r="D676" s="12">
        <f>_xll.FDS("SPX","FG_PRICE(12/30/2017)")</f>
        <v>2673.61</v>
      </c>
      <c r="E676" s="15">
        <f>D676/C676-1</f>
        <v>0.2957554668114144</v>
      </c>
      <c r="F676" s="8" t="s">
        <v>3384</v>
      </c>
      <c r="G676" s="8" t="s">
        <v>3385</v>
      </c>
      <c r="H676" s="13">
        <f>_xll.FDS(G676,"FG_PRICE(12/30/2015)")</f>
        <v>60.28</v>
      </c>
      <c r="I676" s="13">
        <f>_xll.FDS(G676,"FG_PRICE(12/31/2017)")</f>
        <v>51.33</v>
      </c>
      <c r="J676" s="13">
        <f>I676/H676-1</f>
        <v>-0.14847378898473795</v>
      </c>
      <c r="K676" s="13">
        <f>J676-E676</f>
        <v>-0.44422925579615236</v>
      </c>
      <c r="L676" s="13">
        <f>_xll.FDS(G676,"FF_ROE(ANN_R,12/30/2015)")</f>
        <v>20.310610092408929</v>
      </c>
      <c r="M676" s="8" t="s">
        <v>3386</v>
      </c>
      <c r="N676" s="4" t="s">
        <v>3387</v>
      </c>
      <c r="O676" s="4" t="s">
        <v>3388</v>
      </c>
      <c r="P676" s="4" t="s">
        <v>96</v>
      </c>
      <c r="Q676" s="4" t="s">
        <v>83</v>
      </c>
      <c r="R676" s="4" t="s">
        <v>61</v>
      </c>
      <c r="S676" s="4" t="s">
        <v>62</v>
      </c>
      <c r="T676" s="6" t="e">
        <v>#N/A</v>
      </c>
      <c r="U676" s="5">
        <v>50</v>
      </c>
      <c r="V676" s="5">
        <v>41</v>
      </c>
      <c r="W676" s="5">
        <v>48</v>
      </c>
      <c r="X676" s="5">
        <v>64</v>
      </c>
      <c r="Y676" s="5">
        <v>34.04</v>
      </c>
      <c r="Z676" s="5">
        <v>41.49</v>
      </c>
      <c r="AA676" s="5">
        <v>14.89</v>
      </c>
      <c r="AB676" s="5">
        <v>43.09</v>
      </c>
      <c r="AC676" s="6">
        <v>0.35</v>
      </c>
      <c r="AD676" s="6">
        <v>0.4</v>
      </c>
      <c r="AE676" s="6">
        <v>0.25</v>
      </c>
      <c r="AF676" s="4" t="s">
        <v>6296</v>
      </c>
      <c r="AG676" s="4" t="s">
        <v>6296</v>
      </c>
      <c r="AH676" s="4" t="s">
        <v>6296</v>
      </c>
      <c r="AI676" s="4" t="s">
        <v>6296</v>
      </c>
      <c r="AJ676" s="4" t="s">
        <v>6296</v>
      </c>
      <c r="AK676" s="4" t="s">
        <v>42</v>
      </c>
      <c r="AL676" s="4" t="s">
        <v>6296</v>
      </c>
      <c r="AM676" s="4" t="s">
        <v>6296</v>
      </c>
      <c r="AN676" s="4" t="s">
        <v>6296</v>
      </c>
      <c r="AO676" s="4" t="s">
        <v>6296</v>
      </c>
      <c r="AP676" s="4" t="s">
        <v>3389</v>
      </c>
      <c r="AQ676" s="4" t="s">
        <v>47</v>
      </c>
    </row>
    <row r="677" spans="1:43" ht="12.6" customHeight="1" x14ac:dyDescent="0.25">
      <c r="A677" s="8" t="s">
        <v>3925</v>
      </c>
      <c r="B677" s="9">
        <v>20151231</v>
      </c>
      <c r="C677" s="12">
        <f>_xll.FDS("SPX","FG_PRICE(12/30/2015)")</f>
        <v>2063.36</v>
      </c>
      <c r="D677" s="12">
        <f>_xll.FDS("SPX","FG_PRICE(12/30/2017)")</f>
        <v>2673.61</v>
      </c>
      <c r="E677" s="15">
        <f>D677/C677-1</f>
        <v>0.2957554668114144</v>
      </c>
      <c r="F677" s="8" t="s">
        <v>3926</v>
      </c>
      <c r="G677" s="8" t="s">
        <v>3927</v>
      </c>
      <c r="H677" s="13">
        <f>_xll.FDS(G677,"FG_PRICE(12/30/2015)")</f>
        <v>0.27</v>
      </c>
      <c r="I677" s="13">
        <f>_xll.FDS(G677,"FG_PRICE(12/31/2017)")</f>
        <v>5.8079999999999998E-3</v>
      </c>
      <c r="J677" s="13">
        <f>I677/H677-1</f>
        <v>-0.97848888888888885</v>
      </c>
      <c r="K677" s="13">
        <f>J677-E677</f>
        <v>-1.2742443557003034</v>
      </c>
      <c r="L677" s="13">
        <f>_xll.FDS(G677,"FF_ROE(ANN_R,12/30/2015)")</f>
        <v>-110.3333653979756</v>
      </c>
      <c r="M677" s="8" t="s">
        <v>3928</v>
      </c>
      <c r="N677" s="4" t="s">
        <v>3929</v>
      </c>
      <c r="O677" s="4" t="s">
        <v>3930</v>
      </c>
      <c r="P677" s="4" t="s">
        <v>96</v>
      </c>
      <c r="Q677" s="4" t="s">
        <v>83</v>
      </c>
      <c r="R677" s="4" t="s">
        <v>61</v>
      </c>
      <c r="S677" s="4" t="s">
        <v>62</v>
      </c>
      <c r="T677" s="6" t="e">
        <v>#N/A</v>
      </c>
      <c r="U677" s="5">
        <v>56</v>
      </c>
      <c r="V677" s="5">
        <v>34</v>
      </c>
      <c r="W677" s="5">
        <v>65</v>
      </c>
      <c r="X677" s="5">
        <v>73</v>
      </c>
      <c r="Y677" s="5">
        <v>55.85</v>
      </c>
      <c r="Z677" s="6">
        <v>0</v>
      </c>
      <c r="AA677" s="5">
        <v>67.55</v>
      </c>
      <c r="AB677" s="5">
        <v>79.260000000000005</v>
      </c>
      <c r="AC677" s="6">
        <v>0.35</v>
      </c>
      <c r="AD677" s="6">
        <v>0.4</v>
      </c>
      <c r="AE677" s="6">
        <v>0.25</v>
      </c>
      <c r="AF677" s="4" t="s">
        <v>6296</v>
      </c>
      <c r="AG677" s="4" t="s">
        <v>6296</v>
      </c>
      <c r="AH677" s="4" t="s">
        <v>6296</v>
      </c>
      <c r="AI677" s="4" t="s">
        <v>6296</v>
      </c>
      <c r="AJ677" s="4" t="s">
        <v>6296</v>
      </c>
      <c r="AK677" s="4" t="s">
        <v>6296</v>
      </c>
      <c r="AL677" s="4" t="s">
        <v>6296</v>
      </c>
      <c r="AM677" s="4" t="s">
        <v>42</v>
      </c>
      <c r="AN677" s="4" t="s">
        <v>6296</v>
      </c>
      <c r="AO677" s="4" t="s">
        <v>6296</v>
      </c>
      <c r="AP677" s="4" t="s">
        <v>3931</v>
      </c>
      <c r="AQ677" s="4" t="s">
        <v>47</v>
      </c>
    </row>
    <row r="678" spans="1:43" ht="12.6" customHeight="1" x14ac:dyDescent="0.25">
      <c r="A678" s="8" t="s">
        <v>5376</v>
      </c>
      <c r="B678" s="9">
        <v>20151231</v>
      </c>
      <c r="C678" s="12">
        <f>_xll.FDS("SPX","FG_PRICE(12/30/2015)")</f>
        <v>2063.36</v>
      </c>
      <c r="D678" s="12">
        <f>_xll.FDS("SPX","FG_PRICE(12/30/2017)")</f>
        <v>2673.61</v>
      </c>
      <c r="E678" s="15">
        <f>D678/C678-1</f>
        <v>0.2957554668114144</v>
      </c>
      <c r="F678" s="8" t="s">
        <v>5377</v>
      </c>
      <c r="G678" s="8" t="s">
        <v>5378</v>
      </c>
      <c r="H678" s="13">
        <f>_xll.FDS(G678,"FG_PRICE(12/30/2015)")</f>
        <v>10.210000000000001</v>
      </c>
      <c r="I678" s="13">
        <f>_xll.FDS(G678,"FG_PRICE(12/31/2017)")</f>
        <v>2.35</v>
      </c>
      <c r="J678" s="13">
        <f>I678/H678-1</f>
        <v>-0.7698334965719883</v>
      </c>
      <c r="K678" s="13">
        <f>J678-E678</f>
        <v>-1.0655889633834028</v>
      </c>
      <c r="L678" s="13">
        <f>_xll.FDS(G678,"FF_ROE(ANN_R,12/30/2015)")</f>
        <v>-14.546348055777379</v>
      </c>
      <c r="M678" s="8" t="s">
        <v>5379</v>
      </c>
      <c r="N678" s="4" t="s">
        <v>5380</v>
      </c>
      <c r="O678" s="4" t="s">
        <v>5381</v>
      </c>
      <c r="P678" s="4" t="s">
        <v>106</v>
      </c>
      <c r="Q678" s="4" t="s">
        <v>83</v>
      </c>
      <c r="R678" s="4" t="s">
        <v>61</v>
      </c>
      <c r="S678" s="4" t="s">
        <v>62</v>
      </c>
      <c r="T678" s="6" t="e">
        <v>#N/A</v>
      </c>
      <c r="U678" s="5">
        <v>50</v>
      </c>
      <c r="V678" s="5">
        <v>34</v>
      </c>
      <c r="W678" s="5">
        <v>63</v>
      </c>
      <c r="X678" s="5">
        <v>50</v>
      </c>
      <c r="Y678" s="5">
        <v>34.04</v>
      </c>
      <c r="Z678" s="6">
        <v>0</v>
      </c>
      <c r="AA678" s="5">
        <v>63.83</v>
      </c>
      <c r="AB678" s="6">
        <v>5.85</v>
      </c>
      <c r="AC678" s="6">
        <v>0.35</v>
      </c>
      <c r="AD678" s="6">
        <v>0.4</v>
      </c>
      <c r="AE678" s="6">
        <v>0.25</v>
      </c>
      <c r="AF678" s="4" t="s">
        <v>6296</v>
      </c>
      <c r="AG678" s="4" t="s">
        <v>6296</v>
      </c>
      <c r="AH678" s="4" t="s">
        <v>6296</v>
      </c>
      <c r="AI678" s="4" t="s">
        <v>6296</v>
      </c>
      <c r="AJ678" s="4" t="s">
        <v>37</v>
      </c>
      <c r="AK678" s="4" t="s">
        <v>6296</v>
      </c>
      <c r="AL678" s="4" t="s">
        <v>6296</v>
      </c>
      <c r="AM678" s="4" t="s">
        <v>6296</v>
      </c>
      <c r="AN678" s="4" t="s">
        <v>6296</v>
      </c>
      <c r="AO678" s="4" t="s">
        <v>6296</v>
      </c>
      <c r="AP678" s="4" t="s">
        <v>5382</v>
      </c>
      <c r="AQ678" s="4" t="s">
        <v>47</v>
      </c>
    </row>
    <row r="679" spans="1:43" ht="12.6" customHeight="1" x14ac:dyDescent="0.25">
      <c r="A679" s="8" t="s">
        <v>479</v>
      </c>
      <c r="B679" s="9">
        <v>20151231</v>
      </c>
      <c r="C679" s="12">
        <f>_xll.FDS("SPX","FG_PRICE(12/30/2015)")</f>
        <v>2063.36</v>
      </c>
      <c r="D679" s="12">
        <f>_xll.FDS("SPX","FG_PRICE(12/30/2017)")</f>
        <v>2673.61</v>
      </c>
      <c r="E679" s="15">
        <f>D679/C679-1</f>
        <v>0.2957554668114144</v>
      </c>
      <c r="F679" s="8" t="s">
        <v>480</v>
      </c>
      <c r="G679" s="8" t="s">
        <v>481</v>
      </c>
      <c r="H679" s="13">
        <f>_xll.FDS(G679,"FG_PRICE(12/30/2015)")</f>
        <v>750.17</v>
      </c>
      <c r="I679" s="13">
        <f>_xll.FDS(G679,"FG_PRICE(12/31/2017)")</f>
        <v>711.37</v>
      </c>
      <c r="J679" s="13">
        <f>I679/H679-1</f>
        <v>-5.1721609768452415E-2</v>
      </c>
      <c r="K679" s="13">
        <f>J679-E679</f>
        <v>-0.34747707657986682</v>
      </c>
      <c r="L679" s="13" t="e">
        <f>_xll.FDS(G679,"FF_ROE(ANN_R,12/30/2015)")</f>
        <v>#N/A</v>
      </c>
      <c r="M679" s="8" t="s">
        <v>482</v>
      </c>
      <c r="N679" s="4" t="s">
        <v>483</v>
      </c>
      <c r="O679" s="4" t="s">
        <v>484</v>
      </c>
      <c r="P679" s="4" t="s">
        <v>96</v>
      </c>
      <c r="Q679" s="4" t="s">
        <v>83</v>
      </c>
      <c r="R679" s="4" t="s">
        <v>61</v>
      </c>
      <c r="S679" s="4" t="s">
        <v>62</v>
      </c>
      <c r="T679" s="6" t="e">
        <v>#N/A</v>
      </c>
      <c r="U679" s="5">
        <v>55</v>
      </c>
      <c r="V679" s="5">
        <v>43</v>
      </c>
      <c r="W679" s="5">
        <v>59</v>
      </c>
      <c r="X679" s="5">
        <v>64</v>
      </c>
      <c r="Y679" s="5">
        <v>52.66</v>
      </c>
      <c r="Z679" s="5">
        <v>49.47</v>
      </c>
      <c r="AA679" s="5">
        <v>57.98</v>
      </c>
      <c r="AB679" s="5">
        <v>43.09</v>
      </c>
      <c r="AC679" s="6">
        <v>0.35</v>
      </c>
      <c r="AD679" s="6">
        <v>0.4</v>
      </c>
      <c r="AE679" s="6">
        <v>0.25</v>
      </c>
      <c r="AF679" s="4" t="s">
        <v>6296</v>
      </c>
      <c r="AG679" s="4" t="s">
        <v>6296</v>
      </c>
      <c r="AH679" s="4" t="s">
        <v>6296</v>
      </c>
      <c r="AI679" s="4" t="s">
        <v>42</v>
      </c>
      <c r="AJ679" s="4" t="s">
        <v>6296</v>
      </c>
      <c r="AK679" s="4" t="s">
        <v>42</v>
      </c>
      <c r="AL679" s="4" t="s">
        <v>6296</v>
      </c>
      <c r="AM679" s="4" t="s">
        <v>6296</v>
      </c>
      <c r="AN679" s="4" t="s">
        <v>6296</v>
      </c>
      <c r="AO679" s="4" t="s">
        <v>6296</v>
      </c>
      <c r="AP679" s="4" t="s">
        <v>485</v>
      </c>
      <c r="AQ679" s="4" t="s">
        <v>47</v>
      </c>
    </row>
    <row r="680" spans="1:43" ht="12.6" customHeight="1" x14ac:dyDescent="0.25">
      <c r="A680" s="8" t="s">
        <v>567</v>
      </c>
      <c r="B680" s="9">
        <v>20151231</v>
      </c>
      <c r="C680" s="12">
        <f>_xll.FDS("SPX","FG_PRICE(12/30/2015)")</f>
        <v>2063.36</v>
      </c>
      <c r="D680" s="12">
        <f>_xll.FDS("SPX","FG_PRICE(12/30/2017)")</f>
        <v>2673.61</v>
      </c>
      <c r="E680" s="15">
        <f>D680/C680-1</f>
        <v>0.2957554668114144</v>
      </c>
      <c r="F680" s="8" t="s">
        <v>568</v>
      </c>
      <c r="G680" s="8" t="s">
        <v>569</v>
      </c>
      <c r="H680" s="13">
        <f>_xll.FDS(G680,"FG_PRICE(12/30/2015)")</f>
        <v>48.61</v>
      </c>
      <c r="I680" s="13">
        <f>_xll.FDS(G680,"FG_PRICE(12/31/2017)")</f>
        <v>21.99</v>
      </c>
      <c r="J680" s="13">
        <f>I680/H680-1</f>
        <v>-0.54762394569018724</v>
      </c>
      <c r="K680" s="13">
        <f>J680-E680</f>
        <v>-0.84337941250160164</v>
      </c>
      <c r="L680" s="13">
        <f>_xll.FDS(G680,"FF_ROE(ANN_R,12/30/2015)")</f>
        <v>28.64768627373541</v>
      </c>
      <c r="M680" s="8" t="s">
        <v>570</v>
      </c>
      <c r="N680" s="4" t="s">
        <v>570</v>
      </c>
      <c r="O680" s="4" t="s">
        <v>571</v>
      </c>
      <c r="P680" s="4" t="s">
        <v>106</v>
      </c>
      <c r="Q680" s="4" t="s">
        <v>83</v>
      </c>
      <c r="R680" s="4" t="s">
        <v>61</v>
      </c>
      <c r="S680" s="4" t="s">
        <v>62</v>
      </c>
      <c r="T680" s="6" t="e">
        <v>#N/A</v>
      </c>
      <c r="U680" s="5">
        <v>62</v>
      </c>
      <c r="V680" s="5">
        <v>61</v>
      </c>
      <c r="W680" s="5">
        <v>62</v>
      </c>
      <c r="X680" s="5">
        <v>64</v>
      </c>
      <c r="Y680" s="5">
        <v>71.81</v>
      </c>
      <c r="Z680" s="5">
        <v>86.7</v>
      </c>
      <c r="AA680" s="5">
        <v>62.77</v>
      </c>
      <c r="AB680" s="5">
        <v>43.09</v>
      </c>
      <c r="AC680" s="6">
        <v>0.35</v>
      </c>
      <c r="AD680" s="6">
        <v>0.4</v>
      </c>
      <c r="AE680" s="6">
        <v>0.25</v>
      </c>
      <c r="AF680" s="4" t="s">
        <v>6296</v>
      </c>
      <c r="AG680" s="4" t="s">
        <v>6296</v>
      </c>
      <c r="AH680" s="4" t="s">
        <v>6296</v>
      </c>
      <c r="AI680" s="4" t="s">
        <v>42</v>
      </c>
      <c r="AJ680" s="4" t="s">
        <v>6296</v>
      </c>
      <c r="AK680" s="4" t="s">
        <v>6296</v>
      </c>
      <c r="AL680" s="4" t="s">
        <v>6296</v>
      </c>
      <c r="AM680" s="4" t="s">
        <v>42</v>
      </c>
      <c r="AN680" s="4" t="s">
        <v>6296</v>
      </c>
      <c r="AO680" s="4" t="s">
        <v>6296</v>
      </c>
      <c r="AP680" s="4" t="s">
        <v>572</v>
      </c>
      <c r="AQ680" s="4" t="s">
        <v>47</v>
      </c>
    </row>
    <row r="681" spans="1:43" ht="12.6" customHeight="1" x14ac:dyDescent="0.25">
      <c r="A681" s="8" t="s">
        <v>616</v>
      </c>
      <c r="B681" s="9">
        <v>20151231</v>
      </c>
      <c r="C681" s="12">
        <f>_xll.FDS("SPX","FG_PRICE(12/30/2015)")</f>
        <v>2063.36</v>
      </c>
      <c r="D681" s="12">
        <f>_xll.FDS("SPX","FG_PRICE(12/30/2017)")</f>
        <v>2673.61</v>
      </c>
      <c r="E681" s="15">
        <f>D681/C681-1</f>
        <v>0.2957554668114144</v>
      </c>
      <c r="F681" s="8" t="s">
        <v>617</v>
      </c>
      <c r="G681" s="8" t="s">
        <v>618</v>
      </c>
      <c r="H681" s="13">
        <f>_xll.FDS(G681,"FG_PRICE(12/30/2015)")</f>
        <v>30.46</v>
      </c>
      <c r="I681" s="13">
        <f>_xll.FDS(G681,"FG_PRICE(12/31/2017)")</f>
        <v>68.47</v>
      </c>
      <c r="J681" s="13">
        <f>I681/H681-1</f>
        <v>1.2478660538411028</v>
      </c>
      <c r="K681" s="13">
        <f>J681-E681</f>
        <v>0.95211058702968843</v>
      </c>
      <c r="L681" s="13">
        <f>_xll.FDS(G681,"FF_ROE(ANN_R,12/30/2015)")</f>
        <v>27.74746687451286</v>
      </c>
      <c r="M681" s="8" t="s">
        <v>619</v>
      </c>
      <c r="N681" s="4" t="s">
        <v>620</v>
      </c>
      <c r="O681" s="4" t="s">
        <v>53</v>
      </c>
      <c r="P681" s="4" t="s">
        <v>96</v>
      </c>
      <c r="Q681" s="4" t="s">
        <v>83</v>
      </c>
      <c r="R681" s="4" t="s">
        <v>61</v>
      </c>
      <c r="S681" s="4" t="s">
        <v>62</v>
      </c>
      <c r="T681" s="6" t="e">
        <v>#N/A</v>
      </c>
      <c r="U681" s="5">
        <v>74</v>
      </c>
      <c r="V681" s="5">
        <v>76</v>
      </c>
      <c r="W681" s="5">
        <v>75</v>
      </c>
      <c r="X681" s="5">
        <v>69</v>
      </c>
      <c r="Y681" s="5">
        <v>93.62</v>
      </c>
      <c r="Z681" s="5">
        <v>95.21</v>
      </c>
      <c r="AA681" s="5">
        <v>85.11</v>
      </c>
      <c r="AB681" s="5">
        <v>64.89</v>
      </c>
      <c r="AC681" s="6">
        <v>0.35</v>
      </c>
      <c r="AD681" s="6">
        <v>0.4</v>
      </c>
      <c r="AE681" s="6">
        <v>0.25</v>
      </c>
      <c r="AF681" s="4" t="s">
        <v>6296</v>
      </c>
      <c r="AG681" s="4" t="s">
        <v>37</v>
      </c>
      <c r="AH681" s="4" t="s">
        <v>6296</v>
      </c>
      <c r="AI681" s="4" t="s">
        <v>6296</v>
      </c>
      <c r="AJ681" s="4" t="s">
        <v>6296</v>
      </c>
      <c r="AK681" s="4" t="s">
        <v>37</v>
      </c>
      <c r="AL681" s="4" t="s">
        <v>6296</v>
      </c>
      <c r="AM681" s="4" t="s">
        <v>42</v>
      </c>
      <c r="AN681" s="4" t="s">
        <v>42</v>
      </c>
      <c r="AO681" s="4" t="s">
        <v>6296</v>
      </c>
      <c r="AP681" s="4" t="s">
        <v>621</v>
      </c>
      <c r="AQ681" s="4" t="s">
        <v>47</v>
      </c>
    </row>
    <row r="682" spans="1:43" ht="12.6" customHeight="1" x14ac:dyDescent="0.25">
      <c r="A682" s="8" t="s">
        <v>1161</v>
      </c>
      <c r="B682" s="9">
        <v>20151231</v>
      </c>
      <c r="C682" s="12">
        <f>_xll.FDS("SPX","FG_PRICE(12/30/2015)")</f>
        <v>2063.36</v>
      </c>
      <c r="D682" s="12">
        <f>_xll.FDS("SPX","FG_PRICE(12/30/2017)")</f>
        <v>2673.61</v>
      </c>
      <c r="E682" s="15">
        <f>D682/C682-1</f>
        <v>0.2957554668114144</v>
      </c>
      <c r="F682" s="8" t="s">
        <v>1162</v>
      </c>
      <c r="G682" s="8" t="s">
        <v>1163</v>
      </c>
      <c r="H682" s="13">
        <f>_xll.FDS(G682,"FG_PRICE(12/30/2015)")</f>
        <v>39.03</v>
      </c>
      <c r="I682" s="13">
        <f>_xll.FDS(G682,"FG_PRICE(12/31/2017)")</f>
        <v>56.15</v>
      </c>
      <c r="J682" s="13">
        <f>I682/H682-1</f>
        <v>0.43863694593902114</v>
      </c>
      <c r="K682" s="13">
        <f>J682-E682</f>
        <v>0.14288147912760674</v>
      </c>
      <c r="L682" s="13">
        <f>_xll.FDS(G682,"FF_ROE(ANN_R,12/30/2015)")</f>
        <v>16.163555151844172</v>
      </c>
      <c r="M682" s="8" t="s">
        <v>1164</v>
      </c>
      <c r="N682" s="4" t="s">
        <v>1165</v>
      </c>
      <c r="O682" s="4" t="s">
        <v>1166</v>
      </c>
      <c r="P682" s="4" t="s">
        <v>96</v>
      </c>
      <c r="Q682" s="4" t="s">
        <v>83</v>
      </c>
      <c r="R682" s="4" t="s">
        <v>61</v>
      </c>
      <c r="S682" s="4" t="s">
        <v>62</v>
      </c>
      <c r="T682" s="6" t="e">
        <v>#N/A</v>
      </c>
      <c r="U682" s="5">
        <v>61</v>
      </c>
      <c r="V682" s="5">
        <v>52</v>
      </c>
      <c r="W682" s="5">
        <v>61</v>
      </c>
      <c r="X682" s="5">
        <v>74</v>
      </c>
      <c r="Y682" s="5">
        <v>69.680000000000007</v>
      </c>
      <c r="Z682" s="5">
        <v>69.680000000000007</v>
      </c>
      <c r="AA682" s="5">
        <v>61.7</v>
      </c>
      <c r="AB682" s="5">
        <v>81.91</v>
      </c>
      <c r="AC682" s="6">
        <v>0.35</v>
      </c>
      <c r="AD682" s="6">
        <v>0.4</v>
      </c>
      <c r="AE682" s="6">
        <v>0.25</v>
      </c>
      <c r="AF682" s="4" t="s">
        <v>6296</v>
      </c>
      <c r="AG682" s="4" t="s">
        <v>6296</v>
      </c>
      <c r="AH682" s="4" t="s">
        <v>6296</v>
      </c>
      <c r="AI682" s="4" t="s">
        <v>42</v>
      </c>
      <c r="AJ682" s="4" t="s">
        <v>6296</v>
      </c>
      <c r="AK682" s="4" t="s">
        <v>37</v>
      </c>
      <c r="AL682" s="4" t="s">
        <v>6296</v>
      </c>
      <c r="AM682" s="4" t="s">
        <v>6296</v>
      </c>
      <c r="AN682" s="4" t="s">
        <v>6296</v>
      </c>
      <c r="AO682" s="4" t="s">
        <v>6296</v>
      </c>
      <c r="AP682" s="4" t="s">
        <v>1167</v>
      </c>
      <c r="AQ682" s="4" t="s">
        <v>47</v>
      </c>
    </row>
    <row r="683" spans="1:43" ht="12.6" customHeight="1" x14ac:dyDescent="0.25">
      <c r="A683" s="8" t="s">
        <v>3548</v>
      </c>
      <c r="B683" s="9">
        <v>20151231</v>
      </c>
      <c r="C683" s="12">
        <f>_xll.FDS("SPX","FG_PRICE(12/30/2015)")</f>
        <v>2063.36</v>
      </c>
      <c r="D683" s="12">
        <f>_xll.FDS("SPX","FG_PRICE(12/30/2017)")</f>
        <v>2673.61</v>
      </c>
      <c r="E683" s="15">
        <f>D683/C683-1</f>
        <v>0.2957554668114144</v>
      </c>
      <c r="F683" s="8" t="s">
        <v>3549</v>
      </c>
      <c r="G683" s="8" t="s">
        <v>3550</v>
      </c>
      <c r="H683" s="13">
        <f>_xll.FDS(G683,"FG_PRICE(12/30/2015)")</f>
        <v>1289.1600000000001</v>
      </c>
      <c r="I683" s="13">
        <f>_xll.FDS(G683,"FG_PRICE(12/31/2017)")</f>
        <v>1737.74</v>
      </c>
      <c r="J683" s="13">
        <f>I683/H683-1</f>
        <v>0.34796301467622315</v>
      </c>
      <c r="K683" s="13">
        <f>J683-E683</f>
        <v>5.2207547864808745E-2</v>
      </c>
      <c r="L683" s="13">
        <f>_xll.FDS(G683,"FF_ROE(ANN_R,12/30/2015)")</f>
        <v>31.29603009687704</v>
      </c>
      <c r="M683" s="8" t="s">
        <v>3551</v>
      </c>
      <c r="N683" s="4" t="s">
        <v>3552</v>
      </c>
      <c r="O683" s="4" t="s">
        <v>3553</v>
      </c>
      <c r="P683" s="4" t="s">
        <v>106</v>
      </c>
      <c r="Q683" s="4" t="s">
        <v>83</v>
      </c>
      <c r="R683" s="4" t="s">
        <v>61</v>
      </c>
      <c r="S683" s="4" t="s">
        <v>62</v>
      </c>
      <c r="T683" s="6" t="e">
        <v>#N/A</v>
      </c>
      <c r="U683" s="5">
        <v>47</v>
      </c>
      <c r="V683" s="5">
        <v>38</v>
      </c>
      <c r="W683" s="5">
        <v>44</v>
      </c>
      <c r="X683" s="5">
        <v>65</v>
      </c>
      <c r="Y683" s="5">
        <v>18.09</v>
      </c>
      <c r="Z683" s="5">
        <v>29.79</v>
      </c>
      <c r="AA683" s="6">
        <v>4.26</v>
      </c>
      <c r="AB683" s="5">
        <v>48.94</v>
      </c>
      <c r="AC683" s="6">
        <v>0.35</v>
      </c>
      <c r="AD683" s="6">
        <v>0.4</v>
      </c>
      <c r="AE683" s="6">
        <v>0.25</v>
      </c>
      <c r="AF683" s="4" t="s">
        <v>6296</v>
      </c>
      <c r="AG683" s="4" t="s">
        <v>6296</v>
      </c>
      <c r="AH683" s="4" t="s">
        <v>6296</v>
      </c>
      <c r="AI683" s="4" t="s">
        <v>6296</v>
      </c>
      <c r="AJ683" s="4" t="s">
        <v>6296</v>
      </c>
      <c r="AK683" s="4" t="s">
        <v>42</v>
      </c>
      <c r="AL683" s="4" t="s">
        <v>42</v>
      </c>
      <c r="AM683" s="4" t="s">
        <v>42</v>
      </c>
      <c r="AN683" s="4" t="s">
        <v>6296</v>
      </c>
      <c r="AO683" s="4" t="s">
        <v>6296</v>
      </c>
      <c r="AP683" s="4" t="s">
        <v>3554</v>
      </c>
      <c r="AQ683" s="4" t="s">
        <v>47</v>
      </c>
    </row>
    <row r="684" spans="1:43" ht="12.6" customHeight="1" x14ac:dyDescent="0.25">
      <c r="A684" s="8" t="s">
        <v>554</v>
      </c>
      <c r="B684" s="9">
        <v>20151231</v>
      </c>
      <c r="C684" s="12">
        <f>_xll.FDS("SPX","FG_PRICE(12/30/2015)")</f>
        <v>2063.36</v>
      </c>
      <c r="D684" s="12">
        <f>_xll.FDS("SPX","FG_PRICE(12/30/2017)")</f>
        <v>2673.61</v>
      </c>
      <c r="E684" s="15">
        <f>D684/C684-1</f>
        <v>0.2957554668114144</v>
      </c>
      <c r="F684" s="8" t="s">
        <v>555</v>
      </c>
      <c r="G684" s="8" t="s">
        <v>556</v>
      </c>
      <c r="H684" s="13">
        <f>_xll.FDS(G684,"FG_PRICE(12/30/2015)")</f>
        <v>8.7200000000000006</v>
      </c>
      <c r="I684" s="13">
        <f>_xll.FDS(G684,"FG_PRICE(12/31/2017)")</f>
        <v>6.7</v>
      </c>
      <c r="J684" s="13">
        <f>I684/H684-1</f>
        <v>-0.23165137614678899</v>
      </c>
      <c r="K684" s="13">
        <f>J684-E684</f>
        <v>-0.52740684295820339</v>
      </c>
      <c r="L684" s="13">
        <f>_xll.FDS(G684,"FF_ROE(ANN_R,12/30/2015)")</f>
        <v>2.734767515779045</v>
      </c>
      <c r="M684" s="8" t="s">
        <v>557</v>
      </c>
      <c r="N684" s="4" t="s">
        <v>558</v>
      </c>
      <c r="O684" s="4" t="s">
        <v>559</v>
      </c>
      <c r="P684" s="4" t="s">
        <v>96</v>
      </c>
      <c r="Q684" s="4" t="s">
        <v>83</v>
      </c>
      <c r="R684" s="4" t="s">
        <v>61</v>
      </c>
      <c r="S684" s="4" t="s">
        <v>62</v>
      </c>
      <c r="T684" s="6" t="e">
        <v>#N/A</v>
      </c>
      <c r="U684" s="5">
        <v>59</v>
      </c>
      <c r="V684" s="5">
        <v>42</v>
      </c>
      <c r="W684" s="5">
        <v>71</v>
      </c>
      <c r="X684" s="5">
        <v>64</v>
      </c>
      <c r="Y684" s="5">
        <v>62.77</v>
      </c>
      <c r="Z684" s="5">
        <v>45.74</v>
      </c>
      <c r="AA684" s="5">
        <v>77.66</v>
      </c>
      <c r="AB684" s="5">
        <v>43.09</v>
      </c>
      <c r="AC684" s="6">
        <v>0.35</v>
      </c>
      <c r="AD684" s="6">
        <v>0.4</v>
      </c>
      <c r="AE684" s="6">
        <v>0.25</v>
      </c>
      <c r="AF684" s="4" t="s">
        <v>6296</v>
      </c>
      <c r="AG684" s="4" t="s">
        <v>6296</v>
      </c>
      <c r="AH684" s="4" t="s">
        <v>6296</v>
      </c>
      <c r="AI684" s="4" t="s">
        <v>42</v>
      </c>
      <c r="AJ684" s="4" t="s">
        <v>6296</v>
      </c>
      <c r="AK684" s="4" t="s">
        <v>6296</v>
      </c>
      <c r="AL684" s="4" t="s">
        <v>6296</v>
      </c>
      <c r="AM684" s="4" t="s">
        <v>42</v>
      </c>
      <c r="AN684" s="4" t="s">
        <v>37</v>
      </c>
      <c r="AO684" s="4" t="s">
        <v>6296</v>
      </c>
      <c r="AP684" s="4" t="s">
        <v>560</v>
      </c>
      <c r="AQ684" s="4" t="s">
        <v>47</v>
      </c>
    </row>
    <row r="685" spans="1:43" ht="12.6" customHeight="1" x14ac:dyDescent="0.25">
      <c r="A685" s="8" t="s">
        <v>4545</v>
      </c>
      <c r="B685" s="9">
        <v>20151231</v>
      </c>
      <c r="C685" s="12">
        <f>_xll.FDS("SPX","FG_PRICE(12/30/2015)")</f>
        <v>2063.36</v>
      </c>
      <c r="D685" s="12">
        <f>_xll.FDS("SPX","FG_PRICE(12/30/2017)")</f>
        <v>2673.61</v>
      </c>
      <c r="E685" s="15">
        <f>D685/C685-1</f>
        <v>0.2957554668114144</v>
      </c>
      <c r="F685" s="8" t="s">
        <v>4546</v>
      </c>
      <c r="G685" s="8" t="s">
        <v>4547</v>
      </c>
      <c r="H685" s="13">
        <f>_xll.FDS(G685,"FG_PRICE(12/30/2015)")</f>
        <v>46.65</v>
      </c>
      <c r="I685" s="13" t="e">
        <f>_xll.FDS(G685,"FG_PRICE(12/31/2017)")</f>
        <v>#N/A</v>
      </c>
      <c r="J685" s="13" t="e">
        <f>I685/H685-1</f>
        <v>#N/A</v>
      </c>
      <c r="K685" s="13" t="e">
        <f>J685-E685</f>
        <v>#N/A</v>
      </c>
      <c r="L685" s="13">
        <f>_xll.FDS(G685,"FF_ROE(ANN_R,12/30/2015)")</f>
        <v>11.78295506454149</v>
      </c>
      <c r="M685" s="8" t="s">
        <v>4548</v>
      </c>
      <c r="N685" s="4" t="s">
        <v>4548</v>
      </c>
      <c r="O685" s="4" t="s">
        <v>4521</v>
      </c>
      <c r="P685" s="4" t="s">
        <v>96</v>
      </c>
      <c r="Q685" s="4" t="s">
        <v>83</v>
      </c>
      <c r="R685" s="4" t="s">
        <v>61</v>
      </c>
      <c r="S685" s="4" t="s">
        <v>62</v>
      </c>
      <c r="T685" s="6" t="e">
        <v>#N/A</v>
      </c>
      <c r="U685" s="5">
        <v>51</v>
      </c>
      <c r="V685" s="5">
        <v>36</v>
      </c>
      <c r="W685" s="5">
        <v>53</v>
      </c>
      <c r="X685" s="5">
        <v>67</v>
      </c>
      <c r="Y685" s="5">
        <v>38.299999999999997</v>
      </c>
      <c r="Z685" s="5">
        <v>17.02</v>
      </c>
      <c r="AA685" s="5">
        <v>40.96</v>
      </c>
      <c r="AB685" s="5">
        <v>56.38</v>
      </c>
      <c r="AC685" s="6">
        <v>0.35</v>
      </c>
      <c r="AD685" s="6">
        <v>0.4</v>
      </c>
      <c r="AE685" s="6">
        <v>0.25</v>
      </c>
      <c r="AF685" s="4" t="s">
        <v>6296</v>
      </c>
      <c r="AG685" s="4" t="s">
        <v>6296</v>
      </c>
      <c r="AH685" s="4" t="s">
        <v>6296</v>
      </c>
      <c r="AI685" s="4" t="s">
        <v>6296</v>
      </c>
      <c r="AJ685" s="4" t="s">
        <v>6296</v>
      </c>
      <c r="AK685" s="4" t="s">
        <v>6296</v>
      </c>
      <c r="AL685" s="4" t="s">
        <v>6296</v>
      </c>
      <c r="AM685" s="4" t="s">
        <v>6296</v>
      </c>
      <c r="AN685" s="4" t="s">
        <v>6296</v>
      </c>
      <c r="AO685" s="4" t="s">
        <v>6296</v>
      </c>
      <c r="AP685" s="4" t="s">
        <v>4549</v>
      </c>
      <c r="AQ685" s="4" t="s">
        <v>47</v>
      </c>
    </row>
    <row r="686" spans="1:43" ht="12.6" customHeight="1" x14ac:dyDescent="0.25">
      <c r="A686" s="8" t="s">
        <v>1004</v>
      </c>
      <c r="B686" s="9">
        <v>20151231</v>
      </c>
      <c r="C686" s="12">
        <f>_xll.FDS("SPX","FG_PRICE(12/30/2015)")</f>
        <v>2063.36</v>
      </c>
      <c r="D686" s="12">
        <f>_xll.FDS("SPX","FG_PRICE(12/30/2017)")</f>
        <v>2673.61</v>
      </c>
      <c r="E686" s="15">
        <f>D686/C686-1</f>
        <v>0.2957554668114144</v>
      </c>
      <c r="F686" s="8" t="s">
        <v>1005</v>
      </c>
      <c r="G686" s="8" t="s">
        <v>1006</v>
      </c>
      <c r="H686" s="13">
        <f>_xll.FDS(G686,"FG_PRICE(12/30/2015)")</f>
        <v>10.71</v>
      </c>
      <c r="I686" s="13">
        <f>_xll.FDS(G686,"FG_PRICE(12/31/2017)")</f>
        <v>8.82</v>
      </c>
      <c r="J686" s="13">
        <f>I686/H686-1</f>
        <v>-0.17647058823529416</v>
      </c>
      <c r="K686" s="13">
        <f>J686-E686</f>
        <v>-0.47222605504670856</v>
      </c>
      <c r="L686" s="13">
        <f>_xll.FDS(G686,"FF_ROE(ANN_R,12/30/2015)")</f>
        <v>6.7947519436246324</v>
      </c>
      <c r="M686" s="8" t="s">
        <v>1007</v>
      </c>
      <c r="N686" s="4" t="s">
        <v>1008</v>
      </c>
      <c r="O686" s="4" t="s">
        <v>1009</v>
      </c>
      <c r="P686" s="4" t="s">
        <v>96</v>
      </c>
      <c r="Q686" s="4" t="s">
        <v>83</v>
      </c>
      <c r="R686" s="4" t="s">
        <v>61</v>
      </c>
      <c r="S686" s="4" t="s">
        <v>62</v>
      </c>
      <c r="T686" s="6" t="e">
        <v>#N/A</v>
      </c>
      <c r="U686" s="5">
        <v>62</v>
      </c>
      <c r="V686" s="5">
        <v>39</v>
      </c>
      <c r="W686" s="5">
        <v>71</v>
      </c>
      <c r="X686" s="5">
        <v>77</v>
      </c>
      <c r="Y686" s="5">
        <v>71.81</v>
      </c>
      <c r="Z686" s="5">
        <v>34.04</v>
      </c>
      <c r="AA686" s="5">
        <v>77.66</v>
      </c>
      <c r="AB686" s="5">
        <v>89.36</v>
      </c>
      <c r="AC686" s="6">
        <v>0.35</v>
      </c>
      <c r="AD686" s="6">
        <v>0.4</v>
      </c>
      <c r="AE686" s="6">
        <v>0.25</v>
      </c>
      <c r="AF686" s="4" t="s">
        <v>6296</v>
      </c>
      <c r="AG686" s="4" t="s">
        <v>6296</v>
      </c>
      <c r="AH686" s="4" t="s">
        <v>6296</v>
      </c>
      <c r="AI686" s="4" t="s">
        <v>6296</v>
      </c>
      <c r="AJ686" s="4" t="s">
        <v>6296</v>
      </c>
      <c r="AK686" s="4" t="s">
        <v>6296</v>
      </c>
      <c r="AL686" s="4" t="s">
        <v>6296</v>
      </c>
      <c r="AM686" s="4" t="s">
        <v>6296</v>
      </c>
      <c r="AN686" s="4" t="s">
        <v>6296</v>
      </c>
      <c r="AO686" s="4" t="s">
        <v>6296</v>
      </c>
      <c r="AP686" s="4" t="s">
        <v>1010</v>
      </c>
      <c r="AQ686" s="4" t="s">
        <v>47</v>
      </c>
    </row>
    <row r="687" spans="1:43" ht="12.6" customHeight="1" x14ac:dyDescent="0.25">
      <c r="A687" s="8" t="s">
        <v>1335</v>
      </c>
      <c r="B687" s="9">
        <v>20151231</v>
      </c>
      <c r="C687" s="12">
        <f>_xll.FDS("SPX","FG_PRICE(12/30/2015)")</f>
        <v>2063.36</v>
      </c>
      <c r="D687" s="12">
        <f>_xll.FDS("SPX","FG_PRICE(12/30/2017)")</f>
        <v>2673.61</v>
      </c>
      <c r="E687" s="15">
        <f>D687/C687-1</f>
        <v>0.2957554668114144</v>
      </c>
      <c r="F687" s="8" t="s">
        <v>1336</v>
      </c>
      <c r="G687" s="8" t="s">
        <v>1337</v>
      </c>
      <c r="H687" s="13">
        <f>_xll.FDS(G687,"FG_PRICE(12/30/2015)")</f>
        <v>67.91</v>
      </c>
      <c r="I687" s="13">
        <f>_xll.FDS(G687,"FG_PRICE(12/31/2017)")</f>
        <v>60.05</v>
      </c>
      <c r="J687" s="13">
        <f>I687/H687-1</f>
        <v>-0.11574142247091734</v>
      </c>
      <c r="K687" s="13">
        <f>J687-E687</f>
        <v>-0.41149688928233175</v>
      </c>
      <c r="L687" s="13">
        <f>_xll.FDS(G687,"FF_ROE(ANN_R,12/30/2015)")</f>
        <v>16.545218993450529</v>
      </c>
      <c r="M687" s="8" t="s">
        <v>1338</v>
      </c>
      <c r="N687" s="4" t="s">
        <v>1339</v>
      </c>
      <c r="O687" s="4" t="s">
        <v>1340</v>
      </c>
      <c r="P687" s="4" t="s">
        <v>96</v>
      </c>
      <c r="Q687" s="4" t="s">
        <v>83</v>
      </c>
      <c r="R687" s="4" t="s">
        <v>61</v>
      </c>
      <c r="S687" s="4" t="s">
        <v>62</v>
      </c>
      <c r="T687" s="6" t="e">
        <v>#N/A</v>
      </c>
      <c r="U687" s="5">
        <v>56</v>
      </c>
      <c r="V687" s="5">
        <v>34</v>
      </c>
      <c r="W687" s="5">
        <v>75</v>
      </c>
      <c r="X687" s="5">
        <v>56</v>
      </c>
      <c r="Y687" s="5">
        <v>55.85</v>
      </c>
      <c r="Z687" s="6">
        <v>0</v>
      </c>
      <c r="AA687" s="5">
        <v>85.11</v>
      </c>
      <c r="AB687" s="5">
        <v>21.81</v>
      </c>
      <c r="AC687" s="6">
        <v>0.35</v>
      </c>
      <c r="AD687" s="6">
        <v>0.4</v>
      </c>
      <c r="AE687" s="6">
        <v>0.25</v>
      </c>
      <c r="AF687" s="4" t="s">
        <v>6296</v>
      </c>
      <c r="AG687" s="4" t="s">
        <v>6296</v>
      </c>
      <c r="AH687" s="4" t="s">
        <v>6296</v>
      </c>
      <c r="AI687" s="4" t="s">
        <v>42</v>
      </c>
      <c r="AJ687" s="4" t="s">
        <v>42</v>
      </c>
      <c r="AK687" s="4" t="s">
        <v>6296</v>
      </c>
      <c r="AL687" s="4" t="s">
        <v>6296</v>
      </c>
      <c r="AM687" s="4" t="s">
        <v>6296</v>
      </c>
      <c r="AN687" s="4" t="s">
        <v>6296</v>
      </c>
      <c r="AO687" s="4" t="s">
        <v>6296</v>
      </c>
      <c r="AP687" s="4" t="s">
        <v>1341</v>
      </c>
      <c r="AQ687" s="4" t="s">
        <v>47</v>
      </c>
    </row>
    <row r="688" spans="1:43" ht="12.6" customHeight="1" x14ac:dyDescent="0.25">
      <c r="A688" s="8" t="s">
        <v>5289</v>
      </c>
      <c r="B688" s="9">
        <v>20151231</v>
      </c>
      <c r="C688" s="12">
        <f>_xll.FDS("SPX","FG_PRICE(12/30/2015)")</f>
        <v>2063.36</v>
      </c>
      <c r="D688" s="12">
        <f>_xll.FDS("SPX","FG_PRICE(12/30/2017)")</f>
        <v>2673.61</v>
      </c>
      <c r="E688" s="15">
        <f>D688/C688-1</f>
        <v>0.2957554668114144</v>
      </c>
      <c r="F688" s="8" t="s">
        <v>5290</v>
      </c>
      <c r="G688" s="8" t="s">
        <v>5291</v>
      </c>
      <c r="H688" s="13">
        <f>_xll.FDS(G688,"FG_PRICE(12/30/2015)")</f>
        <v>72.099999999999994</v>
      </c>
      <c r="I688" s="13">
        <f>_xll.FDS(G688,"FG_PRICE(12/31/2017)")</f>
        <v>93.01</v>
      </c>
      <c r="J688" s="13">
        <f>I688/H688-1</f>
        <v>0.29001386962552034</v>
      </c>
      <c r="K688" s="13">
        <f>J688-E688</f>
        <v>-5.7415971858940651E-3</v>
      </c>
      <c r="L688" s="13">
        <f>_xll.FDS(G688,"FF_ROE(ANN_R,12/30/2015)")</f>
        <v>19.174277424578381</v>
      </c>
      <c r="M688" s="8" t="s">
        <v>5292</v>
      </c>
      <c r="N688" s="4" t="s">
        <v>5292</v>
      </c>
      <c r="O688" s="4" t="s">
        <v>4915</v>
      </c>
      <c r="P688" s="4" t="s">
        <v>96</v>
      </c>
      <c r="Q688" s="4" t="s">
        <v>83</v>
      </c>
      <c r="R688" s="4" t="s">
        <v>61</v>
      </c>
      <c r="S688" s="4" t="s">
        <v>62</v>
      </c>
      <c r="T688" s="6" t="e">
        <v>#N/A</v>
      </c>
      <c r="U688" s="5">
        <v>55</v>
      </c>
      <c r="V688" s="5">
        <v>40</v>
      </c>
      <c r="W688" s="5">
        <v>59</v>
      </c>
      <c r="X688" s="5">
        <v>69</v>
      </c>
      <c r="Y688" s="5">
        <v>52.66</v>
      </c>
      <c r="Z688" s="5">
        <v>37.229999999999997</v>
      </c>
      <c r="AA688" s="5">
        <v>57.98</v>
      </c>
      <c r="AB688" s="5">
        <v>64.89</v>
      </c>
      <c r="AC688" s="6">
        <v>0.35</v>
      </c>
      <c r="AD688" s="6">
        <v>0.4</v>
      </c>
      <c r="AE688" s="6">
        <v>0.25</v>
      </c>
      <c r="AF688" s="4" t="s">
        <v>6296</v>
      </c>
      <c r="AG688" s="4" t="s">
        <v>6296</v>
      </c>
      <c r="AH688" s="4" t="s">
        <v>6296</v>
      </c>
      <c r="AI688" s="4" t="s">
        <v>37</v>
      </c>
      <c r="AJ688" s="4" t="s">
        <v>6296</v>
      </c>
      <c r="AK688" s="4" t="s">
        <v>42</v>
      </c>
      <c r="AL688" s="4" t="s">
        <v>6296</v>
      </c>
      <c r="AM688" s="4" t="s">
        <v>6296</v>
      </c>
      <c r="AN688" s="4" t="s">
        <v>6296</v>
      </c>
      <c r="AO688" s="4" t="s">
        <v>6296</v>
      </c>
      <c r="AP688" s="4" t="s">
        <v>5293</v>
      </c>
      <c r="AQ688" s="4" t="s">
        <v>47</v>
      </c>
    </row>
    <row r="689" spans="1:43" ht="12.6" customHeight="1" x14ac:dyDescent="0.25">
      <c r="A689" s="8" t="s">
        <v>4402</v>
      </c>
      <c r="B689" s="9">
        <v>20151231</v>
      </c>
      <c r="C689" s="12">
        <f>_xll.FDS("SPX","FG_PRICE(12/30/2015)")</f>
        <v>2063.36</v>
      </c>
      <c r="D689" s="12">
        <f>_xll.FDS("SPX","FG_PRICE(12/30/2017)")</f>
        <v>2673.61</v>
      </c>
      <c r="E689" s="15">
        <f>D689/C689-1</f>
        <v>0.2957554668114144</v>
      </c>
      <c r="F689" s="8" t="s">
        <v>4403</v>
      </c>
      <c r="G689" s="8" t="s">
        <v>4404</v>
      </c>
      <c r="H689" s="13">
        <f>_xll.FDS(G689,"FG_PRICE(12/30/2015)")</f>
        <v>35.21</v>
      </c>
      <c r="I689" s="13">
        <f>_xll.FDS(G689,"FG_PRICE(12/31/2017)")</f>
        <v>28.74</v>
      </c>
      <c r="J689" s="13">
        <f>I689/H689-1</f>
        <v>-0.183754615166146</v>
      </c>
      <c r="K689" s="13">
        <f>J689-E689</f>
        <v>-0.4795100819775604</v>
      </c>
      <c r="L689" s="13">
        <f>_xll.FDS(G689,"FF_ROE(ANN_R,12/30/2015)")</f>
        <v>19.53226701592666</v>
      </c>
      <c r="M689" s="8" t="s">
        <v>4405</v>
      </c>
      <c r="N689" s="4" t="s">
        <v>4406</v>
      </c>
      <c r="O689" s="4" t="s">
        <v>4407</v>
      </c>
      <c r="P689" s="4" t="s">
        <v>96</v>
      </c>
      <c r="Q689" s="4" t="s">
        <v>83</v>
      </c>
      <c r="R689" s="4" t="s">
        <v>61</v>
      </c>
      <c r="S689" s="4" t="s">
        <v>62</v>
      </c>
      <c r="T689" s="6" t="e">
        <v>#N/A</v>
      </c>
      <c r="U689" s="5">
        <v>51</v>
      </c>
      <c r="V689" s="5">
        <v>37</v>
      </c>
      <c r="W689" s="5">
        <v>53</v>
      </c>
      <c r="X689" s="5">
        <v>67</v>
      </c>
      <c r="Y689" s="5">
        <v>38.299999999999997</v>
      </c>
      <c r="Z689" s="5">
        <v>20.21</v>
      </c>
      <c r="AA689" s="5">
        <v>40.96</v>
      </c>
      <c r="AB689" s="5">
        <v>56.38</v>
      </c>
      <c r="AC689" s="6">
        <v>0.35</v>
      </c>
      <c r="AD689" s="6">
        <v>0.4</v>
      </c>
      <c r="AE689" s="6">
        <v>0.25</v>
      </c>
      <c r="AF689" s="4" t="s">
        <v>6296</v>
      </c>
      <c r="AG689" s="4" t="s">
        <v>6296</v>
      </c>
      <c r="AH689" s="4" t="s">
        <v>6296</v>
      </c>
      <c r="AI689" s="4" t="s">
        <v>37</v>
      </c>
      <c r="AJ689" s="4" t="s">
        <v>6296</v>
      </c>
      <c r="AK689" s="4" t="s">
        <v>42</v>
      </c>
      <c r="AL689" s="4" t="s">
        <v>6296</v>
      </c>
      <c r="AM689" s="4" t="s">
        <v>6296</v>
      </c>
      <c r="AN689" s="4" t="s">
        <v>6296</v>
      </c>
      <c r="AO689" s="4" t="s">
        <v>6296</v>
      </c>
      <c r="AP689" s="4" t="s">
        <v>4408</v>
      </c>
      <c r="AQ689" s="4" t="s">
        <v>47</v>
      </c>
    </row>
    <row r="690" spans="1:43" ht="12.6" customHeight="1" x14ac:dyDescent="0.25">
      <c r="A690" s="8" t="s">
        <v>1349</v>
      </c>
      <c r="B690" s="9">
        <v>20151231</v>
      </c>
      <c r="C690" s="12">
        <f>_xll.FDS("SPX","FG_PRICE(12/30/2015)")</f>
        <v>2063.36</v>
      </c>
      <c r="D690" s="12">
        <f>_xll.FDS("SPX","FG_PRICE(12/30/2017)")</f>
        <v>2673.61</v>
      </c>
      <c r="E690" s="15">
        <f>D690/C690-1</f>
        <v>0.2957554668114144</v>
      </c>
      <c r="F690" s="8" t="s">
        <v>1350</v>
      </c>
      <c r="G690" s="8" t="s">
        <v>1351</v>
      </c>
      <c r="H690" s="13">
        <f>_xll.FDS(G690,"FG_PRICE(12/30/2015)")</f>
        <v>77.62</v>
      </c>
      <c r="I690" s="13">
        <f>_xll.FDS(G690,"FG_PRICE(12/31/2017)")</f>
        <v>107.31</v>
      </c>
      <c r="J690" s="13">
        <f>I690/H690-1</f>
        <v>0.38250450914712708</v>
      </c>
      <c r="K690" s="13">
        <f>J690-E690</f>
        <v>8.6749042335712678E-2</v>
      </c>
      <c r="L690" s="13">
        <f>_xll.FDS(G690,"FF_ROE(ANN_R,12/30/2015)")</f>
        <v>40.545386879588598</v>
      </c>
      <c r="M690" s="8" t="s">
        <v>1352</v>
      </c>
      <c r="N690" s="4" t="s">
        <v>1353</v>
      </c>
      <c r="O690" s="4" t="s">
        <v>1354</v>
      </c>
      <c r="P690" s="4" t="s">
        <v>106</v>
      </c>
      <c r="Q690" s="4" t="s">
        <v>83</v>
      </c>
      <c r="R690" s="4" t="s">
        <v>61</v>
      </c>
      <c r="S690" s="4" t="s">
        <v>62</v>
      </c>
      <c r="T690" s="6" t="e">
        <v>#N/A</v>
      </c>
      <c r="U690" s="5">
        <v>52</v>
      </c>
      <c r="V690" s="5">
        <v>45</v>
      </c>
      <c r="W690" s="5">
        <v>46</v>
      </c>
      <c r="X690" s="5">
        <v>70</v>
      </c>
      <c r="Y690" s="5">
        <v>43.62</v>
      </c>
      <c r="Z690" s="5">
        <v>56.91</v>
      </c>
      <c r="AA690" s="6">
        <v>9.0399999999999991</v>
      </c>
      <c r="AB690" s="5">
        <v>69.680000000000007</v>
      </c>
      <c r="AC690" s="6">
        <v>0.35</v>
      </c>
      <c r="AD690" s="6">
        <v>0.4</v>
      </c>
      <c r="AE690" s="6">
        <v>0.25</v>
      </c>
      <c r="AF690" s="4" t="s">
        <v>37</v>
      </c>
      <c r="AG690" s="4" t="s">
        <v>6296</v>
      </c>
      <c r="AH690" s="4" t="s">
        <v>6296</v>
      </c>
      <c r="AI690" s="4" t="s">
        <v>37</v>
      </c>
      <c r="AJ690" s="4" t="s">
        <v>42</v>
      </c>
      <c r="AK690" s="4" t="s">
        <v>42</v>
      </c>
      <c r="AL690" s="4" t="s">
        <v>6296</v>
      </c>
      <c r="AM690" s="4" t="s">
        <v>42</v>
      </c>
      <c r="AN690" s="4" t="s">
        <v>42</v>
      </c>
      <c r="AO690" s="4" t="s">
        <v>6296</v>
      </c>
      <c r="AP690" s="4" t="s">
        <v>1355</v>
      </c>
      <c r="AQ690" s="4" t="s">
        <v>47</v>
      </c>
    </row>
    <row r="691" spans="1:43" ht="12.6" customHeight="1" x14ac:dyDescent="0.25">
      <c r="A691" s="8" t="s">
        <v>5445</v>
      </c>
      <c r="B691" s="9">
        <v>20151231</v>
      </c>
      <c r="C691" s="12">
        <f>_xll.FDS("SPX","FG_PRICE(12/30/2015)")</f>
        <v>2063.36</v>
      </c>
      <c r="D691" s="12">
        <f>_xll.FDS("SPX","FG_PRICE(12/30/2017)")</f>
        <v>2673.61</v>
      </c>
      <c r="E691" s="15">
        <f>D691/C691-1</f>
        <v>0.2957554668114144</v>
      </c>
      <c r="F691" s="8" t="s">
        <v>5446</v>
      </c>
      <c r="G691" s="8" t="s">
        <v>5447</v>
      </c>
      <c r="H691" s="13">
        <f>_xll.FDS(G691,"FG_PRICE(12/30/2015)")</f>
        <v>126.27</v>
      </c>
      <c r="I691" s="13">
        <f>_xll.FDS(G691,"FG_PRICE(12/31/2017)")</f>
        <v>119.77</v>
      </c>
      <c r="J691" s="13">
        <f>I691/H691-1</f>
        <v>-5.1476993743565402E-2</v>
      </c>
      <c r="K691" s="13">
        <f>J691-E691</f>
        <v>-0.3472324605549798</v>
      </c>
      <c r="L691" s="13">
        <f>_xll.FDS(G691,"FF_ROE(ANN_R,12/30/2015)")</f>
        <v>20.260776119281449</v>
      </c>
      <c r="M691" s="8" t="s">
        <v>5448</v>
      </c>
      <c r="N691" s="4" t="s">
        <v>5449</v>
      </c>
      <c r="O691" s="4" t="s">
        <v>5450</v>
      </c>
      <c r="P691" s="4" t="s">
        <v>106</v>
      </c>
      <c r="Q691" s="4" t="s">
        <v>83</v>
      </c>
      <c r="R691" s="4" t="s">
        <v>61</v>
      </c>
      <c r="S691" s="4" t="s">
        <v>62</v>
      </c>
      <c r="T691" s="6" t="e">
        <v>#N/A</v>
      </c>
      <c r="U691" s="5">
        <v>46</v>
      </c>
      <c r="V691" s="5">
        <v>41</v>
      </c>
      <c r="W691" s="5">
        <v>45</v>
      </c>
      <c r="X691" s="5">
        <v>52</v>
      </c>
      <c r="Y691" s="5">
        <v>12.77</v>
      </c>
      <c r="Z691" s="5">
        <v>41.49</v>
      </c>
      <c r="AA691" s="6">
        <v>7.45</v>
      </c>
      <c r="AB691" s="6">
        <v>9.57</v>
      </c>
      <c r="AC691" s="6">
        <v>0.35</v>
      </c>
      <c r="AD691" s="6">
        <v>0.4</v>
      </c>
      <c r="AE691" s="6">
        <v>0.25</v>
      </c>
      <c r="AF691" s="4" t="s">
        <v>6296</v>
      </c>
      <c r="AG691" s="4" t="s">
        <v>6296</v>
      </c>
      <c r="AH691" s="4" t="s">
        <v>6296</v>
      </c>
      <c r="AI691" s="4" t="s">
        <v>6296</v>
      </c>
      <c r="AJ691" s="4" t="s">
        <v>6296</v>
      </c>
      <c r="AK691" s="4" t="s">
        <v>42</v>
      </c>
      <c r="AL691" s="4" t="s">
        <v>6296</v>
      </c>
      <c r="AM691" s="4" t="s">
        <v>37</v>
      </c>
      <c r="AN691" s="4" t="s">
        <v>42</v>
      </c>
      <c r="AO691" s="4" t="s">
        <v>6296</v>
      </c>
      <c r="AP691" s="4" t="s">
        <v>5451</v>
      </c>
      <c r="AQ691" s="4" t="s">
        <v>47</v>
      </c>
    </row>
    <row r="692" spans="1:43" ht="12.6" customHeight="1" x14ac:dyDescent="0.25">
      <c r="A692" s="8" t="s">
        <v>4422</v>
      </c>
      <c r="B692" s="9">
        <v>20151231</v>
      </c>
      <c r="C692" s="12">
        <f>_xll.FDS("SPX","FG_PRICE(12/30/2015)")</f>
        <v>2063.36</v>
      </c>
      <c r="D692" s="12">
        <f>_xll.FDS("SPX","FG_PRICE(12/30/2017)")</f>
        <v>2673.61</v>
      </c>
      <c r="E692" s="15">
        <f>D692/C692-1</f>
        <v>0.2957554668114144</v>
      </c>
      <c r="F692" s="8" t="s">
        <v>4423</v>
      </c>
      <c r="G692" s="8" t="s">
        <v>4424</v>
      </c>
      <c r="H692" s="13">
        <f>_xll.FDS(G692,"FG_PRICE(12/30/2015)")</f>
        <v>64.94</v>
      </c>
      <c r="I692" s="13">
        <f>_xll.FDS(G692,"FG_PRICE(12/31/2017)")</f>
        <v>46.88</v>
      </c>
      <c r="J692" s="13">
        <f>I692/H692-1</f>
        <v>-0.27810286418232211</v>
      </c>
      <c r="K692" s="13">
        <f>J692-E692</f>
        <v>-0.57385833099373651</v>
      </c>
      <c r="L692" s="13">
        <f>_xll.FDS(G692,"FF_ROE(ANN_R,12/30/2015)")</f>
        <v>20.833333333333339</v>
      </c>
      <c r="M692" s="8" t="s">
        <v>4425</v>
      </c>
      <c r="N692" s="4" t="s">
        <v>4426</v>
      </c>
      <c r="O692" s="4" t="s">
        <v>4427</v>
      </c>
      <c r="P692" s="4" t="s">
        <v>96</v>
      </c>
      <c r="Q692" s="4" t="s">
        <v>83</v>
      </c>
      <c r="R692" s="4" t="s">
        <v>61</v>
      </c>
      <c r="S692" s="4" t="s">
        <v>62</v>
      </c>
      <c r="T692" s="6" t="e">
        <v>#N/A</v>
      </c>
      <c r="U692" s="5">
        <v>50</v>
      </c>
      <c r="V692" s="5">
        <v>37</v>
      </c>
      <c r="W692" s="5">
        <v>51</v>
      </c>
      <c r="X692" s="5">
        <v>66</v>
      </c>
      <c r="Y692" s="5">
        <v>34.04</v>
      </c>
      <c r="Z692" s="5">
        <v>20.21</v>
      </c>
      <c r="AA692" s="5">
        <v>31.91</v>
      </c>
      <c r="AB692" s="5">
        <v>52.66</v>
      </c>
      <c r="AC692" s="6">
        <v>0.35</v>
      </c>
      <c r="AD692" s="6">
        <v>0.4</v>
      </c>
      <c r="AE692" s="6">
        <v>0.25</v>
      </c>
      <c r="AF692" s="4" t="s">
        <v>6296</v>
      </c>
      <c r="AG692" s="4" t="s">
        <v>6296</v>
      </c>
      <c r="AH692" s="4" t="s">
        <v>6296</v>
      </c>
      <c r="AI692" s="4" t="s">
        <v>37</v>
      </c>
      <c r="AJ692" s="4" t="s">
        <v>6296</v>
      </c>
      <c r="AK692" s="4" t="s">
        <v>6296</v>
      </c>
      <c r="AL692" s="4" t="s">
        <v>6296</v>
      </c>
      <c r="AM692" s="4" t="s">
        <v>42</v>
      </c>
      <c r="AN692" s="4" t="s">
        <v>6296</v>
      </c>
      <c r="AO692" s="4" t="s">
        <v>6296</v>
      </c>
      <c r="AP692" s="4" t="s">
        <v>4428</v>
      </c>
      <c r="AQ692" s="4" t="s">
        <v>47</v>
      </c>
    </row>
    <row r="693" spans="1:43" ht="12.6" customHeight="1" x14ac:dyDescent="0.25">
      <c r="A693" s="8" t="s">
        <v>1808</v>
      </c>
      <c r="B693" s="9">
        <v>20151231</v>
      </c>
      <c r="C693" s="12">
        <f>_xll.FDS("SPX","FG_PRICE(12/30/2015)")</f>
        <v>2063.36</v>
      </c>
      <c r="D693" s="12">
        <f>_xll.FDS("SPX","FG_PRICE(12/30/2017)")</f>
        <v>2673.61</v>
      </c>
      <c r="E693" s="15">
        <f>D693/C693-1</f>
        <v>0.2957554668114144</v>
      </c>
      <c r="F693" s="8" t="s">
        <v>1809</v>
      </c>
      <c r="G693" s="8" t="s">
        <v>1810</v>
      </c>
      <c r="H693" s="13">
        <f>_xll.FDS(G693,"FG_PRICE(12/30/2015)")</f>
        <v>19.100000000000001</v>
      </c>
      <c r="I693" s="13">
        <f>_xll.FDS(G693,"FG_PRICE(12/31/2017)")</f>
        <v>16.88</v>
      </c>
      <c r="J693" s="13">
        <f>I693/H693-1</f>
        <v>-0.11623036649214669</v>
      </c>
      <c r="K693" s="13">
        <f>J693-E693</f>
        <v>-0.41198583330356109</v>
      </c>
      <c r="L693" s="13">
        <f>_xll.FDS(G693,"FF_ROE(ANN_R,12/30/2015)")</f>
        <v>8.4284028235885433</v>
      </c>
      <c r="M693" s="8" t="s">
        <v>1811</v>
      </c>
      <c r="N693" s="4" t="s">
        <v>1812</v>
      </c>
      <c r="O693" s="4" t="s">
        <v>1813</v>
      </c>
      <c r="P693" s="4" t="s">
        <v>96</v>
      </c>
      <c r="Q693" s="4" t="s">
        <v>83</v>
      </c>
      <c r="R693" s="4" t="s">
        <v>61</v>
      </c>
      <c r="S693" s="4" t="s">
        <v>62</v>
      </c>
      <c r="T693" s="6" t="e">
        <v>#N/A</v>
      </c>
      <c r="U693" s="5">
        <v>48</v>
      </c>
      <c r="V693" s="5">
        <v>34</v>
      </c>
      <c r="W693" s="5">
        <v>51</v>
      </c>
      <c r="X693" s="5">
        <v>64</v>
      </c>
      <c r="Y693" s="5">
        <v>23.94</v>
      </c>
      <c r="Z693" s="6">
        <v>0</v>
      </c>
      <c r="AA693" s="5">
        <v>31.91</v>
      </c>
      <c r="AB693" s="5">
        <v>43.09</v>
      </c>
      <c r="AC693" s="6">
        <v>0.35</v>
      </c>
      <c r="AD693" s="6">
        <v>0.4</v>
      </c>
      <c r="AE693" s="6">
        <v>0.25</v>
      </c>
      <c r="AF693" s="4" t="s">
        <v>6296</v>
      </c>
      <c r="AG693" s="4" t="s">
        <v>42</v>
      </c>
      <c r="AH693" s="4" t="s">
        <v>6296</v>
      </c>
      <c r="AI693" s="4" t="s">
        <v>6296</v>
      </c>
      <c r="AJ693" s="4" t="s">
        <v>6296</v>
      </c>
      <c r="AK693" s="4" t="s">
        <v>42</v>
      </c>
      <c r="AL693" s="4" t="s">
        <v>6296</v>
      </c>
      <c r="AM693" s="4" t="s">
        <v>42</v>
      </c>
      <c r="AN693" s="4" t="s">
        <v>6296</v>
      </c>
      <c r="AO693" s="4" t="s">
        <v>6296</v>
      </c>
      <c r="AP693" s="4" t="s">
        <v>1814</v>
      </c>
      <c r="AQ693" s="4" t="s">
        <v>47</v>
      </c>
    </row>
    <row r="694" spans="1:43" ht="12.6" customHeight="1" x14ac:dyDescent="0.25">
      <c r="A694" s="8" t="s">
        <v>4681</v>
      </c>
      <c r="B694" s="9">
        <v>20151231</v>
      </c>
      <c r="C694" s="12">
        <f>_xll.FDS("SPX","FG_PRICE(12/30/2015)")</f>
        <v>2063.36</v>
      </c>
      <c r="D694" s="12">
        <f>_xll.FDS("SPX","FG_PRICE(12/30/2017)")</f>
        <v>2673.61</v>
      </c>
      <c r="E694" s="15">
        <f>D694/C694-1</f>
        <v>0.2957554668114144</v>
      </c>
      <c r="F694" s="8" t="s">
        <v>4682</v>
      </c>
      <c r="G694" s="8" t="s">
        <v>4683</v>
      </c>
      <c r="H694" s="13">
        <f>_xll.FDS(G694,"FG_PRICE(12/30/2015)")</f>
        <v>28.48</v>
      </c>
      <c r="I694" s="13">
        <f>_xll.FDS(G694,"FG_PRICE(12/31/2017)")</f>
        <v>17.95</v>
      </c>
      <c r="J694" s="13">
        <f>I694/H694-1</f>
        <v>-0.36973314606741581</v>
      </c>
      <c r="K694" s="13">
        <f>J694-E694</f>
        <v>-0.66548861287883021</v>
      </c>
      <c r="L694" s="13">
        <f>_xll.FDS(G694,"FF_ROE(ANN_R,12/30/2015)")</f>
        <v>18.20286633789447</v>
      </c>
      <c r="M694" s="8" t="s">
        <v>4684</v>
      </c>
      <c r="N694" s="4" t="s">
        <v>4685</v>
      </c>
      <c r="O694" s="4" t="s">
        <v>4686</v>
      </c>
      <c r="P694" s="4" t="s">
        <v>96</v>
      </c>
      <c r="Q694" s="4" t="s">
        <v>83</v>
      </c>
      <c r="R694" s="4" t="s">
        <v>61</v>
      </c>
      <c r="S694" s="4" t="s">
        <v>62</v>
      </c>
      <c r="T694" s="6" t="e">
        <v>#N/A</v>
      </c>
      <c r="U694" s="5">
        <v>54</v>
      </c>
      <c r="V694" s="5">
        <v>37</v>
      </c>
      <c r="W694" s="5">
        <v>57</v>
      </c>
      <c r="X694" s="5">
        <v>72</v>
      </c>
      <c r="Y694" s="5">
        <v>48.4</v>
      </c>
      <c r="Z694" s="5">
        <v>20.21</v>
      </c>
      <c r="AA694" s="5">
        <v>51.6</v>
      </c>
      <c r="AB694" s="5">
        <v>77.13</v>
      </c>
      <c r="AC694" s="6">
        <v>0.35</v>
      </c>
      <c r="AD694" s="6">
        <v>0.4</v>
      </c>
      <c r="AE694" s="6">
        <v>0.25</v>
      </c>
      <c r="AF694" s="4" t="s">
        <v>6296</v>
      </c>
      <c r="AG694" s="4" t="s">
        <v>6296</v>
      </c>
      <c r="AH694" s="4" t="s">
        <v>6296</v>
      </c>
      <c r="AI694" s="4" t="s">
        <v>6296</v>
      </c>
      <c r="AJ694" s="4" t="s">
        <v>6296</v>
      </c>
      <c r="AK694" s="4" t="s">
        <v>6296</v>
      </c>
      <c r="AL694" s="4" t="s">
        <v>6296</v>
      </c>
      <c r="AM694" s="4" t="s">
        <v>42</v>
      </c>
      <c r="AN694" s="4" t="s">
        <v>6296</v>
      </c>
      <c r="AO694" s="4" t="s">
        <v>6296</v>
      </c>
      <c r="AP694" s="4" t="s">
        <v>4687</v>
      </c>
      <c r="AQ694" s="4" t="s">
        <v>47</v>
      </c>
    </row>
    <row r="695" spans="1:43" ht="12.6" customHeight="1" x14ac:dyDescent="0.25">
      <c r="A695" s="8" t="s">
        <v>5132</v>
      </c>
      <c r="B695" s="9">
        <v>20151231</v>
      </c>
      <c r="C695" s="12">
        <f>_xll.FDS("SPX","FG_PRICE(12/30/2015)")</f>
        <v>2063.36</v>
      </c>
      <c r="D695" s="12">
        <f>_xll.FDS("SPX","FG_PRICE(12/30/2017)")</f>
        <v>2673.61</v>
      </c>
      <c r="E695" s="15">
        <f>D695/C695-1</f>
        <v>0.2957554668114144</v>
      </c>
      <c r="F695" s="8" t="s">
        <v>5133</v>
      </c>
      <c r="G695" s="8" t="s">
        <v>5134</v>
      </c>
      <c r="H695" s="13">
        <f>_xll.FDS(G695,"FG_PRICE(12/30/2015)")</f>
        <v>31.13</v>
      </c>
      <c r="I695" s="13">
        <f>_xll.FDS(G695,"FG_PRICE(12/31/2017)")</f>
        <v>3.69</v>
      </c>
      <c r="J695" s="13">
        <f>I695/H695-1</f>
        <v>-0.88146482492772249</v>
      </c>
      <c r="K695" s="13">
        <f>J695-E695</f>
        <v>-1.177220291739137</v>
      </c>
      <c r="L695" s="13">
        <f>_xll.FDS(G695,"FF_ROE(ANN_R,12/30/2015)")</f>
        <v>32.561519245721939</v>
      </c>
      <c r="M695" s="8" t="s">
        <v>5135</v>
      </c>
      <c r="N695" s="4" t="s">
        <v>5136</v>
      </c>
      <c r="O695" s="4" t="s">
        <v>80</v>
      </c>
      <c r="P695" s="4" t="s">
        <v>96</v>
      </c>
      <c r="Q695" s="4" t="s">
        <v>83</v>
      </c>
      <c r="R695" s="4" t="s">
        <v>61</v>
      </c>
      <c r="S695" s="4" t="s">
        <v>62</v>
      </c>
      <c r="T695" s="6" t="e">
        <v>#N/A</v>
      </c>
      <c r="U695" s="5">
        <v>48</v>
      </c>
      <c r="V695" s="5">
        <v>34</v>
      </c>
      <c r="W695" s="5">
        <v>47</v>
      </c>
      <c r="X695" s="5">
        <v>67</v>
      </c>
      <c r="Y695" s="5">
        <v>23.94</v>
      </c>
      <c r="Z695" s="6">
        <v>0</v>
      </c>
      <c r="AA695" s="5">
        <v>13.3</v>
      </c>
      <c r="AB695" s="5">
        <v>56.38</v>
      </c>
      <c r="AC695" s="6">
        <v>0.35</v>
      </c>
      <c r="AD695" s="6">
        <v>0.4</v>
      </c>
      <c r="AE695" s="6">
        <v>0.25</v>
      </c>
      <c r="AF695" s="4" t="s">
        <v>6296</v>
      </c>
      <c r="AG695" s="4" t="s">
        <v>6296</v>
      </c>
      <c r="AH695" s="4" t="s">
        <v>6296</v>
      </c>
      <c r="AI695" s="4" t="s">
        <v>42</v>
      </c>
      <c r="AJ695" s="4" t="s">
        <v>6296</v>
      </c>
      <c r="AK695" s="4" t="s">
        <v>46</v>
      </c>
      <c r="AL695" s="4" t="s">
        <v>6296</v>
      </c>
      <c r="AM695" s="4" t="s">
        <v>6296</v>
      </c>
      <c r="AN695" s="4" t="s">
        <v>6296</v>
      </c>
      <c r="AO695" s="4" t="s">
        <v>6296</v>
      </c>
      <c r="AP695" s="4" t="s">
        <v>5137</v>
      </c>
      <c r="AQ695" s="4" t="s">
        <v>47</v>
      </c>
    </row>
    <row r="696" spans="1:43" ht="12.6" customHeight="1" x14ac:dyDescent="0.25">
      <c r="A696" s="8" t="s">
        <v>1743</v>
      </c>
      <c r="B696" s="9">
        <v>20151231</v>
      </c>
      <c r="C696" s="12">
        <f>_xll.FDS("SPX","FG_PRICE(12/30/2015)")</f>
        <v>2063.36</v>
      </c>
      <c r="D696" s="12">
        <f>_xll.FDS("SPX","FG_PRICE(12/30/2017)")</f>
        <v>2673.61</v>
      </c>
      <c r="E696" s="15">
        <f>D696/C696-1</f>
        <v>0.2957554668114144</v>
      </c>
      <c r="F696" s="8" t="s">
        <v>1744</v>
      </c>
      <c r="G696" s="8" t="s">
        <v>1745</v>
      </c>
      <c r="H696" s="13">
        <f>_xll.FDS(G696,"FG_PRICE(12/30/2015)")</f>
        <v>86.87</v>
      </c>
      <c r="I696" s="13">
        <f>_xll.FDS(G696,"FG_PRICE(12/31/2017)")</f>
        <v>95.01</v>
      </c>
      <c r="J696" s="13">
        <f>I696/H696-1</f>
        <v>9.3703234718544914E-2</v>
      </c>
      <c r="K696" s="13">
        <f>J696-E696</f>
        <v>-0.20205223209286949</v>
      </c>
      <c r="L696" s="13">
        <f>_xll.FDS(G696,"FF_ROE(ANN_R,12/30/2015)")</f>
        <v>21.391024374458858</v>
      </c>
      <c r="M696" s="8" t="s">
        <v>1746</v>
      </c>
      <c r="N696" s="4" t="s">
        <v>1746</v>
      </c>
      <c r="O696" s="4" t="s">
        <v>1747</v>
      </c>
      <c r="P696" s="4" t="s">
        <v>96</v>
      </c>
      <c r="Q696" s="4" t="s">
        <v>83</v>
      </c>
      <c r="R696" s="4" t="s">
        <v>61</v>
      </c>
      <c r="S696" s="4" t="s">
        <v>62</v>
      </c>
      <c r="T696" s="6" t="e">
        <v>#N/A</v>
      </c>
      <c r="U696" s="5">
        <v>47</v>
      </c>
      <c r="V696" s="5">
        <v>41</v>
      </c>
      <c r="W696" s="5">
        <v>44</v>
      </c>
      <c r="X696" s="5">
        <v>62</v>
      </c>
      <c r="Y696" s="5">
        <v>18.09</v>
      </c>
      <c r="Z696" s="5">
        <v>41.49</v>
      </c>
      <c r="AA696" s="6">
        <v>4.26</v>
      </c>
      <c r="AB696" s="5">
        <v>39.36</v>
      </c>
      <c r="AC696" s="6">
        <v>0.35</v>
      </c>
      <c r="AD696" s="6">
        <v>0.4</v>
      </c>
      <c r="AE696" s="6">
        <v>0.25</v>
      </c>
      <c r="AF696" s="4" t="s">
        <v>6296</v>
      </c>
      <c r="AG696" s="4" t="s">
        <v>6296</v>
      </c>
      <c r="AH696" s="4" t="s">
        <v>6296</v>
      </c>
      <c r="AI696" s="4" t="s">
        <v>6296</v>
      </c>
      <c r="AJ696" s="4" t="s">
        <v>6296</v>
      </c>
      <c r="AK696" s="4" t="s">
        <v>42</v>
      </c>
      <c r="AL696" s="4" t="s">
        <v>6296</v>
      </c>
      <c r="AM696" s="4" t="s">
        <v>6296</v>
      </c>
      <c r="AN696" s="4" t="s">
        <v>6296</v>
      </c>
      <c r="AO696" s="4" t="s">
        <v>6296</v>
      </c>
      <c r="AP696" s="4" t="s">
        <v>1748</v>
      </c>
      <c r="AQ696" s="4" t="s">
        <v>47</v>
      </c>
    </row>
    <row r="697" spans="1:43" ht="12.6" customHeight="1" x14ac:dyDescent="0.25">
      <c r="A697" s="8" t="s">
        <v>1711</v>
      </c>
      <c r="B697" s="9">
        <v>20151231</v>
      </c>
      <c r="C697" s="12">
        <f>_xll.FDS("SPX","FG_PRICE(12/30/2015)")</f>
        <v>2063.36</v>
      </c>
      <c r="D697" s="12">
        <f>_xll.FDS("SPX","FG_PRICE(12/30/2017)")</f>
        <v>2673.61</v>
      </c>
      <c r="E697" s="15">
        <f>D697/C697-1</f>
        <v>0.2957554668114144</v>
      </c>
      <c r="F697" s="8" t="s">
        <v>1712</v>
      </c>
      <c r="G697" s="8" t="s">
        <v>1713</v>
      </c>
      <c r="H697" s="13">
        <f>_xll.FDS(G697,"FG_PRICE(12/30/2015)")</f>
        <v>25.24</v>
      </c>
      <c r="I697" s="13">
        <f>_xll.FDS(G697,"FG_PRICE(12/31/2017)")</f>
        <v>34.06</v>
      </c>
      <c r="J697" s="13">
        <f>I697/H697-1</f>
        <v>0.34944532488114133</v>
      </c>
      <c r="K697" s="13">
        <f>J697-E697</f>
        <v>5.3689858069726926E-2</v>
      </c>
      <c r="L697" s="13">
        <f>_xll.FDS(G697,"FF_ROE(ANN_R,12/30/2015)")</f>
        <v>41.753515301902397</v>
      </c>
      <c r="M697" s="8" t="s">
        <v>1714</v>
      </c>
      <c r="N697" s="4" t="s">
        <v>1715</v>
      </c>
      <c r="O697" s="4" t="s">
        <v>1716</v>
      </c>
      <c r="P697" s="4" t="s">
        <v>96</v>
      </c>
      <c r="Q697" s="4" t="s">
        <v>83</v>
      </c>
      <c r="R697" s="4" t="s">
        <v>61</v>
      </c>
      <c r="S697" s="4" t="s">
        <v>62</v>
      </c>
      <c r="T697" s="6" t="e">
        <v>#N/A</v>
      </c>
      <c r="U697" s="5">
        <v>67</v>
      </c>
      <c r="V697" s="5">
        <v>60</v>
      </c>
      <c r="W697" s="5">
        <v>72</v>
      </c>
      <c r="X697" s="5">
        <v>70</v>
      </c>
      <c r="Y697" s="5">
        <v>82.45</v>
      </c>
      <c r="Z697" s="5">
        <v>84.57</v>
      </c>
      <c r="AA697" s="5">
        <v>80.849999999999994</v>
      </c>
      <c r="AB697" s="5">
        <v>69.680000000000007</v>
      </c>
      <c r="AC697" s="6">
        <v>0.35</v>
      </c>
      <c r="AD697" s="6">
        <v>0.4</v>
      </c>
      <c r="AE697" s="6">
        <v>0.25</v>
      </c>
      <c r="AF697" s="4" t="s">
        <v>6296</v>
      </c>
      <c r="AG697" s="4" t="s">
        <v>42</v>
      </c>
      <c r="AH697" s="4" t="s">
        <v>6296</v>
      </c>
      <c r="AI697" s="4" t="s">
        <v>6296</v>
      </c>
      <c r="AJ697" s="4" t="s">
        <v>37</v>
      </c>
      <c r="AK697" s="4" t="s">
        <v>42</v>
      </c>
      <c r="AL697" s="4" t="s">
        <v>6296</v>
      </c>
      <c r="AM697" s="4" t="s">
        <v>6296</v>
      </c>
      <c r="AN697" s="4" t="s">
        <v>6296</v>
      </c>
      <c r="AO697" s="4" t="s">
        <v>6296</v>
      </c>
      <c r="AP697" s="4" t="s">
        <v>1717</v>
      </c>
      <c r="AQ697" s="4" t="s">
        <v>47</v>
      </c>
    </row>
    <row r="698" spans="1:43" ht="12.6" customHeight="1" x14ac:dyDescent="0.25">
      <c r="A698" s="8" t="s">
        <v>5458</v>
      </c>
      <c r="B698" s="9">
        <v>20151231</v>
      </c>
      <c r="C698" s="12">
        <f>_xll.FDS("SPX","FG_PRICE(12/30/2015)")</f>
        <v>2063.36</v>
      </c>
      <c r="D698" s="12">
        <f>_xll.FDS("SPX","FG_PRICE(12/30/2017)")</f>
        <v>2673.61</v>
      </c>
      <c r="E698" s="15">
        <f>D698/C698-1</f>
        <v>0.2957554668114144</v>
      </c>
      <c r="F698" s="8" t="s">
        <v>5459</v>
      </c>
      <c r="G698" s="8" t="s">
        <v>5460</v>
      </c>
      <c r="H698" s="13">
        <f>_xll.FDS(G698,"FG_PRICE(12/30/2015)")</f>
        <v>3.13</v>
      </c>
      <c r="I698" s="13">
        <f>_xll.FDS(G698,"FG_PRICE(12/31/2017)")</f>
        <v>5.0999999999999996</v>
      </c>
      <c r="J698" s="13">
        <f>I698/H698-1</f>
        <v>0.62939297124600624</v>
      </c>
      <c r="K698" s="13">
        <f>J698-E698</f>
        <v>0.33363750443459184</v>
      </c>
      <c r="L698" s="13">
        <f>_xll.FDS(G698,"FF_ROE(ANN_R,12/30/2015)")</f>
        <v>-9.9005944555858321</v>
      </c>
      <c r="M698" s="8" t="s">
        <v>5461</v>
      </c>
      <c r="N698" s="4" t="s">
        <v>5462</v>
      </c>
      <c r="O698" s="4" t="s">
        <v>5463</v>
      </c>
      <c r="P698" s="4" t="s">
        <v>106</v>
      </c>
      <c r="Q698" s="4" t="s">
        <v>83</v>
      </c>
      <c r="R698" s="4" t="s">
        <v>61</v>
      </c>
      <c r="S698" s="4" t="s">
        <v>62</v>
      </c>
      <c r="T698" s="6" t="e">
        <v>#N/A</v>
      </c>
      <c r="U698" s="5">
        <v>46</v>
      </c>
      <c r="V698" s="5">
        <v>37</v>
      </c>
      <c r="W698" s="5">
        <v>42</v>
      </c>
      <c r="X698" s="5">
        <v>64</v>
      </c>
      <c r="Y698" s="5">
        <v>12.77</v>
      </c>
      <c r="Z698" s="5">
        <v>20.21</v>
      </c>
      <c r="AA698" s="6">
        <v>0</v>
      </c>
      <c r="AB698" s="5">
        <v>43.09</v>
      </c>
      <c r="AC698" s="6">
        <v>0.35</v>
      </c>
      <c r="AD698" s="6">
        <v>0.4</v>
      </c>
      <c r="AE698" s="6">
        <v>0.25</v>
      </c>
      <c r="AF698" s="4" t="s">
        <v>6296</v>
      </c>
      <c r="AG698" s="4" t="s">
        <v>6296</v>
      </c>
      <c r="AH698" s="4" t="s">
        <v>6296</v>
      </c>
      <c r="AI698" s="4" t="s">
        <v>37</v>
      </c>
      <c r="AJ698" s="4" t="s">
        <v>6296</v>
      </c>
      <c r="AK698" s="4" t="s">
        <v>42</v>
      </c>
      <c r="AL698" s="4" t="s">
        <v>6296</v>
      </c>
      <c r="AM698" s="4" t="s">
        <v>42</v>
      </c>
      <c r="AN698" s="4" t="s">
        <v>6296</v>
      </c>
      <c r="AO698" s="4" t="s">
        <v>6296</v>
      </c>
      <c r="AP698" s="4" t="s">
        <v>5464</v>
      </c>
      <c r="AQ698" s="4" t="s">
        <v>47</v>
      </c>
    </row>
    <row r="699" spans="1:43" ht="12.6" customHeight="1" x14ac:dyDescent="0.25">
      <c r="A699" s="8" t="s">
        <v>2021</v>
      </c>
      <c r="B699" s="9">
        <v>20151231</v>
      </c>
      <c r="C699" s="12">
        <f>_xll.FDS("SPX","FG_PRICE(12/30/2015)")</f>
        <v>2063.36</v>
      </c>
      <c r="D699" s="12">
        <f>_xll.FDS("SPX","FG_PRICE(12/30/2017)")</f>
        <v>2673.61</v>
      </c>
      <c r="E699" s="15">
        <f>D699/C699-1</f>
        <v>0.2957554668114144</v>
      </c>
      <c r="F699" s="8" t="s">
        <v>2022</v>
      </c>
      <c r="G699" s="8" t="s">
        <v>2023</v>
      </c>
      <c r="H699" s="13">
        <f>_xll.FDS(G699,"FG_PRICE(12/30/2015)")</f>
        <v>133.35</v>
      </c>
      <c r="I699" s="13">
        <f>_xll.FDS(G699,"FG_PRICE(12/31/2017)")</f>
        <v>189.53</v>
      </c>
      <c r="J699" s="13">
        <f>I699/H699-1</f>
        <v>0.4212973378327709</v>
      </c>
      <c r="K699" s="13">
        <f>J699-E699</f>
        <v>0.1255418710213565</v>
      </c>
      <c r="L699" s="13">
        <f>_xll.FDS(G699,"FF_ROE(ANN_R,12/30/2015)")</f>
        <v>58.093755722395173</v>
      </c>
      <c r="M699" s="8" t="s">
        <v>2024</v>
      </c>
      <c r="N699" s="4" t="s">
        <v>2025</v>
      </c>
      <c r="O699" s="4" t="s">
        <v>2026</v>
      </c>
      <c r="P699" s="4" t="s">
        <v>96</v>
      </c>
      <c r="Q699" s="4" t="s">
        <v>83</v>
      </c>
      <c r="R699" s="4" t="s">
        <v>61</v>
      </c>
      <c r="S699" s="4" t="s">
        <v>62</v>
      </c>
      <c r="T699" s="6" t="e">
        <v>#N/A</v>
      </c>
      <c r="U699" s="5">
        <v>66</v>
      </c>
      <c r="V699" s="5">
        <v>80</v>
      </c>
      <c r="W699" s="5">
        <v>53</v>
      </c>
      <c r="X699" s="5">
        <v>69</v>
      </c>
      <c r="Y699" s="5">
        <v>79.790000000000006</v>
      </c>
      <c r="Z699" s="5">
        <v>96.28</v>
      </c>
      <c r="AA699" s="5">
        <v>40.96</v>
      </c>
      <c r="AB699" s="5">
        <v>64.89</v>
      </c>
      <c r="AC699" s="6">
        <v>0.35</v>
      </c>
      <c r="AD699" s="6">
        <v>0.4</v>
      </c>
      <c r="AE699" s="6">
        <v>0.25</v>
      </c>
      <c r="AF699" s="4" t="s">
        <v>42</v>
      </c>
      <c r="AG699" s="4" t="s">
        <v>42</v>
      </c>
      <c r="AH699" s="4" t="s">
        <v>6296</v>
      </c>
      <c r="AI699" s="4" t="s">
        <v>42</v>
      </c>
      <c r="AJ699" s="4" t="s">
        <v>37</v>
      </c>
      <c r="AK699" s="4" t="s">
        <v>46</v>
      </c>
      <c r="AL699" s="4" t="s">
        <v>42</v>
      </c>
      <c r="AM699" s="4" t="s">
        <v>42</v>
      </c>
      <c r="AN699" s="4" t="s">
        <v>6296</v>
      </c>
      <c r="AO699" s="4" t="s">
        <v>6296</v>
      </c>
      <c r="AP699" s="4" t="s">
        <v>2027</v>
      </c>
      <c r="AQ699" s="4" t="s">
        <v>47</v>
      </c>
    </row>
    <row r="700" spans="1:43" ht="12.6" customHeight="1" x14ac:dyDescent="0.25">
      <c r="A700" s="8" t="s">
        <v>3089</v>
      </c>
      <c r="B700" s="9">
        <v>20151231</v>
      </c>
      <c r="C700" s="12">
        <f>_xll.FDS("SPX","FG_PRICE(12/30/2015)")</f>
        <v>2063.36</v>
      </c>
      <c r="D700" s="12">
        <f>_xll.FDS("SPX","FG_PRICE(12/30/2017)")</f>
        <v>2673.61</v>
      </c>
      <c r="E700" s="15">
        <f>D700/C700-1</f>
        <v>0.2957554668114144</v>
      </c>
      <c r="F700" s="8" t="s">
        <v>3090</v>
      </c>
      <c r="G700" s="8" t="s">
        <v>3091</v>
      </c>
      <c r="H700" s="13">
        <f>_xll.FDS(G700,"FG_PRICE(12/30/2015)")</f>
        <v>6.77</v>
      </c>
      <c r="I700" s="13">
        <f>_xll.FDS(G700,"FG_PRICE(12/31/2017)")</f>
        <v>3.16</v>
      </c>
      <c r="J700" s="13">
        <f>I700/H700-1</f>
        <v>-0.53323485967503692</v>
      </c>
      <c r="K700" s="13">
        <f>J700-E700</f>
        <v>-0.82899032648645132</v>
      </c>
      <c r="L700" s="13">
        <f>_xll.FDS(G700,"FF_ROE(ANN_R,12/30/2015)")</f>
        <v>-28.674265146970608</v>
      </c>
      <c r="M700" s="8" t="s">
        <v>3092</v>
      </c>
      <c r="N700" s="4" t="s">
        <v>3093</v>
      </c>
      <c r="O700" s="4" t="s">
        <v>3094</v>
      </c>
      <c r="P700" s="4" t="s">
        <v>96</v>
      </c>
      <c r="Q700" s="4" t="s">
        <v>83</v>
      </c>
      <c r="R700" s="4" t="s">
        <v>61</v>
      </c>
      <c r="S700" s="4" t="s">
        <v>62</v>
      </c>
      <c r="T700" s="6" t="e">
        <v>#N/A</v>
      </c>
      <c r="U700" s="5">
        <v>60</v>
      </c>
      <c r="V700" s="5">
        <v>50</v>
      </c>
      <c r="W700" s="5">
        <v>58</v>
      </c>
      <c r="X700" s="5">
        <v>75</v>
      </c>
      <c r="Y700" s="5">
        <v>65.959999999999994</v>
      </c>
      <c r="Z700" s="5">
        <v>66.489999999999995</v>
      </c>
      <c r="AA700" s="5">
        <v>55.32</v>
      </c>
      <c r="AB700" s="5">
        <v>84.57</v>
      </c>
      <c r="AC700" s="6">
        <v>0.35</v>
      </c>
      <c r="AD700" s="6">
        <v>0.4</v>
      </c>
      <c r="AE700" s="6">
        <v>0.25</v>
      </c>
      <c r="AF700" s="4" t="s">
        <v>6296</v>
      </c>
      <c r="AG700" s="4" t="s">
        <v>42</v>
      </c>
      <c r="AH700" s="4" t="s">
        <v>6296</v>
      </c>
      <c r="AI700" s="4" t="s">
        <v>42</v>
      </c>
      <c r="AJ700" s="4" t="s">
        <v>46</v>
      </c>
      <c r="AK700" s="4" t="s">
        <v>42</v>
      </c>
      <c r="AL700" s="4" t="s">
        <v>6296</v>
      </c>
      <c r="AM700" s="4" t="s">
        <v>6296</v>
      </c>
      <c r="AN700" s="4" t="s">
        <v>42</v>
      </c>
      <c r="AO700" s="4" t="s">
        <v>6296</v>
      </c>
      <c r="AP700" s="4" t="s">
        <v>3095</v>
      </c>
      <c r="AQ700" s="4" t="s">
        <v>47</v>
      </c>
    </row>
    <row r="701" spans="1:43" ht="12.6" customHeight="1" x14ac:dyDescent="0.25">
      <c r="A701" s="8" t="s">
        <v>2907</v>
      </c>
      <c r="B701" s="9">
        <v>20151231</v>
      </c>
      <c r="C701" s="12">
        <f>_xll.FDS("SPX","FG_PRICE(12/30/2015)")</f>
        <v>2063.36</v>
      </c>
      <c r="D701" s="12">
        <f>_xll.FDS("SPX","FG_PRICE(12/30/2017)")</f>
        <v>2673.61</v>
      </c>
      <c r="E701" s="15">
        <f>D701/C701-1</f>
        <v>0.2957554668114144</v>
      </c>
      <c r="F701" s="8" t="s">
        <v>2908</v>
      </c>
      <c r="G701" s="8" t="s">
        <v>2909</v>
      </c>
      <c r="H701" s="13">
        <f>_xll.FDS(G701,"FG_PRICE(12/30/2015)")</f>
        <v>50.31</v>
      </c>
      <c r="I701" s="13">
        <f>_xll.FDS(G701,"FG_PRICE(12/31/2017)")</f>
        <v>47.38</v>
      </c>
      <c r="J701" s="13">
        <f>I701/H701-1</f>
        <v>-5.823891870403497E-2</v>
      </c>
      <c r="K701" s="13">
        <f>J701-E701</f>
        <v>-0.35399438551544937</v>
      </c>
      <c r="L701" s="13">
        <f>_xll.FDS(G701,"FF_ROE(ANN_R,12/30/2015)")</f>
        <v>31.858407079646021</v>
      </c>
      <c r="M701" s="8" t="s">
        <v>2910</v>
      </c>
      <c r="N701" s="4" t="s">
        <v>2911</v>
      </c>
      <c r="O701" s="4" t="s">
        <v>2912</v>
      </c>
      <c r="P701" s="4" t="s">
        <v>96</v>
      </c>
      <c r="Q701" s="4" t="s">
        <v>83</v>
      </c>
      <c r="R701" s="4" t="s">
        <v>61</v>
      </c>
      <c r="S701" s="4" t="s">
        <v>62</v>
      </c>
      <c r="T701" s="6" t="e">
        <v>#N/A</v>
      </c>
      <c r="U701" s="5">
        <v>70</v>
      </c>
      <c r="V701" s="5">
        <v>62</v>
      </c>
      <c r="W701" s="5">
        <v>76</v>
      </c>
      <c r="X701" s="5">
        <v>71</v>
      </c>
      <c r="Y701" s="5">
        <v>88.83</v>
      </c>
      <c r="Z701" s="5">
        <v>88.83</v>
      </c>
      <c r="AA701" s="5">
        <v>88.3</v>
      </c>
      <c r="AB701" s="5">
        <v>74.47</v>
      </c>
      <c r="AC701" s="6">
        <v>0.35</v>
      </c>
      <c r="AD701" s="6">
        <v>0.4</v>
      </c>
      <c r="AE701" s="6">
        <v>0.25</v>
      </c>
      <c r="AF701" s="4" t="s">
        <v>6296</v>
      </c>
      <c r="AG701" s="4" t="s">
        <v>6296</v>
      </c>
      <c r="AH701" s="4" t="s">
        <v>6296</v>
      </c>
      <c r="AI701" s="4" t="s">
        <v>6296</v>
      </c>
      <c r="AJ701" s="4" t="s">
        <v>6296</v>
      </c>
      <c r="AK701" s="4" t="s">
        <v>42</v>
      </c>
      <c r="AL701" s="4" t="s">
        <v>6296</v>
      </c>
      <c r="AM701" s="4" t="s">
        <v>6296</v>
      </c>
      <c r="AN701" s="4" t="s">
        <v>42</v>
      </c>
      <c r="AO701" s="4" t="s">
        <v>6296</v>
      </c>
      <c r="AP701" s="4" t="s">
        <v>2913</v>
      </c>
      <c r="AQ701" s="4" t="s">
        <v>47</v>
      </c>
    </row>
    <row r="702" spans="1:43" ht="12.6" customHeight="1" x14ac:dyDescent="0.25">
      <c r="A702" s="8" t="s">
        <v>4435</v>
      </c>
      <c r="B702" s="9">
        <v>20151231</v>
      </c>
      <c r="C702" s="12">
        <f>_xll.FDS("SPX","FG_PRICE(12/30/2015)")</f>
        <v>2063.36</v>
      </c>
      <c r="D702" s="12">
        <f>_xll.FDS("SPX","FG_PRICE(12/30/2017)")</f>
        <v>2673.61</v>
      </c>
      <c r="E702" s="15">
        <f>D702/C702-1</f>
        <v>0.2957554668114144</v>
      </c>
      <c r="F702" s="8" t="s">
        <v>4436</v>
      </c>
      <c r="G702" s="8" t="s">
        <v>4437</v>
      </c>
      <c r="H702" s="13">
        <f>_xll.FDS(G702,"FG_PRICE(12/30/2015)")</f>
        <v>54.56</v>
      </c>
      <c r="I702" s="13">
        <f>_xll.FDS(G702,"FG_PRICE(12/31/2017)")</f>
        <v>64.13</v>
      </c>
      <c r="J702" s="13">
        <f>I702/H702-1</f>
        <v>0.17540322580645151</v>
      </c>
      <c r="K702" s="13">
        <f>J702-E702</f>
        <v>-0.12035224100496289</v>
      </c>
      <c r="L702" s="13">
        <f>_xll.FDS(G702,"FF_ROE(ANN_R,12/30/2015)")</f>
        <v>18.45468383087351</v>
      </c>
      <c r="M702" s="8" t="s">
        <v>4438</v>
      </c>
      <c r="N702" s="4" t="s">
        <v>4439</v>
      </c>
      <c r="O702" s="4" t="s">
        <v>4440</v>
      </c>
      <c r="P702" s="4" t="s">
        <v>96</v>
      </c>
      <c r="Q702" s="4" t="s">
        <v>83</v>
      </c>
      <c r="R702" s="4" t="s">
        <v>61</v>
      </c>
      <c r="S702" s="4" t="s">
        <v>62</v>
      </c>
      <c r="T702" s="6" t="e">
        <v>#N/A</v>
      </c>
      <c r="U702" s="5">
        <v>53</v>
      </c>
      <c r="V702" s="5">
        <v>42</v>
      </c>
      <c r="W702" s="5">
        <v>51</v>
      </c>
      <c r="X702" s="5">
        <v>70</v>
      </c>
      <c r="Y702" s="5">
        <v>45.74</v>
      </c>
      <c r="Z702" s="5">
        <v>45.74</v>
      </c>
      <c r="AA702" s="5">
        <v>31.91</v>
      </c>
      <c r="AB702" s="5">
        <v>69.680000000000007</v>
      </c>
      <c r="AC702" s="6">
        <v>0.35</v>
      </c>
      <c r="AD702" s="6">
        <v>0.4</v>
      </c>
      <c r="AE702" s="6">
        <v>0.25</v>
      </c>
      <c r="AF702" s="4" t="s">
        <v>6296</v>
      </c>
      <c r="AG702" s="4" t="s">
        <v>6296</v>
      </c>
      <c r="AH702" s="4" t="s">
        <v>6296</v>
      </c>
      <c r="AI702" s="4" t="s">
        <v>42</v>
      </c>
      <c r="AJ702" s="4" t="s">
        <v>6296</v>
      </c>
      <c r="AK702" s="4" t="s">
        <v>6296</v>
      </c>
      <c r="AL702" s="4" t="s">
        <v>6296</v>
      </c>
      <c r="AM702" s="4" t="s">
        <v>6296</v>
      </c>
      <c r="AN702" s="4" t="s">
        <v>6296</v>
      </c>
      <c r="AO702" s="4" t="s">
        <v>6296</v>
      </c>
      <c r="AP702" s="4" t="s">
        <v>4441</v>
      </c>
      <c r="AQ702" s="4" t="s">
        <v>47</v>
      </c>
    </row>
    <row r="703" spans="1:43" ht="12.6" customHeight="1" x14ac:dyDescent="0.25">
      <c r="A703" s="8" t="s">
        <v>2327</v>
      </c>
      <c r="B703" s="9">
        <v>20151231</v>
      </c>
      <c r="C703" s="12">
        <f>_xll.FDS("SPX","FG_PRICE(12/30/2015)")</f>
        <v>2063.36</v>
      </c>
      <c r="D703" s="12">
        <f>_xll.FDS("SPX","FG_PRICE(12/30/2017)")</f>
        <v>2673.61</v>
      </c>
      <c r="E703" s="15">
        <f>D703/C703-1</f>
        <v>0.2957554668114144</v>
      </c>
      <c r="F703" s="8" t="s">
        <v>2328</v>
      </c>
      <c r="G703" s="8" t="s">
        <v>2329</v>
      </c>
      <c r="H703" s="13">
        <f>_xll.FDS(G703,"FG_PRICE(12/30/2015)")</f>
        <v>48.39</v>
      </c>
      <c r="I703" s="13">
        <f>_xll.FDS(G703,"FG_PRICE(12/31/2017)")</f>
        <v>54.23</v>
      </c>
      <c r="J703" s="13">
        <f>I703/H703-1</f>
        <v>0.12068609216780324</v>
      </c>
      <c r="K703" s="13">
        <f>J703-E703</f>
        <v>-0.17506937464361116</v>
      </c>
      <c r="L703" s="13">
        <f>_xll.FDS(G703,"FF_ROE(ANN_R,12/30/2015)")</f>
        <v>14.487425850112791</v>
      </c>
      <c r="M703" s="8" t="s">
        <v>2330</v>
      </c>
      <c r="N703" s="4" t="s">
        <v>2330</v>
      </c>
      <c r="O703" s="4" t="s">
        <v>2331</v>
      </c>
      <c r="P703" s="4" t="s">
        <v>96</v>
      </c>
      <c r="Q703" s="4" t="s">
        <v>83</v>
      </c>
      <c r="R703" s="4" t="s">
        <v>61</v>
      </c>
      <c r="S703" s="4" t="s">
        <v>62</v>
      </c>
      <c r="T703" s="6" t="e">
        <v>#N/A</v>
      </c>
      <c r="U703" s="5">
        <v>66</v>
      </c>
      <c r="V703" s="5">
        <v>54</v>
      </c>
      <c r="W703" s="5">
        <v>71</v>
      </c>
      <c r="X703" s="5">
        <v>73</v>
      </c>
      <c r="Y703" s="5">
        <v>79.790000000000006</v>
      </c>
      <c r="Z703" s="5">
        <v>75</v>
      </c>
      <c r="AA703" s="5">
        <v>77.66</v>
      </c>
      <c r="AB703" s="5">
        <v>79.260000000000005</v>
      </c>
      <c r="AC703" s="6">
        <v>0.35</v>
      </c>
      <c r="AD703" s="6">
        <v>0.4</v>
      </c>
      <c r="AE703" s="6">
        <v>0.25</v>
      </c>
      <c r="AF703" s="4" t="s">
        <v>6296</v>
      </c>
      <c r="AG703" s="4" t="s">
        <v>6296</v>
      </c>
      <c r="AH703" s="4" t="s">
        <v>6296</v>
      </c>
      <c r="AI703" s="4" t="s">
        <v>6296</v>
      </c>
      <c r="AJ703" s="4" t="s">
        <v>42</v>
      </c>
      <c r="AK703" s="4" t="s">
        <v>42</v>
      </c>
      <c r="AL703" s="4" t="s">
        <v>6296</v>
      </c>
      <c r="AM703" s="4" t="s">
        <v>6296</v>
      </c>
      <c r="AN703" s="4" t="s">
        <v>6296</v>
      </c>
      <c r="AO703" s="4" t="s">
        <v>6296</v>
      </c>
      <c r="AP703" s="4" t="s">
        <v>2332</v>
      </c>
      <c r="AQ703" s="4" t="s">
        <v>47</v>
      </c>
    </row>
    <row r="704" spans="1:43" ht="12.6" customHeight="1" x14ac:dyDescent="0.25">
      <c r="A704" s="8" t="s">
        <v>5680</v>
      </c>
      <c r="B704" s="9">
        <v>20151231</v>
      </c>
      <c r="C704" s="12">
        <f>_xll.FDS("SPX","FG_PRICE(12/30/2015)")</f>
        <v>2063.36</v>
      </c>
      <c r="D704" s="12">
        <f>_xll.FDS("SPX","FG_PRICE(12/30/2017)")</f>
        <v>2673.61</v>
      </c>
      <c r="E704" s="15">
        <f>D704/C704-1</f>
        <v>0.2957554668114144</v>
      </c>
      <c r="F704" s="8" t="s">
        <v>5681</v>
      </c>
      <c r="G704" s="8" t="s">
        <v>5682</v>
      </c>
      <c r="H704" s="13">
        <f>_xll.FDS(G704,"FG_PRICE(12/30/2015)")</f>
        <v>96.67</v>
      </c>
      <c r="I704" s="13">
        <f>_xll.FDS(G704,"FG_PRICE(12/31/2017)")</f>
        <v>60.22</v>
      </c>
      <c r="J704" s="13">
        <f>I704/H704-1</f>
        <v>-0.37705596358746252</v>
      </c>
      <c r="K704" s="13">
        <f>J704-E704</f>
        <v>-0.67281143039887692</v>
      </c>
      <c r="L704" s="13" t="e">
        <f>_xll.FDS(G704,"FF_ROE(ANN_R,12/30/2015)")</f>
        <v>#N/A</v>
      </c>
      <c r="M704" s="8" t="s">
        <v>5683</v>
      </c>
      <c r="N704" s="4" t="s">
        <v>5684</v>
      </c>
      <c r="O704" s="4" t="s">
        <v>546</v>
      </c>
      <c r="P704" s="4" t="s">
        <v>96</v>
      </c>
      <c r="Q704" s="4" t="s">
        <v>83</v>
      </c>
      <c r="R704" s="4" t="s">
        <v>61</v>
      </c>
      <c r="S704" s="4" t="s">
        <v>62</v>
      </c>
      <c r="T704" s="6" t="e">
        <v>#N/A</v>
      </c>
      <c r="U704" s="5">
        <v>69</v>
      </c>
      <c r="V704" s="5">
        <v>67</v>
      </c>
      <c r="W704" s="5">
        <v>70</v>
      </c>
      <c r="X704" s="5">
        <v>70</v>
      </c>
      <c r="Y704" s="5">
        <v>85.64</v>
      </c>
      <c r="Z704" s="5">
        <v>92.02</v>
      </c>
      <c r="AA704" s="5">
        <v>76.06</v>
      </c>
      <c r="AB704" s="5">
        <v>69.680000000000007</v>
      </c>
      <c r="AC704" s="6">
        <v>0.35</v>
      </c>
      <c r="AD704" s="6">
        <v>0.4</v>
      </c>
      <c r="AE704" s="6">
        <v>0.25</v>
      </c>
      <c r="AF704" s="4" t="s">
        <v>6296</v>
      </c>
      <c r="AG704" s="4" t="s">
        <v>6296</v>
      </c>
      <c r="AH704" s="4" t="s">
        <v>6296</v>
      </c>
      <c r="AI704" s="4" t="s">
        <v>37</v>
      </c>
      <c r="AJ704" s="4" t="s">
        <v>42</v>
      </c>
      <c r="AK704" s="4" t="s">
        <v>6296</v>
      </c>
      <c r="AL704" s="4" t="s">
        <v>6296</v>
      </c>
      <c r="AM704" s="4" t="s">
        <v>6296</v>
      </c>
      <c r="AN704" s="4" t="s">
        <v>6296</v>
      </c>
      <c r="AO704" s="4" t="s">
        <v>6296</v>
      </c>
      <c r="AP704" s="4" t="s">
        <v>5685</v>
      </c>
      <c r="AQ704" s="4" t="s">
        <v>47</v>
      </c>
    </row>
    <row r="705" spans="1:43" ht="12.6" customHeight="1" x14ac:dyDescent="0.25">
      <c r="A705" s="8" t="s">
        <v>5878</v>
      </c>
      <c r="B705" s="9">
        <v>20151231</v>
      </c>
      <c r="C705" s="12">
        <f>_xll.FDS("SPX","FG_PRICE(12/30/2015)")</f>
        <v>2063.36</v>
      </c>
      <c r="D705" s="12">
        <f>_xll.FDS("SPX","FG_PRICE(12/30/2017)")</f>
        <v>2673.61</v>
      </c>
      <c r="E705" s="15">
        <f>D705/C705-1</f>
        <v>0.2957554668114144</v>
      </c>
      <c r="F705" s="8" t="s">
        <v>5879</v>
      </c>
      <c r="G705" s="8" t="s">
        <v>5880</v>
      </c>
      <c r="H705" s="13">
        <f>_xll.FDS(G705,"FG_PRICE(12/30/2015)")</f>
        <v>23.51</v>
      </c>
      <c r="I705" s="13">
        <f>_xll.FDS(G705,"FG_PRICE(12/31/2017)")</f>
        <v>19.55</v>
      </c>
      <c r="J705" s="13">
        <f>I705/H705-1</f>
        <v>-0.16843896214376863</v>
      </c>
      <c r="K705" s="13">
        <f>J705-E705</f>
        <v>-0.46419442895518304</v>
      </c>
      <c r="L705" s="13">
        <f>_xll.FDS(G705,"FF_ROE(ANN_R,12/30/2015)")</f>
        <v>12.33574061831648</v>
      </c>
      <c r="M705" s="8" t="s">
        <v>5881</v>
      </c>
      <c r="N705" s="4" t="s">
        <v>5882</v>
      </c>
      <c r="O705" s="4" t="s">
        <v>5883</v>
      </c>
      <c r="P705" s="4" t="s">
        <v>130</v>
      </c>
      <c r="Q705" s="4" t="s">
        <v>83</v>
      </c>
      <c r="R705" s="4" t="s">
        <v>61</v>
      </c>
      <c r="S705" s="4" t="s">
        <v>62</v>
      </c>
      <c r="T705" s="6" t="e">
        <v>#N/A</v>
      </c>
      <c r="U705" s="5">
        <v>61</v>
      </c>
      <c r="V705" s="5">
        <v>38</v>
      </c>
      <c r="W705" s="5">
        <v>77</v>
      </c>
      <c r="X705" s="5">
        <v>66</v>
      </c>
      <c r="Y705" s="5">
        <v>69.680000000000007</v>
      </c>
      <c r="Z705" s="5">
        <v>29.79</v>
      </c>
      <c r="AA705" s="5">
        <v>89.36</v>
      </c>
      <c r="AB705" s="5">
        <v>52.66</v>
      </c>
      <c r="AC705" s="6">
        <v>0.35</v>
      </c>
      <c r="AD705" s="6">
        <v>0.4</v>
      </c>
      <c r="AE705" s="6">
        <v>0.25</v>
      </c>
      <c r="AF705" s="4" t="s">
        <v>6296</v>
      </c>
      <c r="AG705" s="4" t="s">
        <v>6296</v>
      </c>
      <c r="AH705" s="4" t="s">
        <v>6296</v>
      </c>
      <c r="AI705" s="4" t="s">
        <v>6296</v>
      </c>
      <c r="AJ705" s="4" t="s">
        <v>6296</v>
      </c>
      <c r="AK705" s="4" t="s">
        <v>42</v>
      </c>
      <c r="AL705" s="4" t="s">
        <v>6296</v>
      </c>
      <c r="AM705" s="4" t="s">
        <v>6296</v>
      </c>
      <c r="AN705" s="4" t="s">
        <v>6296</v>
      </c>
      <c r="AO705" s="4" t="s">
        <v>6296</v>
      </c>
      <c r="AP705" s="4" t="s">
        <v>5884</v>
      </c>
      <c r="AQ705" s="4" t="s">
        <v>47</v>
      </c>
    </row>
    <row r="706" spans="1:43" ht="12.6" customHeight="1" x14ac:dyDescent="0.25">
      <c r="A706" s="8" t="s">
        <v>4409</v>
      </c>
      <c r="B706" s="9">
        <v>20151231</v>
      </c>
      <c r="C706" s="12">
        <f>_xll.FDS("SPX","FG_PRICE(12/30/2015)")</f>
        <v>2063.36</v>
      </c>
      <c r="D706" s="12">
        <f>_xll.FDS("SPX","FG_PRICE(12/30/2017)")</f>
        <v>2673.61</v>
      </c>
      <c r="E706" s="15">
        <f>D706/C706-1</f>
        <v>0.2957554668114144</v>
      </c>
      <c r="F706" s="8" t="s">
        <v>4410</v>
      </c>
      <c r="G706" s="8" t="s">
        <v>4411</v>
      </c>
      <c r="H706" s="13">
        <f>_xll.FDS(G706,"FG_PRICE(12/30/2015)")</f>
        <v>29.76</v>
      </c>
      <c r="I706" s="13">
        <f>_xll.FDS(G706,"FG_PRICE(12/31/2017)")</f>
        <v>40.67</v>
      </c>
      <c r="J706" s="13">
        <f>I706/H706-1</f>
        <v>0.36659946236559149</v>
      </c>
      <c r="K706" s="13">
        <f>J706-E706</f>
        <v>7.0843995554177086E-2</v>
      </c>
      <c r="L706" s="13">
        <f>_xll.FDS(G706,"FF_ROE(ANN_R,12/30/2015)")</f>
        <v>15.0458985503417</v>
      </c>
      <c r="M706" s="8" t="s">
        <v>4412</v>
      </c>
      <c r="N706" s="4" t="s">
        <v>4412</v>
      </c>
      <c r="O706" s="4" t="s">
        <v>4413</v>
      </c>
      <c r="P706" s="4" t="s">
        <v>106</v>
      </c>
      <c r="Q706" s="4" t="s">
        <v>83</v>
      </c>
      <c r="R706" s="4" t="s">
        <v>61</v>
      </c>
      <c r="S706" s="4" t="s">
        <v>62</v>
      </c>
      <c r="T706" s="6" t="e">
        <v>#N/A</v>
      </c>
      <c r="U706" s="5">
        <v>52</v>
      </c>
      <c r="V706" s="5">
        <v>55</v>
      </c>
      <c r="W706" s="5">
        <v>45</v>
      </c>
      <c r="X706" s="5">
        <v>60</v>
      </c>
      <c r="Y706" s="5">
        <v>43.62</v>
      </c>
      <c r="Z706" s="5">
        <v>77.13</v>
      </c>
      <c r="AA706" s="6">
        <v>7.45</v>
      </c>
      <c r="AB706" s="5">
        <v>31.91</v>
      </c>
      <c r="AC706" s="6">
        <v>0.35</v>
      </c>
      <c r="AD706" s="6">
        <v>0.4</v>
      </c>
      <c r="AE706" s="6">
        <v>0.25</v>
      </c>
      <c r="AF706" s="4" t="s">
        <v>6296</v>
      </c>
      <c r="AG706" s="4" t="s">
        <v>6296</v>
      </c>
      <c r="AH706" s="4" t="s">
        <v>6296</v>
      </c>
      <c r="AI706" s="4" t="s">
        <v>6296</v>
      </c>
      <c r="AJ706" s="4" t="s">
        <v>6296</v>
      </c>
      <c r="AK706" s="4" t="s">
        <v>6296</v>
      </c>
      <c r="AL706" s="4" t="s">
        <v>6296</v>
      </c>
      <c r="AM706" s="4" t="s">
        <v>6296</v>
      </c>
      <c r="AN706" s="4" t="s">
        <v>42</v>
      </c>
      <c r="AO706" s="4" t="s">
        <v>6296</v>
      </c>
      <c r="AP706" s="4" t="s">
        <v>4414</v>
      </c>
      <c r="AQ706" s="4" t="s">
        <v>47</v>
      </c>
    </row>
    <row r="707" spans="1:43" ht="12.6" customHeight="1" x14ac:dyDescent="0.25">
      <c r="A707" s="8" t="s">
        <v>2492</v>
      </c>
      <c r="B707" s="9">
        <v>20151231</v>
      </c>
      <c r="C707" s="12">
        <f>_xll.FDS("SPX","FG_PRICE(12/30/2015)")</f>
        <v>2063.36</v>
      </c>
      <c r="D707" s="12">
        <f>_xll.FDS("SPX","FG_PRICE(12/30/2017)")</f>
        <v>2673.61</v>
      </c>
      <c r="E707" s="15">
        <f>D707/C707-1</f>
        <v>0.2957554668114144</v>
      </c>
      <c r="F707" s="8" t="s">
        <v>2493</v>
      </c>
      <c r="G707" s="8" t="s">
        <v>2494</v>
      </c>
      <c r="H707" s="13">
        <f>_xll.FDS(G707,"FG_PRICE(12/30/2015)")</f>
        <v>76.86</v>
      </c>
      <c r="I707" s="13">
        <f>_xll.FDS(G707,"FG_PRICE(12/31/2017)")</f>
        <v>92.94</v>
      </c>
      <c r="J707" s="13">
        <f>I707/H707-1</f>
        <v>0.20921155347384857</v>
      </c>
      <c r="K707" s="13">
        <f>J707-E707</f>
        <v>-8.6543913337565836E-2</v>
      </c>
      <c r="L707" s="13">
        <f>_xll.FDS(G707,"FF_ROE(ANN_R,12/30/2015)")</f>
        <v>24.581824847623849</v>
      </c>
      <c r="M707" s="8" t="s">
        <v>2495</v>
      </c>
      <c r="N707" s="4" t="s">
        <v>2496</v>
      </c>
      <c r="O707" s="4" t="s">
        <v>2497</v>
      </c>
      <c r="P707" s="4" t="s">
        <v>96</v>
      </c>
      <c r="Q707" s="4" t="s">
        <v>83</v>
      </c>
      <c r="R707" s="4" t="s">
        <v>61</v>
      </c>
      <c r="S707" s="4" t="s">
        <v>62</v>
      </c>
      <c r="T707" s="6" t="e">
        <v>#N/A</v>
      </c>
      <c r="U707" s="5">
        <v>63</v>
      </c>
      <c r="V707" s="5">
        <v>53</v>
      </c>
      <c r="W707" s="5">
        <v>66</v>
      </c>
      <c r="X707" s="5">
        <v>71</v>
      </c>
      <c r="Y707" s="5">
        <v>73.400000000000006</v>
      </c>
      <c r="Z707" s="5">
        <v>72.34</v>
      </c>
      <c r="AA707" s="5">
        <v>69.150000000000006</v>
      </c>
      <c r="AB707" s="5">
        <v>74.47</v>
      </c>
      <c r="AC707" s="6">
        <v>0.35</v>
      </c>
      <c r="AD707" s="6">
        <v>0.4</v>
      </c>
      <c r="AE707" s="6">
        <v>0.25</v>
      </c>
      <c r="AF707" s="4" t="s">
        <v>37</v>
      </c>
      <c r="AG707" s="4" t="s">
        <v>42</v>
      </c>
      <c r="AH707" s="4" t="s">
        <v>42</v>
      </c>
      <c r="AI707" s="4" t="s">
        <v>42</v>
      </c>
      <c r="AJ707" s="4" t="s">
        <v>42</v>
      </c>
      <c r="AK707" s="4" t="s">
        <v>42</v>
      </c>
      <c r="AL707" s="4" t="s">
        <v>6296</v>
      </c>
      <c r="AM707" s="4" t="s">
        <v>6296</v>
      </c>
      <c r="AN707" s="4" t="s">
        <v>6296</v>
      </c>
      <c r="AO707" s="4" t="s">
        <v>6296</v>
      </c>
      <c r="AP707" s="4" t="s">
        <v>2498</v>
      </c>
      <c r="AQ707" s="4" t="s">
        <v>47</v>
      </c>
    </row>
    <row r="708" spans="1:43" ht="12.6" customHeight="1" x14ac:dyDescent="0.25">
      <c r="A708" s="8" t="s">
        <v>6535</v>
      </c>
      <c r="B708" s="9">
        <v>20151231</v>
      </c>
      <c r="C708" s="12">
        <f>_xll.FDS("SPX","FG_PRICE(12/30/2015)")</f>
        <v>2063.36</v>
      </c>
      <c r="D708" s="12">
        <f>_xll.FDS("SPX","FG_PRICE(12/30/2017)")</f>
        <v>2673.61</v>
      </c>
      <c r="E708" s="15">
        <f>D708/C708-1</f>
        <v>0.2957554668114144</v>
      </c>
      <c r="F708" s="8" t="s">
        <v>6262</v>
      </c>
      <c r="G708" s="8" t="s">
        <v>6263</v>
      </c>
      <c r="H708" s="13">
        <f>_xll.FDS(G708,"FG_PRICE(12/30/2015)")</f>
        <v>36.205424999999998</v>
      </c>
      <c r="I708" s="13">
        <f>_xll.FDS(G708,"FG_PRICE(12/31/2017)")</f>
        <v>54.24</v>
      </c>
      <c r="J708" s="13">
        <f>I708/H708-1</f>
        <v>0.49811803065424609</v>
      </c>
      <c r="K708" s="13">
        <f>J708-E708</f>
        <v>0.20236256384283169</v>
      </c>
      <c r="L708" s="13">
        <f>_xll.FDS(G708,"FF_ROE(ANN_R,12/30/2015)")</f>
        <v>7.7563645015465141</v>
      </c>
      <c r="M708" s="8" t="s">
        <v>6264</v>
      </c>
      <c r="N708" s="4" t="s">
        <v>4510</v>
      </c>
      <c r="O708" s="4" t="s">
        <v>4511</v>
      </c>
      <c r="P708" s="4" t="s">
        <v>106</v>
      </c>
      <c r="Q708" s="4" t="s">
        <v>83</v>
      </c>
      <c r="R708" s="4" t="s">
        <v>61</v>
      </c>
      <c r="S708" s="4" t="s">
        <v>62</v>
      </c>
      <c r="T708" s="6" t="e">
        <v>#N/A</v>
      </c>
      <c r="U708" s="5">
        <v>47</v>
      </c>
      <c r="V708" s="5">
        <v>37</v>
      </c>
      <c r="W708" s="5">
        <v>43</v>
      </c>
      <c r="X708" s="5">
        <v>67</v>
      </c>
      <c r="Y708" s="5">
        <v>18.09</v>
      </c>
      <c r="Z708" s="5">
        <v>20.21</v>
      </c>
      <c r="AA708" s="6">
        <v>1.6</v>
      </c>
      <c r="AB708" s="5">
        <v>56.38</v>
      </c>
      <c r="AC708" s="6">
        <v>0.35</v>
      </c>
      <c r="AD708" s="6">
        <v>0.4</v>
      </c>
      <c r="AE708" s="6">
        <v>0.25</v>
      </c>
      <c r="AF708" s="4" t="s">
        <v>6296</v>
      </c>
      <c r="AG708" s="4" t="s">
        <v>6296</v>
      </c>
      <c r="AH708" s="4" t="s">
        <v>6296</v>
      </c>
      <c r="AI708" s="4" t="s">
        <v>6296</v>
      </c>
      <c r="AJ708" s="4" t="s">
        <v>6296</v>
      </c>
      <c r="AK708" s="4" t="s">
        <v>6296</v>
      </c>
      <c r="AL708" s="4" t="s">
        <v>6296</v>
      </c>
      <c r="AM708" s="4" t="s">
        <v>6296</v>
      </c>
      <c r="AN708" s="4" t="s">
        <v>42</v>
      </c>
      <c r="AO708" s="4" t="s">
        <v>6296</v>
      </c>
      <c r="AP708" s="4" t="s">
        <v>6536</v>
      </c>
      <c r="AQ708" s="4" t="s">
        <v>47</v>
      </c>
    </row>
    <row r="709" spans="1:43" ht="12.6" customHeight="1" x14ac:dyDescent="0.25">
      <c r="A709" s="8" t="s">
        <v>1657</v>
      </c>
      <c r="B709" s="9">
        <v>20151231</v>
      </c>
      <c r="C709" s="12">
        <f>_xll.FDS("SPX","FG_PRICE(12/30/2015)")</f>
        <v>2063.36</v>
      </c>
      <c r="D709" s="12">
        <f>_xll.FDS("SPX","FG_PRICE(12/30/2017)")</f>
        <v>2673.61</v>
      </c>
      <c r="E709" s="15">
        <f>D709/C709-1</f>
        <v>0.2957554668114144</v>
      </c>
      <c r="F709" s="8" t="s">
        <v>1658</v>
      </c>
      <c r="G709" s="8" t="s">
        <v>1659</v>
      </c>
      <c r="H709" s="13">
        <f>_xll.FDS(G709,"FG_PRICE(12/30/2015)")</f>
        <v>35.380000000000003</v>
      </c>
      <c r="I709" s="13">
        <f>_xll.FDS(G709,"FG_PRICE(12/31/2017)")</f>
        <v>25.19</v>
      </c>
      <c r="J709" s="13">
        <f>I709/H709-1</f>
        <v>-0.28801582815149807</v>
      </c>
      <c r="K709" s="13">
        <f>J709-E709</f>
        <v>-0.58377129496291247</v>
      </c>
      <c r="L709" s="13">
        <f>_xll.FDS(G709,"FF_ROE(ANN_R,12/30/2015)")</f>
        <v>26.249247441300419</v>
      </c>
      <c r="M709" s="8" t="s">
        <v>1660</v>
      </c>
      <c r="N709" s="4" t="s">
        <v>1661</v>
      </c>
      <c r="O709" s="4" t="s">
        <v>1662</v>
      </c>
      <c r="P709" s="4" t="s">
        <v>96</v>
      </c>
      <c r="Q709" s="4" t="s">
        <v>83</v>
      </c>
      <c r="R709" s="4" t="s">
        <v>61</v>
      </c>
      <c r="S709" s="4" t="s">
        <v>62</v>
      </c>
      <c r="T709" s="6" t="e">
        <v>#N/A</v>
      </c>
      <c r="U709" s="5">
        <v>67</v>
      </c>
      <c r="V709" s="5">
        <v>58</v>
      </c>
      <c r="W709" s="5">
        <v>73</v>
      </c>
      <c r="X709" s="5">
        <v>71</v>
      </c>
      <c r="Y709" s="5">
        <v>82.45</v>
      </c>
      <c r="Z709" s="5">
        <v>82.45</v>
      </c>
      <c r="AA709" s="5">
        <v>81.91</v>
      </c>
      <c r="AB709" s="5">
        <v>74.47</v>
      </c>
      <c r="AC709" s="6">
        <v>0.35</v>
      </c>
      <c r="AD709" s="6">
        <v>0.4</v>
      </c>
      <c r="AE709" s="6">
        <v>0.25</v>
      </c>
      <c r="AF709" s="4" t="s">
        <v>6296</v>
      </c>
      <c r="AG709" s="4" t="s">
        <v>42</v>
      </c>
      <c r="AH709" s="4" t="s">
        <v>6296</v>
      </c>
      <c r="AI709" s="4" t="s">
        <v>42</v>
      </c>
      <c r="AJ709" s="4" t="s">
        <v>37</v>
      </c>
      <c r="AK709" s="4" t="s">
        <v>42</v>
      </c>
      <c r="AL709" s="4" t="s">
        <v>6296</v>
      </c>
      <c r="AM709" s="4" t="s">
        <v>42</v>
      </c>
      <c r="AN709" s="4" t="s">
        <v>6296</v>
      </c>
      <c r="AO709" s="4" t="s">
        <v>6296</v>
      </c>
      <c r="AP709" s="4" t="s">
        <v>1663</v>
      </c>
      <c r="AQ709" s="4" t="s">
        <v>47</v>
      </c>
    </row>
    <row r="710" spans="1:43" ht="12.6" customHeight="1" x14ac:dyDescent="0.25">
      <c r="A710" s="8" t="s">
        <v>3845</v>
      </c>
      <c r="B710" s="9">
        <v>20151231</v>
      </c>
      <c r="C710" s="12">
        <f>_xll.FDS("SPX","FG_PRICE(12/30/2015)")</f>
        <v>2063.36</v>
      </c>
      <c r="D710" s="12">
        <f>_xll.FDS("SPX","FG_PRICE(12/30/2017)")</f>
        <v>2673.61</v>
      </c>
      <c r="E710" s="15">
        <f>D710/C710-1</f>
        <v>0.2957554668114144</v>
      </c>
      <c r="F710" s="8" t="s">
        <v>3846</v>
      </c>
      <c r="G710" s="8" t="s">
        <v>3847</v>
      </c>
      <c r="H710" s="13">
        <f>_xll.FDS(G710,"FG_PRICE(12/30/2015)")</f>
        <v>116.71</v>
      </c>
      <c r="I710" s="13">
        <f>_xll.FDS(G710,"FG_PRICE(12/31/2017)")</f>
        <v>191.96</v>
      </c>
      <c r="J710" s="13">
        <f>I710/H710-1</f>
        <v>0.64476051752206343</v>
      </c>
      <c r="K710" s="13">
        <f>J710-E710</f>
        <v>0.34900505071064902</v>
      </c>
      <c r="L710" s="13">
        <f>_xll.FDS(G710,"FF_ROE(ANN_R,12/30/2015)")</f>
        <v>16.720558498829149</v>
      </c>
      <c r="M710" s="8" t="s">
        <v>3848</v>
      </c>
      <c r="N710" s="4" t="s">
        <v>3849</v>
      </c>
      <c r="O710" s="4" t="s">
        <v>3850</v>
      </c>
      <c r="P710" s="4" t="s">
        <v>106</v>
      </c>
      <c r="Q710" s="4" t="s">
        <v>83</v>
      </c>
      <c r="R710" s="4" t="s">
        <v>61</v>
      </c>
      <c r="S710" s="4" t="s">
        <v>62</v>
      </c>
      <c r="T710" s="6" t="e">
        <v>#N/A</v>
      </c>
      <c r="U710" s="5">
        <v>44</v>
      </c>
      <c r="V710" s="5">
        <v>37</v>
      </c>
      <c r="W710" s="5">
        <v>42</v>
      </c>
      <c r="X710" s="5">
        <v>57</v>
      </c>
      <c r="Y710" s="6">
        <v>3.19</v>
      </c>
      <c r="Z710" s="5">
        <v>20.21</v>
      </c>
      <c r="AA710" s="6">
        <v>0</v>
      </c>
      <c r="AB710" s="5">
        <v>23.94</v>
      </c>
      <c r="AC710" s="6">
        <v>0.35</v>
      </c>
      <c r="AD710" s="6">
        <v>0.4</v>
      </c>
      <c r="AE710" s="6">
        <v>0.25</v>
      </c>
      <c r="AF710" s="4" t="s">
        <v>6296</v>
      </c>
      <c r="AG710" s="4" t="s">
        <v>6296</v>
      </c>
      <c r="AH710" s="4" t="s">
        <v>6296</v>
      </c>
      <c r="AI710" s="4" t="s">
        <v>6296</v>
      </c>
      <c r="AJ710" s="4" t="s">
        <v>6296</v>
      </c>
      <c r="AK710" s="4" t="s">
        <v>37</v>
      </c>
      <c r="AL710" s="4" t="s">
        <v>6296</v>
      </c>
      <c r="AM710" s="4" t="s">
        <v>42</v>
      </c>
      <c r="AN710" s="4" t="s">
        <v>42</v>
      </c>
      <c r="AO710" s="4" t="s">
        <v>6296</v>
      </c>
      <c r="AP710" s="4" t="s">
        <v>3851</v>
      </c>
      <c r="AQ710" s="4" t="s">
        <v>47</v>
      </c>
    </row>
    <row r="711" spans="1:43" ht="12.6" customHeight="1" x14ac:dyDescent="0.25">
      <c r="A711" s="8" t="s">
        <v>3003</v>
      </c>
      <c r="B711" s="9">
        <v>20151231</v>
      </c>
      <c r="C711" s="12">
        <f>_xll.FDS("SPX","FG_PRICE(12/30/2015)")</f>
        <v>2063.36</v>
      </c>
      <c r="D711" s="12">
        <f>_xll.FDS("SPX","FG_PRICE(12/30/2017)")</f>
        <v>2673.61</v>
      </c>
      <c r="E711" s="15">
        <f>D711/C711-1</f>
        <v>0.2957554668114144</v>
      </c>
      <c r="F711" s="8" t="s">
        <v>3004</v>
      </c>
      <c r="G711" s="8" t="s">
        <v>3005</v>
      </c>
      <c r="H711" s="13">
        <f>_xll.FDS(G711,"FG_PRICE(12/30/2015)")</f>
        <v>5.55</v>
      </c>
      <c r="I711" s="13">
        <f>_xll.FDS(G711,"FG_PRICE(12/31/2017)")</f>
        <v>3.54</v>
      </c>
      <c r="J711" s="13">
        <f>I711/H711-1</f>
        <v>-0.36216216216216213</v>
      </c>
      <c r="K711" s="13">
        <f>J711-E711</f>
        <v>-0.65791762897357653</v>
      </c>
      <c r="L711" s="13">
        <f>_xll.FDS(G711,"FF_ROE(ANN_R,12/30/2015)")</f>
        <v>-19.21824104234528</v>
      </c>
      <c r="M711" s="8" t="s">
        <v>3006</v>
      </c>
      <c r="N711" s="4" t="s">
        <v>3007</v>
      </c>
      <c r="O711" s="4" t="s">
        <v>3008</v>
      </c>
      <c r="P711" s="4" t="s">
        <v>106</v>
      </c>
      <c r="Q711" s="4" t="s">
        <v>83</v>
      </c>
      <c r="R711" s="4" t="s">
        <v>61</v>
      </c>
      <c r="S711" s="4" t="s">
        <v>62</v>
      </c>
      <c r="T711" s="6" t="e">
        <v>#N/A</v>
      </c>
      <c r="U711" s="5">
        <v>72</v>
      </c>
      <c r="V711" s="5">
        <v>80</v>
      </c>
      <c r="W711" s="5">
        <v>66</v>
      </c>
      <c r="X711" s="5">
        <v>69</v>
      </c>
      <c r="Y711" s="5">
        <v>91.49</v>
      </c>
      <c r="Z711" s="5">
        <v>96.28</v>
      </c>
      <c r="AA711" s="5">
        <v>69.150000000000006</v>
      </c>
      <c r="AB711" s="5">
        <v>64.89</v>
      </c>
      <c r="AC711" s="6">
        <v>0.35</v>
      </c>
      <c r="AD711" s="6">
        <v>0.4</v>
      </c>
      <c r="AE711" s="6">
        <v>0.25</v>
      </c>
      <c r="AF711" s="4" t="s">
        <v>6296</v>
      </c>
      <c r="AG711" s="4" t="s">
        <v>6296</v>
      </c>
      <c r="AH711" s="4" t="s">
        <v>6296</v>
      </c>
      <c r="AI711" s="4" t="s">
        <v>6296</v>
      </c>
      <c r="AJ711" s="4" t="s">
        <v>6296</v>
      </c>
      <c r="AK711" s="4" t="s">
        <v>37</v>
      </c>
      <c r="AL711" s="4" t="s">
        <v>6296</v>
      </c>
      <c r="AM711" s="4" t="s">
        <v>37</v>
      </c>
      <c r="AN711" s="4" t="s">
        <v>6296</v>
      </c>
      <c r="AO711" s="4" t="s">
        <v>6296</v>
      </c>
      <c r="AP711" s="4" t="s">
        <v>3009</v>
      </c>
      <c r="AQ711" s="4" t="s">
        <v>47</v>
      </c>
    </row>
    <row r="712" spans="1:43" ht="12.6" customHeight="1" x14ac:dyDescent="0.25">
      <c r="A712" s="8" t="s">
        <v>5383</v>
      </c>
      <c r="B712" s="9">
        <v>20151231</v>
      </c>
      <c r="C712" s="12">
        <f>_xll.FDS("SPX","FG_PRICE(12/30/2015)")</f>
        <v>2063.36</v>
      </c>
      <c r="D712" s="12">
        <f>_xll.FDS("SPX","FG_PRICE(12/30/2017)")</f>
        <v>2673.61</v>
      </c>
      <c r="E712" s="15">
        <f>D712/C712-1</f>
        <v>0.2957554668114144</v>
      </c>
      <c r="F712" s="8" t="s">
        <v>5384</v>
      </c>
      <c r="G712" s="8" t="s">
        <v>5385</v>
      </c>
      <c r="H712" s="13">
        <f>_xll.FDS(G712,"FG_PRICE(12/30/2015)")</f>
        <v>257.66000000000003</v>
      </c>
      <c r="I712" s="13">
        <f>_xll.FDS(G712,"FG_PRICE(12/31/2017)")</f>
        <v>240.54</v>
      </c>
      <c r="J712" s="13">
        <f>I712/H712-1</f>
        <v>-6.6444151207017077E-2</v>
      </c>
      <c r="K712" s="13">
        <f>J712-E712</f>
        <v>-0.36219961801843148</v>
      </c>
      <c r="L712" s="13">
        <f>_xll.FDS(G712,"FF_ROE(ANN_R,12/30/2015)")</f>
        <v>39.058116478896117</v>
      </c>
      <c r="M712" s="8" t="s">
        <v>5386</v>
      </c>
      <c r="N712" s="4" t="s">
        <v>5387</v>
      </c>
      <c r="O712" s="4" t="s">
        <v>5388</v>
      </c>
      <c r="P712" s="4" t="s">
        <v>106</v>
      </c>
      <c r="Q712" s="4" t="s">
        <v>83</v>
      </c>
      <c r="R712" s="4" t="s">
        <v>61</v>
      </c>
      <c r="S712" s="4" t="s">
        <v>62</v>
      </c>
      <c r="T712" s="6" t="e">
        <v>#N/A</v>
      </c>
      <c r="U712" s="5">
        <v>49</v>
      </c>
      <c r="V712" s="5">
        <v>42</v>
      </c>
      <c r="W712" s="5">
        <v>44</v>
      </c>
      <c r="X712" s="5">
        <v>67</v>
      </c>
      <c r="Y712" s="5">
        <v>31.38</v>
      </c>
      <c r="Z712" s="5">
        <v>45.74</v>
      </c>
      <c r="AA712" s="6">
        <v>4.26</v>
      </c>
      <c r="AB712" s="5">
        <v>56.38</v>
      </c>
      <c r="AC712" s="6">
        <v>0.35</v>
      </c>
      <c r="AD712" s="6">
        <v>0.4</v>
      </c>
      <c r="AE712" s="6">
        <v>0.25</v>
      </c>
      <c r="AF712" s="4" t="s">
        <v>6296</v>
      </c>
      <c r="AG712" s="4" t="s">
        <v>6296</v>
      </c>
      <c r="AH712" s="4" t="s">
        <v>6296</v>
      </c>
      <c r="AI712" s="4" t="s">
        <v>6296</v>
      </c>
      <c r="AJ712" s="4" t="s">
        <v>6296</v>
      </c>
      <c r="AK712" s="4" t="s">
        <v>6296</v>
      </c>
      <c r="AL712" s="4" t="s">
        <v>6296</v>
      </c>
      <c r="AM712" s="4" t="s">
        <v>6296</v>
      </c>
      <c r="AN712" s="4" t="s">
        <v>6296</v>
      </c>
      <c r="AO712" s="4" t="s">
        <v>6296</v>
      </c>
      <c r="AP712" s="4" t="s">
        <v>5389</v>
      </c>
      <c r="AQ712" s="4" t="s">
        <v>47</v>
      </c>
    </row>
    <row r="713" spans="1:43" ht="12.6" customHeight="1" x14ac:dyDescent="0.25">
      <c r="A713" s="8" t="s">
        <v>4294</v>
      </c>
      <c r="B713" s="9">
        <v>20151231</v>
      </c>
      <c r="C713" s="12">
        <f>_xll.FDS("SPX","FG_PRICE(12/30/2015)")</f>
        <v>2063.36</v>
      </c>
      <c r="D713" s="12">
        <f>_xll.FDS("SPX","FG_PRICE(12/30/2017)")</f>
        <v>2673.61</v>
      </c>
      <c r="E713" s="15">
        <f>D713/C713-1</f>
        <v>0.2957554668114144</v>
      </c>
      <c r="F713" s="8" t="s">
        <v>4295</v>
      </c>
      <c r="G713" s="8" t="s">
        <v>4296</v>
      </c>
      <c r="H713" s="13">
        <f>_xll.FDS(G713,"FG_PRICE(12/30/2015)")</f>
        <v>42.5</v>
      </c>
      <c r="I713" s="13">
        <f>_xll.FDS(G713,"FG_PRICE(12/31/2017)")</f>
        <v>47.85</v>
      </c>
      <c r="J713" s="13">
        <f>I713/H713-1</f>
        <v>0.12588235294117656</v>
      </c>
      <c r="K713" s="13">
        <f>J713-E713</f>
        <v>-0.16987311387023785</v>
      </c>
      <c r="L713" s="13">
        <f>_xll.FDS(G713,"FF_ROE(ANN_R,12/30/2015)")</f>
        <v>19.092867097428101</v>
      </c>
      <c r="M713" s="8" t="s">
        <v>4297</v>
      </c>
      <c r="N713" s="4" t="s">
        <v>4298</v>
      </c>
      <c r="O713" s="4" t="s">
        <v>4299</v>
      </c>
      <c r="P713" s="4" t="s">
        <v>96</v>
      </c>
      <c r="Q713" s="4" t="s">
        <v>83</v>
      </c>
      <c r="R713" s="4" t="s">
        <v>61</v>
      </c>
      <c r="S713" s="4" t="s">
        <v>62</v>
      </c>
      <c r="T713" s="6" t="e">
        <v>#N/A</v>
      </c>
      <c r="U713" s="5">
        <v>48</v>
      </c>
      <c r="V713" s="5">
        <v>36</v>
      </c>
      <c r="W713" s="5">
        <v>51</v>
      </c>
      <c r="X713" s="5">
        <v>60</v>
      </c>
      <c r="Y713" s="5">
        <v>23.94</v>
      </c>
      <c r="Z713" s="5">
        <v>17.02</v>
      </c>
      <c r="AA713" s="5">
        <v>31.91</v>
      </c>
      <c r="AB713" s="5">
        <v>31.91</v>
      </c>
      <c r="AC713" s="6">
        <v>0.35</v>
      </c>
      <c r="AD713" s="6">
        <v>0.4</v>
      </c>
      <c r="AE713" s="6">
        <v>0.25</v>
      </c>
      <c r="AF713" s="4" t="s">
        <v>6296</v>
      </c>
      <c r="AG713" s="4" t="s">
        <v>6296</v>
      </c>
      <c r="AH713" s="4" t="s">
        <v>6296</v>
      </c>
      <c r="AI713" s="4" t="s">
        <v>6296</v>
      </c>
      <c r="AJ713" s="4" t="s">
        <v>6296</v>
      </c>
      <c r="AK713" s="4" t="s">
        <v>6296</v>
      </c>
      <c r="AL713" s="4" t="s">
        <v>6296</v>
      </c>
      <c r="AM713" s="4" t="s">
        <v>6296</v>
      </c>
      <c r="AN713" s="4" t="s">
        <v>6296</v>
      </c>
      <c r="AO713" s="4" t="s">
        <v>6296</v>
      </c>
      <c r="AP713" s="4" t="s">
        <v>4300</v>
      </c>
      <c r="AQ713" s="4" t="s">
        <v>47</v>
      </c>
    </row>
    <row r="714" spans="1:43" ht="12.6" customHeight="1" x14ac:dyDescent="0.25">
      <c r="A714" s="8" t="s">
        <v>4506</v>
      </c>
      <c r="B714" s="9">
        <v>20151231</v>
      </c>
      <c r="C714" s="12">
        <f>_xll.FDS("SPX","FG_PRICE(12/30/2015)")</f>
        <v>2063.36</v>
      </c>
      <c r="D714" s="12">
        <f>_xll.FDS("SPX","FG_PRICE(12/30/2017)")</f>
        <v>2673.61</v>
      </c>
      <c r="E714" s="15">
        <f>D714/C714-1</f>
        <v>0.2957554668114144</v>
      </c>
      <c r="F714" s="8" t="s">
        <v>4507</v>
      </c>
      <c r="G714" s="8" t="s">
        <v>4508</v>
      </c>
      <c r="H714" s="13">
        <f>_xll.FDS(G714,"FG_PRICE(12/30/2015)")</f>
        <v>27.184999999999999</v>
      </c>
      <c r="I714" s="13">
        <f>_xll.FDS(G714,"FG_PRICE(12/31/2017)")</f>
        <v>24.42</v>
      </c>
      <c r="J714" s="13">
        <f>I714/H714-1</f>
        <v>-0.10171050211513688</v>
      </c>
      <c r="K714" s="13">
        <f>J714-E714</f>
        <v>-0.39746596892655128</v>
      </c>
      <c r="L714" s="13">
        <f>_xll.FDS(G714,"FF_ROE(ANN_R,12/30/2015)")</f>
        <v>7.7563645015465141</v>
      </c>
      <c r="M714" s="8" t="s">
        <v>4509</v>
      </c>
      <c r="N714" s="4" t="s">
        <v>4510</v>
      </c>
      <c r="O714" s="4" t="s">
        <v>4511</v>
      </c>
      <c r="P714" s="4" t="s">
        <v>106</v>
      </c>
      <c r="Q714" s="4" t="s">
        <v>83</v>
      </c>
      <c r="R714" s="4" t="s">
        <v>61</v>
      </c>
      <c r="S714" s="4" t="s">
        <v>62</v>
      </c>
      <c r="T714" s="6" t="e">
        <v>#N/A</v>
      </c>
      <c r="U714" s="5">
        <v>47</v>
      </c>
      <c r="V714" s="5">
        <v>37</v>
      </c>
      <c r="W714" s="5">
        <v>43</v>
      </c>
      <c r="X714" s="5">
        <v>67</v>
      </c>
      <c r="Y714" s="5">
        <v>18.09</v>
      </c>
      <c r="Z714" s="5">
        <v>20.21</v>
      </c>
      <c r="AA714" s="6">
        <v>1.6</v>
      </c>
      <c r="AB714" s="5">
        <v>56.38</v>
      </c>
      <c r="AC714" s="6">
        <v>0.35</v>
      </c>
      <c r="AD714" s="6">
        <v>0.4</v>
      </c>
      <c r="AE714" s="6">
        <v>0.25</v>
      </c>
      <c r="AF714" s="4" t="s">
        <v>6296</v>
      </c>
      <c r="AG714" s="4" t="s">
        <v>6296</v>
      </c>
      <c r="AH714" s="4" t="s">
        <v>6296</v>
      </c>
      <c r="AI714" s="4" t="s">
        <v>6296</v>
      </c>
      <c r="AJ714" s="4" t="s">
        <v>6296</v>
      </c>
      <c r="AK714" s="4" t="s">
        <v>6296</v>
      </c>
      <c r="AL714" s="4" t="s">
        <v>6296</v>
      </c>
      <c r="AM714" s="4" t="s">
        <v>6296</v>
      </c>
      <c r="AN714" s="4" t="s">
        <v>42</v>
      </c>
      <c r="AO714" s="4" t="s">
        <v>6296</v>
      </c>
      <c r="AP714" s="4" t="s">
        <v>4512</v>
      </c>
      <c r="AQ714" s="4" t="s">
        <v>47</v>
      </c>
    </row>
    <row r="715" spans="1:43" ht="12.6" customHeight="1" x14ac:dyDescent="0.25">
      <c r="A715" s="8" t="s">
        <v>4766</v>
      </c>
      <c r="B715" s="9">
        <v>20151231</v>
      </c>
      <c r="C715" s="12">
        <f>_xll.FDS("SPX","FG_PRICE(12/30/2015)")</f>
        <v>2063.36</v>
      </c>
      <c r="D715" s="12">
        <f>_xll.FDS("SPX","FG_PRICE(12/30/2017)")</f>
        <v>2673.61</v>
      </c>
      <c r="E715" s="15">
        <f>D715/C715-1</f>
        <v>0.2957554668114144</v>
      </c>
      <c r="F715" s="8" t="s">
        <v>4507</v>
      </c>
      <c r="G715" s="8" t="s">
        <v>4508</v>
      </c>
      <c r="H715" s="13">
        <f>_xll.FDS(G715,"FG_PRICE(12/30/2015)")</f>
        <v>27.184999999999999</v>
      </c>
      <c r="I715" s="13">
        <f>_xll.FDS(G715,"FG_PRICE(12/31/2017)")</f>
        <v>24.42</v>
      </c>
      <c r="J715" s="13">
        <f>I715/H715-1</f>
        <v>-0.10171050211513688</v>
      </c>
      <c r="K715" s="13">
        <f>J715-E715</f>
        <v>-0.39746596892655128</v>
      </c>
      <c r="L715" s="13">
        <f>_xll.FDS(G715,"FF_ROE(ANN_R,12/30/2015)")</f>
        <v>7.7563645015465141</v>
      </c>
      <c r="M715" s="8" t="s">
        <v>4509</v>
      </c>
      <c r="N715" s="4" t="s">
        <v>4767</v>
      </c>
      <c r="O715" s="4" t="s">
        <v>4768</v>
      </c>
      <c r="P715" s="4" t="s">
        <v>106</v>
      </c>
      <c r="Q715" s="4" t="s">
        <v>83</v>
      </c>
      <c r="R715" s="4" t="s">
        <v>61</v>
      </c>
      <c r="S715" s="4" t="s">
        <v>62</v>
      </c>
      <c r="T715" s="6" t="e">
        <v>#N/A</v>
      </c>
      <c r="U715" s="5">
        <v>46</v>
      </c>
      <c r="V715" s="5">
        <v>37</v>
      </c>
      <c r="W715" s="5">
        <v>43</v>
      </c>
      <c r="X715" s="5">
        <v>64</v>
      </c>
      <c r="Y715" s="5">
        <v>12.77</v>
      </c>
      <c r="Z715" s="5">
        <v>20.21</v>
      </c>
      <c r="AA715" s="6">
        <v>1.6</v>
      </c>
      <c r="AB715" s="5">
        <v>43.09</v>
      </c>
      <c r="AC715" s="6">
        <v>0.35</v>
      </c>
      <c r="AD715" s="6">
        <v>0.4</v>
      </c>
      <c r="AE715" s="6">
        <v>0.25</v>
      </c>
      <c r="AF715" s="4" t="s">
        <v>6296</v>
      </c>
      <c r="AG715" s="4" t="s">
        <v>6296</v>
      </c>
      <c r="AH715" s="4" t="s">
        <v>6296</v>
      </c>
      <c r="AI715" s="4" t="s">
        <v>6296</v>
      </c>
      <c r="AJ715" s="4" t="s">
        <v>6296</v>
      </c>
      <c r="AK715" s="4" t="s">
        <v>6296</v>
      </c>
      <c r="AL715" s="4" t="s">
        <v>6296</v>
      </c>
      <c r="AM715" s="4" t="s">
        <v>6296</v>
      </c>
      <c r="AN715" s="4" t="s">
        <v>42</v>
      </c>
      <c r="AO715" s="4" t="s">
        <v>6296</v>
      </c>
      <c r="AP715" s="4" t="s">
        <v>4769</v>
      </c>
      <c r="AQ715" s="4" t="s">
        <v>47</v>
      </c>
    </row>
    <row r="716" spans="1:43" ht="12.6" customHeight="1" x14ac:dyDescent="0.25">
      <c r="A716" s="8" t="s">
        <v>3416</v>
      </c>
      <c r="B716" s="9">
        <v>20151231</v>
      </c>
      <c r="C716" s="12">
        <f>_xll.FDS("SPX","FG_PRICE(12/30/2015)")</f>
        <v>2063.36</v>
      </c>
      <c r="D716" s="12">
        <f>_xll.FDS("SPX","FG_PRICE(12/30/2017)")</f>
        <v>2673.61</v>
      </c>
      <c r="E716" s="15">
        <f>D716/C716-1</f>
        <v>0.2957554668114144</v>
      </c>
      <c r="F716" s="8" t="s">
        <v>3417</v>
      </c>
      <c r="G716" s="8" t="s">
        <v>3418</v>
      </c>
      <c r="H716" s="13">
        <f>_xll.FDS(G716,"FG_PRICE(12/30/2015)")</f>
        <v>54.55</v>
      </c>
      <c r="I716" s="13">
        <f>_xll.FDS(G716,"FG_PRICE(12/31/2017)")</f>
        <v>80.25</v>
      </c>
      <c r="J716" s="13">
        <f>I716/H716-1</f>
        <v>0.47112740604949588</v>
      </c>
      <c r="K716" s="13">
        <f>J716-E716</f>
        <v>0.17537193923808148</v>
      </c>
      <c r="L716" s="13">
        <f>_xll.FDS(G716,"FF_ROE(ANN_R,12/30/2015)")</f>
        <v>43.145755803319823</v>
      </c>
      <c r="M716" s="8" t="s">
        <v>3419</v>
      </c>
      <c r="N716" s="4" t="s">
        <v>3420</v>
      </c>
      <c r="O716" s="4" t="s">
        <v>3421</v>
      </c>
      <c r="P716" s="4" t="s">
        <v>106</v>
      </c>
      <c r="Q716" s="4" t="s">
        <v>83</v>
      </c>
      <c r="R716" s="4" t="s">
        <v>61</v>
      </c>
      <c r="S716" s="4" t="s">
        <v>62</v>
      </c>
      <c r="T716" s="6" t="e">
        <v>#N/A</v>
      </c>
      <c r="U716" s="5">
        <v>60</v>
      </c>
      <c r="V716" s="5">
        <v>53</v>
      </c>
      <c r="W716" s="5">
        <v>61</v>
      </c>
      <c r="X716" s="5">
        <v>68</v>
      </c>
      <c r="Y716" s="5">
        <v>65.959999999999994</v>
      </c>
      <c r="Z716" s="5">
        <v>72.34</v>
      </c>
      <c r="AA716" s="5">
        <v>61.7</v>
      </c>
      <c r="AB716" s="5">
        <v>62.23</v>
      </c>
      <c r="AC716" s="6">
        <v>0.35</v>
      </c>
      <c r="AD716" s="6">
        <v>0.4</v>
      </c>
      <c r="AE716" s="6">
        <v>0.25</v>
      </c>
      <c r="AF716" s="4" t="s">
        <v>6296</v>
      </c>
      <c r="AG716" s="4" t="s">
        <v>6296</v>
      </c>
      <c r="AH716" s="4" t="s">
        <v>6296</v>
      </c>
      <c r="AI716" s="4" t="s">
        <v>42</v>
      </c>
      <c r="AJ716" s="4" t="s">
        <v>42</v>
      </c>
      <c r="AK716" s="4" t="s">
        <v>42</v>
      </c>
      <c r="AL716" s="4" t="s">
        <v>6296</v>
      </c>
      <c r="AM716" s="4" t="s">
        <v>6296</v>
      </c>
      <c r="AN716" s="4" t="s">
        <v>6296</v>
      </c>
      <c r="AO716" s="4" t="s">
        <v>6296</v>
      </c>
      <c r="AP716" s="4" t="s">
        <v>3422</v>
      </c>
      <c r="AQ716" s="4" t="s">
        <v>47</v>
      </c>
    </row>
    <row r="717" spans="1:43" ht="12.6" customHeight="1" x14ac:dyDescent="0.25">
      <c r="A717" s="8" t="s">
        <v>4828</v>
      </c>
      <c r="B717" s="9">
        <v>20151231</v>
      </c>
      <c r="C717" s="12">
        <f>_xll.FDS("SPX","FG_PRICE(12/30/2015)")</f>
        <v>2063.36</v>
      </c>
      <c r="D717" s="12">
        <f>_xll.FDS("SPX","FG_PRICE(12/30/2017)")</f>
        <v>2673.61</v>
      </c>
      <c r="E717" s="15">
        <f>D717/C717-1</f>
        <v>0.2957554668114144</v>
      </c>
      <c r="F717" s="8" t="s">
        <v>4829</v>
      </c>
      <c r="G717" s="8" t="s">
        <v>4830</v>
      </c>
      <c r="H717" s="13">
        <f>_xll.FDS(G717,"FG_PRICE(12/30/2015)")</f>
        <v>28.07</v>
      </c>
      <c r="I717" s="13">
        <f>_xll.FDS(G717,"FG_PRICE(12/31/2017)")</f>
        <v>18.760000000000002</v>
      </c>
      <c r="J717" s="13">
        <f>I717/H717-1</f>
        <v>-0.33167082294264338</v>
      </c>
      <c r="K717" s="13">
        <f>J717-E717</f>
        <v>-0.62742628975405779</v>
      </c>
      <c r="L717" s="13" t="e">
        <f>_xll.FDS(G717,"FF_ROE(ANN_R,12/30/2015)")</f>
        <v>#N/A</v>
      </c>
      <c r="M717" s="8" t="s">
        <v>4831</v>
      </c>
      <c r="N717" s="4" t="s">
        <v>4832</v>
      </c>
      <c r="O717" s="4" t="s">
        <v>4833</v>
      </c>
      <c r="P717" s="4" t="s">
        <v>96</v>
      </c>
      <c r="Q717" s="4" t="s">
        <v>83</v>
      </c>
      <c r="R717" s="4" t="s">
        <v>61</v>
      </c>
      <c r="S717" s="4" t="s">
        <v>62</v>
      </c>
      <c r="T717" s="6" t="e">
        <v>#N/A</v>
      </c>
      <c r="U717" s="5">
        <v>49</v>
      </c>
      <c r="V717" s="5">
        <v>34</v>
      </c>
      <c r="W717" s="5">
        <v>51</v>
      </c>
      <c r="X717" s="5">
        <v>66</v>
      </c>
      <c r="Y717" s="5">
        <v>31.38</v>
      </c>
      <c r="Z717" s="6">
        <v>0</v>
      </c>
      <c r="AA717" s="5">
        <v>31.91</v>
      </c>
      <c r="AB717" s="5">
        <v>52.66</v>
      </c>
      <c r="AC717" s="6">
        <v>0.35</v>
      </c>
      <c r="AD717" s="6">
        <v>0.4</v>
      </c>
      <c r="AE717" s="6">
        <v>0.25</v>
      </c>
      <c r="AF717" s="4" t="s">
        <v>6296</v>
      </c>
      <c r="AG717" s="4" t="s">
        <v>6296</v>
      </c>
      <c r="AH717" s="4" t="s">
        <v>6296</v>
      </c>
      <c r="AI717" s="4" t="s">
        <v>6296</v>
      </c>
      <c r="AJ717" s="4" t="s">
        <v>6296</v>
      </c>
      <c r="AK717" s="4" t="s">
        <v>42</v>
      </c>
      <c r="AL717" s="4" t="s">
        <v>6296</v>
      </c>
      <c r="AM717" s="4" t="s">
        <v>6296</v>
      </c>
      <c r="AN717" s="4" t="s">
        <v>6296</v>
      </c>
      <c r="AO717" s="4" t="s">
        <v>6296</v>
      </c>
      <c r="AP717" s="4" t="s">
        <v>4834</v>
      </c>
      <c r="AQ717" s="4" t="s">
        <v>47</v>
      </c>
    </row>
    <row r="718" spans="1:43" ht="12.6" customHeight="1" x14ac:dyDescent="0.25">
      <c r="A718" s="8" t="s">
        <v>2852</v>
      </c>
      <c r="B718" s="9">
        <v>20151231</v>
      </c>
      <c r="C718" s="12">
        <f>_xll.FDS("SPX","FG_PRICE(12/30/2015)")</f>
        <v>2063.36</v>
      </c>
      <c r="D718" s="12">
        <f>_xll.FDS("SPX","FG_PRICE(12/30/2017)")</f>
        <v>2673.61</v>
      </c>
      <c r="E718" s="15">
        <f>D718/C718-1</f>
        <v>0.2957554668114144</v>
      </c>
      <c r="F718" s="8" t="s">
        <v>2853</v>
      </c>
      <c r="G718" s="8" t="s">
        <v>2854</v>
      </c>
      <c r="H718" s="13">
        <f>_xll.FDS(G718,"FG_PRICE(12/30/2015)")</f>
        <v>20.29</v>
      </c>
      <c r="I718" s="13">
        <f>_xll.FDS(G718,"FG_PRICE(12/31/2017)")</f>
        <v>3.58</v>
      </c>
      <c r="J718" s="13">
        <f>I718/H718-1</f>
        <v>-0.82355840315426321</v>
      </c>
      <c r="K718" s="13">
        <f>J718-E718</f>
        <v>-1.1193138699656777</v>
      </c>
      <c r="L718" s="13">
        <f>_xll.FDS(G718,"FF_ROE(ANN_R,12/30/2015)")</f>
        <v>-426.90355329949227</v>
      </c>
      <c r="M718" s="8" t="s">
        <v>2855</v>
      </c>
      <c r="N718" s="4" t="s">
        <v>2855</v>
      </c>
      <c r="O718" s="4" t="s">
        <v>2856</v>
      </c>
      <c r="P718" s="4" t="s">
        <v>106</v>
      </c>
      <c r="Q718" s="4" t="s">
        <v>83</v>
      </c>
      <c r="R718" s="4" t="s">
        <v>61</v>
      </c>
      <c r="S718" s="4" t="s">
        <v>62</v>
      </c>
      <c r="T718" s="6" t="e">
        <v>#N/A</v>
      </c>
      <c r="U718" s="5">
        <v>52</v>
      </c>
      <c r="V718" s="5">
        <v>52</v>
      </c>
      <c r="W718" s="5">
        <v>49</v>
      </c>
      <c r="X718" s="5">
        <v>59</v>
      </c>
      <c r="Y718" s="5">
        <v>43.62</v>
      </c>
      <c r="Z718" s="5">
        <v>69.680000000000007</v>
      </c>
      <c r="AA718" s="5">
        <v>26.6</v>
      </c>
      <c r="AB718" s="5">
        <v>29.79</v>
      </c>
      <c r="AC718" s="6">
        <v>0.35</v>
      </c>
      <c r="AD718" s="6">
        <v>0.4</v>
      </c>
      <c r="AE718" s="6">
        <v>0.25</v>
      </c>
      <c r="AF718" s="4" t="s">
        <v>42</v>
      </c>
      <c r="AG718" s="4" t="s">
        <v>42</v>
      </c>
      <c r="AH718" s="4" t="s">
        <v>6296</v>
      </c>
      <c r="AI718" s="4" t="s">
        <v>37</v>
      </c>
      <c r="AJ718" s="4" t="s">
        <v>37</v>
      </c>
      <c r="AK718" s="4" t="s">
        <v>37</v>
      </c>
      <c r="AL718" s="4" t="s">
        <v>42</v>
      </c>
      <c r="AM718" s="4" t="s">
        <v>42</v>
      </c>
      <c r="AN718" s="4" t="s">
        <v>42</v>
      </c>
      <c r="AO718" s="4" t="s">
        <v>6296</v>
      </c>
      <c r="AP718" s="4" t="s">
        <v>2857</v>
      </c>
      <c r="AQ718" s="4" t="s">
        <v>47</v>
      </c>
    </row>
    <row r="719" spans="1:43" ht="12.6" customHeight="1" x14ac:dyDescent="0.25">
      <c r="A719" s="8" t="s">
        <v>3787</v>
      </c>
      <c r="B719" s="9">
        <v>20151231</v>
      </c>
      <c r="C719" s="12">
        <f>_xll.FDS("SPX","FG_PRICE(12/30/2015)")</f>
        <v>2063.36</v>
      </c>
      <c r="D719" s="12">
        <f>_xll.FDS("SPX","FG_PRICE(12/30/2017)")</f>
        <v>2673.61</v>
      </c>
      <c r="E719" s="15">
        <f>D719/C719-1</f>
        <v>0.2957554668114144</v>
      </c>
      <c r="F719" s="8" t="s">
        <v>3788</v>
      </c>
      <c r="G719" s="8" t="s">
        <v>3789</v>
      </c>
      <c r="H719" s="13">
        <f>_xll.FDS(G719,"FG_PRICE(12/30/2015)")</f>
        <v>9.5299999999999994</v>
      </c>
      <c r="I719" s="13" t="e">
        <f>_xll.FDS(G719,"FG_PRICE(12/31/2017)")</f>
        <v>#N/A</v>
      </c>
      <c r="J719" s="13" t="e">
        <f>I719/H719-1</f>
        <v>#N/A</v>
      </c>
      <c r="K719" s="13" t="e">
        <f>J719-E719</f>
        <v>#N/A</v>
      </c>
      <c r="L719" s="13">
        <f>_xll.FDS(G719,"FF_ROE(ANN_R,12/30/2015)")</f>
        <v>2.3524038232026689</v>
      </c>
      <c r="M719" s="8" t="s">
        <v>3790</v>
      </c>
      <c r="N719" s="4" t="s">
        <v>3791</v>
      </c>
      <c r="O719" s="4" t="s">
        <v>3792</v>
      </c>
      <c r="P719" s="4" t="s">
        <v>106</v>
      </c>
      <c r="Q719" s="4" t="s">
        <v>83</v>
      </c>
      <c r="R719" s="4" t="s">
        <v>61</v>
      </c>
      <c r="S719" s="4" t="s">
        <v>62</v>
      </c>
      <c r="T719" s="6" t="e">
        <v>#N/A</v>
      </c>
      <c r="U719" s="5">
        <v>74</v>
      </c>
      <c r="V719" s="5">
        <v>84</v>
      </c>
      <c r="W719" s="5">
        <v>69</v>
      </c>
      <c r="X719" s="5">
        <v>70</v>
      </c>
      <c r="Y719" s="5">
        <v>93.62</v>
      </c>
      <c r="Z719" s="5">
        <v>99.47</v>
      </c>
      <c r="AA719" s="5">
        <v>72.87</v>
      </c>
      <c r="AB719" s="5">
        <v>69.680000000000007</v>
      </c>
      <c r="AC719" s="6">
        <v>0.35</v>
      </c>
      <c r="AD719" s="6">
        <v>0.4</v>
      </c>
      <c r="AE719" s="6">
        <v>0.25</v>
      </c>
      <c r="AF719" s="4" t="s">
        <v>6296</v>
      </c>
      <c r="AG719" s="4" t="s">
        <v>6296</v>
      </c>
      <c r="AH719" s="4" t="s">
        <v>6296</v>
      </c>
      <c r="AI719" s="4" t="s">
        <v>37</v>
      </c>
      <c r="AJ719" s="4" t="s">
        <v>6296</v>
      </c>
      <c r="AK719" s="4" t="s">
        <v>42</v>
      </c>
      <c r="AL719" s="4" t="s">
        <v>6296</v>
      </c>
      <c r="AM719" s="4" t="s">
        <v>42</v>
      </c>
      <c r="AN719" s="4" t="s">
        <v>6296</v>
      </c>
      <c r="AO719" s="4" t="s">
        <v>6296</v>
      </c>
      <c r="AP719" s="4" t="s">
        <v>3793</v>
      </c>
      <c r="AQ719" s="4" t="s">
        <v>47</v>
      </c>
    </row>
    <row r="720" spans="1:43" ht="12.6" customHeight="1" x14ac:dyDescent="0.25">
      <c r="A720" s="8" t="s">
        <v>1284</v>
      </c>
      <c r="B720" s="9">
        <v>20151231</v>
      </c>
      <c r="C720" s="12">
        <f>_xll.FDS("SPX","FG_PRICE(12/30/2015)")</f>
        <v>2063.36</v>
      </c>
      <c r="D720" s="12">
        <f>_xll.FDS("SPX","FG_PRICE(12/30/2017)")</f>
        <v>2673.61</v>
      </c>
      <c r="E720" s="15">
        <f>D720/C720-1</f>
        <v>0.2957554668114144</v>
      </c>
      <c r="F720" s="8" t="s">
        <v>1285</v>
      </c>
      <c r="G720" s="8" t="s">
        <v>1286</v>
      </c>
      <c r="H720" s="13">
        <f>_xll.FDS(G720,"FG_PRICE(12/30/2015)")</f>
        <v>73.62</v>
      </c>
      <c r="I720" s="13">
        <f>_xll.FDS(G720,"FG_PRICE(12/31/2017)")</f>
        <v>65.25</v>
      </c>
      <c r="J720" s="13">
        <f>I720/H720-1</f>
        <v>-0.11369193154034241</v>
      </c>
      <c r="K720" s="13">
        <f>J720-E720</f>
        <v>-0.40944739835175681</v>
      </c>
      <c r="L720" s="13">
        <f>_xll.FDS(G720,"FF_ROE(ANN_R,12/30/2015)")</f>
        <v>16.203519915310309</v>
      </c>
      <c r="M720" s="8" t="s">
        <v>1287</v>
      </c>
      <c r="N720" s="4" t="s">
        <v>1287</v>
      </c>
      <c r="O720" s="4" t="s">
        <v>1288</v>
      </c>
      <c r="P720" s="4" t="s">
        <v>96</v>
      </c>
      <c r="Q720" s="4" t="s">
        <v>83</v>
      </c>
      <c r="R720" s="4" t="s">
        <v>61</v>
      </c>
      <c r="S720" s="4" t="s">
        <v>62</v>
      </c>
      <c r="T720" s="6" t="e">
        <v>#N/A</v>
      </c>
      <c r="U720" s="5">
        <v>69</v>
      </c>
      <c r="V720" s="5">
        <v>68</v>
      </c>
      <c r="W720" s="5">
        <v>66</v>
      </c>
      <c r="X720" s="5">
        <v>75</v>
      </c>
      <c r="Y720" s="5">
        <v>85.64</v>
      </c>
      <c r="Z720" s="5">
        <v>92.55</v>
      </c>
      <c r="AA720" s="5">
        <v>69.150000000000006</v>
      </c>
      <c r="AB720" s="5">
        <v>84.57</v>
      </c>
      <c r="AC720" s="6">
        <v>0.35</v>
      </c>
      <c r="AD720" s="6">
        <v>0.4</v>
      </c>
      <c r="AE720" s="6">
        <v>0.25</v>
      </c>
      <c r="AF720" s="4" t="s">
        <v>42</v>
      </c>
      <c r="AG720" s="4" t="s">
        <v>6296</v>
      </c>
      <c r="AH720" s="4" t="s">
        <v>42</v>
      </c>
      <c r="AI720" s="4" t="s">
        <v>42</v>
      </c>
      <c r="AJ720" s="4" t="s">
        <v>37</v>
      </c>
      <c r="AK720" s="4" t="s">
        <v>45</v>
      </c>
      <c r="AL720" s="4" t="s">
        <v>6296</v>
      </c>
      <c r="AM720" s="4" t="s">
        <v>42</v>
      </c>
      <c r="AN720" s="4" t="s">
        <v>6296</v>
      </c>
      <c r="AO720" s="4" t="s">
        <v>6296</v>
      </c>
      <c r="AP720" s="4" t="s">
        <v>1289</v>
      </c>
      <c r="AQ720" s="4" t="s">
        <v>47</v>
      </c>
    </row>
    <row r="721" spans="1:43" ht="12.6" customHeight="1" x14ac:dyDescent="0.25">
      <c r="A721" s="8" t="s">
        <v>4030</v>
      </c>
      <c r="B721" s="9">
        <v>20151231</v>
      </c>
      <c r="C721" s="12">
        <f>_xll.FDS("SPX","FG_PRICE(12/30/2015)")</f>
        <v>2063.36</v>
      </c>
      <c r="D721" s="12">
        <f>_xll.FDS("SPX","FG_PRICE(12/30/2017)")</f>
        <v>2673.61</v>
      </c>
      <c r="E721" s="15">
        <f>D721/C721-1</f>
        <v>0.2957554668114144</v>
      </c>
      <c r="F721" s="8" t="s">
        <v>4031</v>
      </c>
      <c r="G721" s="8" t="s">
        <v>4032</v>
      </c>
      <c r="H721" s="13">
        <f>_xll.FDS(G721,"FG_PRICE(12/30/2015)")</f>
        <v>77.05</v>
      </c>
      <c r="I721" s="13">
        <f>_xll.FDS(G721,"FG_PRICE(12/31/2017)")</f>
        <v>103.95</v>
      </c>
      <c r="J721" s="13">
        <f>I721/H721-1</f>
        <v>0.34912394548994174</v>
      </c>
      <c r="K721" s="13">
        <f>J721-E721</f>
        <v>5.3368478678527342E-2</v>
      </c>
      <c r="L721" s="13">
        <f>_xll.FDS(G721,"FF_ROE(ANN_R,12/30/2015)")</f>
        <v>17.430630856362779</v>
      </c>
      <c r="M721" s="8" t="s">
        <v>4033</v>
      </c>
      <c r="N721" s="4" t="s">
        <v>4033</v>
      </c>
      <c r="O721" s="4" t="s">
        <v>4034</v>
      </c>
      <c r="P721" s="4" t="s">
        <v>96</v>
      </c>
      <c r="Q721" s="4" t="s">
        <v>83</v>
      </c>
      <c r="R721" s="4" t="s">
        <v>61</v>
      </c>
      <c r="S721" s="4" t="s">
        <v>62</v>
      </c>
      <c r="T721" s="6" t="e">
        <v>#N/A</v>
      </c>
      <c r="U721" s="5">
        <v>65</v>
      </c>
      <c r="V721" s="5">
        <v>57</v>
      </c>
      <c r="W721" s="5">
        <v>69</v>
      </c>
      <c r="X721" s="5">
        <v>71</v>
      </c>
      <c r="Y721" s="5">
        <v>78.19</v>
      </c>
      <c r="Z721" s="5">
        <v>80.319999999999993</v>
      </c>
      <c r="AA721" s="5">
        <v>72.87</v>
      </c>
      <c r="AB721" s="5">
        <v>74.47</v>
      </c>
      <c r="AC721" s="6">
        <v>0.35</v>
      </c>
      <c r="AD721" s="6">
        <v>0.4</v>
      </c>
      <c r="AE721" s="6">
        <v>0.25</v>
      </c>
      <c r="AF721" s="4" t="s">
        <v>6296</v>
      </c>
      <c r="AG721" s="4" t="s">
        <v>6296</v>
      </c>
      <c r="AH721" s="4" t="s">
        <v>6296</v>
      </c>
      <c r="AI721" s="4" t="s">
        <v>42</v>
      </c>
      <c r="AJ721" s="4" t="s">
        <v>6296</v>
      </c>
      <c r="AK721" s="4" t="s">
        <v>6296</v>
      </c>
      <c r="AL721" s="4" t="s">
        <v>6296</v>
      </c>
      <c r="AM721" s="4" t="s">
        <v>37</v>
      </c>
      <c r="AN721" s="4" t="s">
        <v>6296</v>
      </c>
      <c r="AO721" s="4" t="s">
        <v>6296</v>
      </c>
      <c r="AP721" s="4" t="s">
        <v>4035</v>
      </c>
      <c r="AQ721" s="4" t="s">
        <v>47</v>
      </c>
    </row>
    <row r="722" spans="1:43" ht="12.6" customHeight="1" x14ac:dyDescent="0.25">
      <c r="A722" s="8" t="s">
        <v>4468</v>
      </c>
      <c r="B722" s="9">
        <v>20151231</v>
      </c>
      <c r="C722" s="12">
        <f>_xll.FDS("SPX","FG_PRICE(12/30/2015)")</f>
        <v>2063.36</v>
      </c>
      <c r="D722" s="12">
        <f>_xll.FDS("SPX","FG_PRICE(12/30/2017)")</f>
        <v>2673.61</v>
      </c>
      <c r="E722" s="15">
        <f>D722/C722-1</f>
        <v>0.2957554668114144</v>
      </c>
      <c r="F722" s="8" t="s">
        <v>4469</v>
      </c>
      <c r="G722" s="8" t="s">
        <v>4470</v>
      </c>
      <c r="H722" s="13">
        <f>_xll.FDS(G722,"FG_PRICE(12/30/2015)")</f>
        <v>71.36</v>
      </c>
      <c r="I722" s="13">
        <f>_xll.FDS(G722,"FG_PRICE(12/31/2017)")</f>
        <v>76.459999999999994</v>
      </c>
      <c r="J722" s="13">
        <f>I722/H722-1</f>
        <v>7.1468609865470878E-2</v>
      </c>
      <c r="K722" s="13">
        <f>J722-E722</f>
        <v>-0.22428685694594352</v>
      </c>
      <c r="L722" s="13">
        <f>_xll.FDS(G722,"FF_ROE(ANN_R,12/30/2015)")</f>
        <v>52.156720593756432</v>
      </c>
      <c r="M722" s="8" t="s">
        <v>4471</v>
      </c>
      <c r="N722" s="4" t="s">
        <v>4472</v>
      </c>
      <c r="O722" s="4" t="s">
        <v>4473</v>
      </c>
      <c r="P722" s="4" t="s">
        <v>96</v>
      </c>
      <c r="Q722" s="4" t="s">
        <v>83</v>
      </c>
      <c r="R722" s="4" t="s">
        <v>61</v>
      </c>
      <c r="S722" s="4" t="s">
        <v>62</v>
      </c>
      <c r="T722" s="6" t="e">
        <v>#N/A</v>
      </c>
      <c r="U722" s="5">
        <v>63</v>
      </c>
      <c r="V722" s="5">
        <v>53</v>
      </c>
      <c r="W722" s="5">
        <v>71</v>
      </c>
      <c r="X722" s="5">
        <v>65</v>
      </c>
      <c r="Y722" s="5">
        <v>73.400000000000006</v>
      </c>
      <c r="Z722" s="5">
        <v>72.34</v>
      </c>
      <c r="AA722" s="5">
        <v>77.66</v>
      </c>
      <c r="AB722" s="5">
        <v>48.94</v>
      </c>
      <c r="AC722" s="6">
        <v>0.35</v>
      </c>
      <c r="AD722" s="6">
        <v>0.4</v>
      </c>
      <c r="AE722" s="6">
        <v>0.25</v>
      </c>
      <c r="AF722" s="4" t="s">
        <v>6296</v>
      </c>
      <c r="AG722" s="4" t="s">
        <v>6296</v>
      </c>
      <c r="AH722" s="4" t="s">
        <v>6296</v>
      </c>
      <c r="AI722" s="4" t="s">
        <v>42</v>
      </c>
      <c r="AJ722" s="4" t="s">
        <v>42</v>
      </c>
      <c r="AK722" s="4" t="s">
        <v>42</v>
      </c>
      <c r="AL722" s="4" t="s">
        <v>6296</v>
      </c>
      <c r="AM722" s="4" t="s">
        <v>6296</v>
      </c>
      <c r="AN722" s="4" t="s">
        <v>6296</v>
      </c>
      <c r="AO722" s="4" t="s">
        <v>6296</v>
      </c>
      <c r="AP722" s="4" t="s">
        <v>4474</v>
      </c>
      <c r="AQ722" s="4" t="s">
        <v>47</v>
      </c>
    </row>
    <row r="723" spans="1:43" ht="12.6" customHeight="1" x14ac:dyDescent="0.25">
      <c r="A723" s="8" t="s">
        <v>5429</v>
      </c>
      <c r="B723" s="9">
        <v>20151231</v>
      </c>
      <c r="C723" s="12">
        <f>_xll.FDS("SPX","FG_PRICE(12/30/2015)")</f>
        <v>2063.36</v>
      </c>
      <c r="D723" s="12">
        <f>_xll.FDS("SPX","FG_PRICE(12/30/2017)")</f>
        <v>2673.61</v>
      </c>
      <c r="E723" s="15">
        <f>D723/C723-1</f>
        <v>0.2957554668114144</v>
      </c>
      <c r="F723" s="8" t="s">
        <v>5430</v>
      </c>
      <c r="G723" s="8" t="s">
        <v>5431</v>
      </c>
      <c r="H723" s="13">
        <f>_xll.FDS(G723,"FG_PRICE(12/30/2015)")</f>
        <v>86.15</v>
      </c>
      <c r="I723" s="13">
        <f>_xll.FDS(G723,"FG_PRICE(12/31/2017)")</f>
        <v>34.46</v>
      </c>
      <c r="J723" s="13">
        <f>I723/H723-1</f>
        <v>-0.60000000000000009</v>
      </c>
      <c r="K723" s="13">
        <f>J723-E723</f>
        <v>-0.89575546681141449</v>
      </c>
      <c r="L723" s="13">
        <f>_xll.FDS(G723,"FF_ROE(ANN_R,12/30/2015)")</f>
        <v>22.719504594165311</v>
      </c>
      <c r="M723" s="8" t="s">
        <v>5432</v>
      </c>
      <c r="N723" s="4" t="s">
        <v>5433</v>
      </c>
      <c r="O723" s="4" t="s">
        <v>5434</v>
      </c>
      <c r="P723" s="4" t="s">
        <v>106</v>
      </c>
      <c r="Q723" s="4" t="s">
        <v>83</v>
      </c>
      <c r="R723" s="4" t="s">
        <v>61</v>
      </c>
      <c r="S723" s="4" t="s">
        <v>62</v>
      </c>
      <c r="T723" s="6" t="e">
        <v>#N/A</v>
      </c>
      <c r="U723" s="5">
        <v>48</v>
      </c>
      <c r="V723" s="5">
        <v>44</v>
      </c>
      <c r="W723" s="5">
        <v>43</v>
      </c>
      <c r="X723" s="5">
        <v>60</v>
      </c>
      <c r="Y723" s="5">
        <v>23.94</v>
      </c>
      <c r="Z723" s="5">
        <v>53.19</v>
      </c>
      <c r="AA723" s="6">
        <v>1.6</v>
      </c>
      <c r="AB723" s="5">
        <v>31.91</v>
      </c>
      <c r="AC723" s="6">
        <v>0.35</v>
      </c>
      <c r="AD723" s="6">
        <v>0.4</v>
      </c>
      <c r="AE723" s="6">
        <v>0.25</v>
      </c>
      <c r="AF723" s="4" t="s">
        <v>6296</v>
      </c>
      <c r="AG723" s="4" t="s">
        <v>6296</v>
      </c>
      <c r="AH723" s="4" t="s">
        <v>6296</v>
      </c>
      <c r="AI723" s="4" t="s">
        <v>6296</v>
      </c>
      <c r="AJ723" s="4" t="s">
        <v>6296</v>
      </c>
      <c r="AK723" s="4" t="s">
        <v>42</v>
      </c>
      <c r="AL723" s="4" t="s">
        <v>6296</v>
      </c>
      <c r="AM723" s="4" t="s">
        <v>6296</v>
      </c>
      <c r="AN723" s="4" t="s">
        <v>6296</v>
      </c>
      <c r="AO723" s="4" t="s">
        <v>6296</v>
      </c>
      <c r="AP723" s="4" t="s">
        <v>5435</v>
      </c>
      <c r="AQ723" s="4" t="s">
        <v>47</v>
      </c>
    </row>
    <row r="724" spans="1:43" ht="12.6" customHeight="1" x14ac:dyDescent="0.25">
      <c r="A724" s="8" t="s">
        <v>4090</v>
      </c>
      <c r="B724" s="9">
        <v>20151231</v>
      </c>
      <c r="C724" s="12">
        <f>_xll.FDS("SPX","FG_PRICE(12/30/2015)")</f>
        <v>2063.36</v>
      </c>
      <c r="D724" s="12">
        <f>_xll.FDS("SPX","FG_PRICE(12/30/2017)")</f>
        <v>2673.61</v>
      </c>
      <c r="E724" s="15">
        <f>D724/C724-1</f>
        <v>0.2957554668114144</v>
      </c>
      <c r="F724" s="8" t="s">
        <v>4091</v>
      </c>
      <c r="G724" s="8" t="s">
        <v>4092</v>
      </c>
      <c r="H724" s="13">
        <f>_xll.FDS(G724,"FG_PRICE(12/30/2015)")</f>
        <v>86.29</v>
      </c>
      <c r="I724" s="13">
        <f>_xll.FDS(G724,"FG_PRICE(12/31/2017)")</f>
        <v>74.75</v>
      </c>
      <c r="J724" s="13">
        <f>I724/H724-1</f>
        <v>-0.1337350793834744</v>
      </c>
      <c r="K724" s="13">
        <f>J724-E724</f>
        <v>-0.4294905461948888</v>
      </c>
      <c r="L724" s="13">
        <f>_xll.FDS(G724,"FF_ROE(ANN_R,12/30/2015)")</f>
        <v>29.19831290064182</v>
      </c>
      <c r="M724" s="8" t="s">
        <v>4093</v>
      </c>
      <c r="N724" s="4" t="s">
        <v>4093</v>
      </c>
      <c r="O724" s="4" t="s">
        <v>98</v>
      </c>
      <c r="P724" s="4" t="s">
        <v>106</v>
      </c>
      <c r="Q724" s="4" t="s">
        <v>83</v>
      </c>
      <c r="R724" s="4" t="s">
        <v>61</v>
      </c>
      <c r="S724" s="4" t="s">
        <v>62</v>
      </c>
      <c r="T724" s="6" t="e">
        <v>#N/A</v>
      </c>
      <c r="U724" s="5">
        <v>60</v>
      </c>
      <c r="V724" s="5">
        <v>52</v>
      </c>
      <c r="W724" s="5">
        <v>56</v>
      </c>
      <c r="X724" s="5">
        <v>76</v>
      </c>
      <c r="Y724" s="5">
        <v>65.959999999999994</v>
      </c>
      <c r="Z724" s="5">
        <v>69.680000000000007</v>
      </c>
      <c r="AA724" s="5">
        <v>49.47</v>
      </c>
      <c r="AB724" s="5">
        <v>87.77</v>
      </c>
      <c r="AC724" s="6">
        <v>0.35</v>
      </c>
      <c r="AD724" s="6">
        <v>0.4</v>
      </c>
      <c r="AE724" s="6">
        <v>0.25</v>
      </c>
      <c r="AF724" s="4" t="s">
        <v>42</v>
      </c>
      <c r="AG724" s="4" t="s">
        <v>6296</v>
      </c>
      <c r="AH724" s="4" t="s">
        <v>6296</v>
      </c>
      <c r="AI724" s="4" t="s">
        <v>6296</v>
      </c>
      <c r="AJ724" s="4" t="s">
        <v>6296</v>
      </c>
      <c r="AK724" s="4" t="s">
        <v>42</v>
      </c>
      <c r="AL724" s="4" t="s">
        <v>6296</v>
      </c>
      <c r="AM724" s="4" t="s">
        <v>6296</v>
      </c>
      <c r="AN724" s="4" t="s">
        <v>6296</v>
      </c>
      <c r="AO724" s="4" t="s">
        <v>6296</v>
      </c>
      <c r="AP724" s="4" t="s">
        <v>4094</v>
      </c>
      <c r="AQ724" s="4" t="s">
        <v>47</v>
      </c>
    </row>
    <row r="725" spans="1:43" ht="12.6" customHeight="1" x14ac:dyDescent="0.25">
      <c r="A725" s="8" t="s">
        <v>4956</v>
      </c>
      <c r="B725" s="9">
        <v>20151231</v>
      </c>
      <c r="C725" s="12">
        <f>_xll.FDS("SPX","FG_PRICE(12/30/2015)")</f>
        <v>2063.36</v>
      </c>
      <c r="D725" s="12">
        <f>_xll.FDS("SPX","FG_PRICE(12/30/2017)")</f>
        <v>2673.61</v>
      </c>
      <c r="E725" s="15">
        <f>D725/C725-1</f>
        <v>0.2957554668114144</v>
      </c>
      <c r="F725" s="8" t="s">
        <v>4957</v>
      </c>
      <c r="G725" s="8" t="s">
        <v>4958</v>
      </c>
      <c r="H725" s="13">
        <f>_xll.FDS(G725,"FG_PRICE(12/30/2015)")</f>
        <v>185.61</v>
      </c>
      <c r="I725" s="13">
        <f>_xll.FDS(G725,"FG_PRICE(12/31/2017)")</f>
        <v>223.66</v>
      </c>
      <c r="J725" s="13">
        <f>I725/H725-1</f>
        <v>0.20499973061796228</v>
      </c>
      <c r="K725" s="13">
        <f>J725-E725</f>
        <v>-9.0755736193452119E-2</v>
      </c>
      <c r="L725" s="13">
        <f>_xll.FDS(G725,"FF_ROE(ANN_R,12/30/2015)")</f>
        <v>22.850320558534762</v>
      </c>
      <c r="M725" s="8" t="s">
        <v>4959</v>
      </c>
      <c r="N725" s="4" t="s">
        <v>4960</v>
      </c>
      <c r="O725" s="4" t="s">
        <v>4961</v>
      </c>
      <c r="P725" s="4" t="s">
        <v>106</v>
      </c>
      <c r="Q725" s="4" t="s">
        <v>83</v>
      </c>
      <c r="R725" s="4" t="s">
        <v>61</v>
      </c>
      <c r="S725" s="4" t="s">
        <v>62</v>
      </c>
      <c r="T725" s="6" t="e">
        <v>#N/A</v>
      </c>
      <c r="U725" s="5">
        <v>54</v>
      </c>
      <c r="V725" s="5">
        <v>37</v>
      </c>
      <c r="W725" s="5">
        <v>56</v>
      </c>
      <c r="X725" s="5">
        <v>74</v>
      </c>
      <c r="Y725" s="5">
        <v>48.4</v>
      </c>
      <c r="Z725" s="5">
        <v>20.21</v>
      </c>
      <c r="AA725" s="5">
        <v>49.47</v>
      </c>
      <c r="AB725" s="5">
        <v>81.91</v>
      </c>
      <c r="AC725" s="6">
        <v>0.35</v>
      </c>
      <c r="AD725" s="6">
        <v>0.4</v>
      </c>
      <c r="AE725" s="6">
        <v>0.25</v>
      </c>
      <c r="AF725" s="4" t="s">
        <v>6296</v>
      </c>
      <c r="AG725" s="4" t="s">
        <v>6296</v>
      </c>
      <c r="AH725" s="4" t="s">
        <v>6296</v>
      </c>
      <c r="AI725" s="4" t="s">
        <v>6296</v>
      </c>
      <c r="AJ725" s="4" t="s">
        <v>6296</v>
      </c>
      <c r="AK725" s="4" t="s">
        <v>6296</v>
      </c>
      <c r="AL725" s="4" t="s">
        <v>6296</v>
      </c>
      <c r="AM725" s="4" t="s">
        <v>6296</v>
      </c>
      <c r="AN725" s="4" t="s">
        <v>6296</v>
      </c>
      <c r="AO725" s="4" t="s">
        <v>6296</v>
      </c>
      <c r="AP725" s="4" t="s">
        <v>4962</v>
      </c>
      <c r="AQ725" s="4" t="s">
        <v>47</v>
      </c>
    </row>
    <row r="726" spans="1:43" ht="12.6" customHeight="1" x14ac:dyDescent="0.25">
      <c r="A726" s="8" t="s">
        <v>4243</v>
      </c>
      <c r="B726" s="9">
        <v>20151231</v>
      </c>
      <c r="C726" s="12">
        <f>_xll.FDS("SPX","FG_PRICE(12/30/2015)")</f>
        <v>2063.36</v>
      </c>
      <c r="D726" s="12">
        <f>_xll.FDS("SPX","FG_PRICE(12/30/2017)")</f>
        <v>2673.61</v>
      </c>
      <c r="E726" s="15">
        <f>D726/C726-1</f>
        <v>0.2957554668114144</v>
      </c>
      <c r="F726" s="8" t="s">
        <v>4244</v>
      </c>
      <c r="G726" s="8" t="s">
        <v>4245</v>
      </c>
      <c r="H726" s="13">
        <f>_xll.FDS(G726,"FG_PRICE(12/30/2015)")</f>
        <v>23.09</v>
      </c>
      <c r="I726" s="13">
        <f>_xll.FDS(G726,"FG_PRICE(12/31/2017)")</f>
        <v>35.06</v>
      </c>
      <c r="J726" s="13">
        <f>I726/H726-1</f>
        <v>0.5184062364660027</v>
      </c>
      <c r="K726" s="13">
        <f>J726-E726</f>
        <v>0.2226507696545883</v>
      </c>
      <c r="L726" s="13">
        <f>_xll.FDS(G726,"FF_ROE(ANN_R,12/30/2015)")</f>
        <v>15.38168826781296</v>
      </c>
      <c r="M726" s="8" t="s">
        <v>4246</v>
      </c>
      <c r="N726" s="4" t="s">
        <v>4247</v>
      </c>
      <c r="O726" s="4" t="s">
        <v>4248</v>
      </c>
      <c r="P726" s="4" t="s">
        <v>106</v>
      </c>
      <c r="Q726" s="4" t="s">
        <v>83</v>
      </c>
      <c r="R726" s="4" t="s">
        <v>61</v>
      </c>
      <c r="S726" s="4" t="s">
        <v>62</v>
      </c>
      <c r="T726" s="6" t="e">
        <v>#N/A</v>
      </c>
      <c r="U726" s="5">
        <v>50</v>
      </c>
      <c r="V726" s="5">
        <v>37</v>
      </c>
      <c r="W726" s="5">
        <v>50</v>
      </c>
      <c r="X726" s="5">
        <v>70</v>
      </c>
      <c r="Y726" s="5">
        <v>34.04</v>
      </c>
      <c r="Z726" s="5">
        <v>20.21</v>
      </c>
      <c r="AA726" s="5">
        <v>30.85</v>
      </c>
      <c r="AB726" s="5">
        <v>69.680000000000007</v>
      </c>
      <c r="AC726" s="6">
        <v>0.35</v>
      </c>
      <c r="AD726" s="6">
        <v>0.4</v>
      </c>
      <c r="AE726" s="6">
        <v>0.25</v>
      </c>
      <c r="AF726" s="4" t="s">
        <v>6296</v>
      </c>
      <c r="AG726" s="4" t="s">
        <v>6296</v>
      </c>
      <c r="AH726" s="4" t="s">
        <v>6296</v>
      </c>
      <c r="AI726" s="4" t="s">
        <v>37</v>
      </c>
      <c r="AJ726" s="4" t="s">
        <v>6296</v>
      </c>
      <c r="AK726" s="4" t="s">
        <v>42</v>
      </c>
      <c r="AL726" s="4" t="s">
        <v>6296</v>
      </c>
      <c r="AM726" s="4" t="s">
        <v>6296</v>
      </c>
      <c r="AN726" s="4" t="s">
        <v>6296</v>
      </c>
      <c r="AO726" s="4" t="s">
        <v>6296</v>
      </c>
      <c r="AP726" s="4" t="s">
        <v>4249</v>
      </c>
      <c r="AQ726" s="4" t="s">
        <v>47</v>
      </c>
    </row>
    <row r="727" spans="1:43" ht="12.6" customHeight="1" x14ac:dyDescent="0.25">
      <c r="A727" s="8" t="s">
        <v>4395</v>
      </c>
      <c r="B727" s="9">
        <v>20151231</v>
      </c>
      <c r="C727" s="12">
        <f>_xll.FDS("SPX","FG_PRICE(12/30/2015)")</f>
        <v>2063.36</v>
      </c>
      <c r="D727" s="12">
        <f>_xll.FDS("SPX","FG_PRICE(12/30/2017)")</f>
        <v>2673.61</v>
      </c>
      <c r="E727" s="15">
        <f>D727/C727-1</f>
        <v>0.2957554668114144</v>
      </c>
      <c r="F727" s="8" t="s">
        <v>4396</v>
      </c>
      <c r="G727" s="8" t="s">
        <v>4397</v>
      </c>
      <c r="H727" s="13">
        <f>_xll.FDS(G727,"FG_PRICE(12/30/2015)")</f>
        <v>58.89</v>
      </c>
      <c r="I727" s="13">
        <f>_xll.FDS(G727,"FG_PRICE(12/31/2017)")</f>
        <v>51.7</v>
      </c>
      <c r="J727" s="13">
        <f>I727/H727-1</f>
        <v>-0.12209203599932072</v>
      </c>
      <c r="K727" s="13">
        <f>J727-E727</f>
        <v>-0.41784750281073513</v>
      </c>
      <c r="L727" s="13">
        <f>_xll.FDS(G727,"FF_ROE(ANN_R,12/30/2015)")</f>
        <v>24.900471962036651</v>
      </c>
      <c r="M727" s="8" t="s">
        <v>4398</v>
      </c>
      <c r="N727" s="4" t="s">
        <v>4399</v>
      </c>
      <c r="O727" s="4" t="s">
        <v>4400</v>
      </c>
      <c r="P727" s="4" t="s">
        <v>96</v>
      </c>
      <c r="Q727" s="4" t="s">
        <v>83</v>
      </c>
      <c r="R727" s="4" t="s">
        <v>61</v>
      </c>
      <c r="S727" s="4" t="s">
        <v>62</v>
      </c>
      <c r="T727" s="6" t="e">
        <v>#N/A</v>
      </c>
      <c r="U727" s="5">
        <v>67</v>
      </c>
      <c r="V727" s="5">
        <v>55</v>
      </c>
      <c r="W727" s="5">
        <v>71</v>
      </c>
      <c r="X727" s="5">
        <v>76</v>
      </c>
      <c r="Y727" s="5">
        <v>82.45</v>
      </c>
      <c r="Z727" s="5">
        <v>77.13</v>
      </c>
      <c r="AA727" s="5">
        <v>77.66</v>
      </c>
      <c r="AB727" s="5">
        <v>87.77</v>
      </c>
      <c r="AC727" s="6">
        <v>0.35</v>
      </c>
      <c r="AD727" s="6">
        <v>0.4</v>
      </c>
      <c r="AE727" s="6">
        <v>0.25</v>
      </c>
      <c r="AF727" s="4" t="s">
        <v>6296</v>
      </c>
      <c r="AG727" s="4" t="s">
        <v>6296</v>
      </c>
      <c r="AH727" s="4" t="s">
        <v>6296</v>
      </c>
      <c r="AI727" s="4" t="s">
        <v>6296</v>
      </c>
      <c r="AJ727" s="4" t="s">
        <v>37</v>
      </c>
      <c r="AK727" s="4" t="s">
        <v>42</v>
      </c>
      <c r="AL727" s="4" t="s">
        <v>6296</v>
      </c>
      <c r="AM727" s="4" t="s">
        <v>42</v>
      </c>
      <c r="AN727" s="4" t="s">
        <v>6296</v>
      </c>
      <c r="AO727" s="4" t="s">
        <v>6296</v>
      </c>
      <c r="AP727" s="4" t="s">
        <v>4401</v>
      </c>
      <c r="AQ727" s="4" t="s">
        <v>47</v>
      </c>
    </row>
    <row r="728" spans="1:43" ht="12.6" customHeight="1" x14ac:dyDescent="0.25">
      <c r="A728" s="8" t="s">
        <v>4641</v>
      </c>
      <c r="B728" s="9">
        <v>20151231</v>
      </c>
      <c r="C728" s="12">
        <f>_xll.FDS("SPX","FG_PRICE(12/30/2015)")</f>
        <v>2063.36</v>
      </c>
      <c r="D728" s="12">
        <f>_xll.FDS("SPX","FG_PRICE(12/30/2017)")</f>
        <v>2673.61</v>
      </c>
      <c r="E728" s="15">
        <f>D728/C728-1</f>
        <v>0.2957554668114144</v>
      </c>
      <c r="F728" s="8" t="s">
        <v>4642</v>
      </c>
      <c r="G728" s="8" t="s">
        <v>4643</v>
      </c>
      <c r="H728" s="13">
        <f>_xll.FDS(G728,"FG_PRICE(12/30/2015)")</f>
        <v>15.53</v>
      </c>
      <c r="I728" s="13">
        <f>_xll.FDS(G728,"FG_PRICE(12/31/2017)")</f>
        <v>20.824999999999999</v>
      </c>
      <c r="J728" s="13">
        <f>I728/H728-1</f>
        <v>0.34095299420476488</v>
      </c>
      <c r="K728" s="13">
        <f>J728-E728</f>
        <v>4.5197527393350478E-2</v>
      </c>
      <c r="L728" s="13">
        <f>_xll.FDS(G728,"FF_ROE(ANN_R,12/30/2015)")</f>
        <v>12.426169988118151</v>
      </c>
      <c r="M728" s="8" t="s">
        <v>4644</v>
      </c>
      <c r="N728" s="4" t="s">
        <v>4644</v>
      </c>
      <c r="O728" s="4" t="s">
        <v>4645</v>
      </c>
      <c r="P728" s="4" t="s">
        <v>106</v>
      </c>
      <c r="Q728" s="4" t="s">
        <v>83</v>
      </c>
      <c r="R728" s="4" t="s">
        <v>61</v>
      </c>
      <c r="S728" s="4" t="s">
        <v>62</v>
      </c>
      <c r="T728" s="6" t="e">
        <v>#N/A</v>
      </c>
      <c r="U728" s="5">
        <v>51</v>
      </c>
      <c r="V728" s="5">
        <v>37</v>
      </c>
      <c r="W728" s="5">
        <v>58</v>
      </c>
      <c r="X728" s="5">
        <v>60</v>
      </c>
      <c r="Y728" s="5">
        <v>38.299999999999997</v>
      </c>
      <c r="Z728" s="5">
        <v>20.21</v>
      </c>
      <c r="AA728" s="5">
        <v>55.32</v>
      </c>
      <c r="AB728" s="5">
        <v>31.91</v>
      </c>
      <c r="AC728" s="6">
        <v>0.35</v>
      </c>
      <c r="AD728" s="6">
        <v>0.4</v>
      </c>
      <c r="AE728" s="6">
        <v>0.25</v>
      </c>
      <c r="AF728" s="4" t="s">
        <v>6296</v>
      </c>
      <c r="AG728" s="4" t="s">
        <v>6296</v>
      </c>
      <c r="AH728" s="4" t="s">
        <v>6296</v>
      </c>
      <c r="AI728" s="4" t="s">
        <v>6296</v>
      </c>
      <c r="AJ728" s="4" t="s">
        <v>6296</v>
      </c>
      <c r="AK728" s="4" t="s">
        <v>6296</v>
      </c>
      <c r="AL728" s="4" t="s">
        <v>6296</v>
      </c>
      <c r="AM728" s="4" t="s">
        <v>6296</v>
      </c>
      <c r="AN728" s="4" t="s">
        <v>6296</v>
      </c>
      <c r="AO728" s="4" t="s">
        <v>6296</v>
      </c>
      <c r="AP728" s="4" t="s">
        <v>4646</v>
      </c>
      <c r="AQ728" s="4" t="s">
        <v>47</v>
      </c>
    </row>
    <row r="729" spans="1:43" ht="12.6" customHeight="1" x14ac:dyDescent="0.25">
      <c r="A729" s="8" t="s">
        <v>281</v>
      </c>
      <c r="B729" s="9">
        <v>20151231</v>
      </c>
      <c r="C729" s="12">
        <f>_xll.FDS("SPX","FG_PRICE(12/30/2015)")</f>
        <v>2063.36</v>
      </c>
      <c r="D729" s="12">
        <f>_xll.FDS("SPX","FG_PRICE(12/30/2017)")</f>
        <v>2673.61</v>
      </c>
      <c r="E729" s="15">
        <f>D729/C729-1</f>
        <v>0.2957554668114144</v>
      </c>
      <c r="F729" s="8" t="s">
        <v>282</v>
      </c>
      <c r="G729" s="8" t="s">
        <v>283</v>
      </c>
      <c r="H729" s="13">
        <f>_xll.FDS(G729,"FG_PRICE(12/30/2015)")</f>
        <v>56.55</v>
      </c>
      <c r="I729" s="13">
        <f>_xll.FDS(G729,"FG_PRICE(12/31/2017)")</f>
        <v>89.03</v>
      </c>
      <c r="J729" s="13">
        <f>I729/H729-1</f>
        <v>0.57435897435897454</v>
      </c>
      <c r="K729" s="13">
        <f>J729-E729</f>
        <v>0.27860350754756014</v>
      </c>
      <c r="L729" s="13">
        <f>_xll.FDS(G729,"FF_ROE(ANN_R,12/30/2015)")</f>
        <v>14.177361564445659</v>
      </c>
      <c r="M729" s="8" t="s">
        <v>284</v>
      </c>
      <c r="N729" s="4" t="s">
        <v>285</v>
      </c>
      <c r="O729" s="4" t="s">
        <v>286</v>
      </c>
      <c r="P729" s="4" t="s">
        <v>106</v>
      </c>
      <c r="Q729" s="4" t="s">
        <v>99</v>
      </c>
      <c r="R729" s="4" t="s">
        <v>61</v>
      </c>
      <c r="S729" s="4" t="s">
        <v>62</v>
      </c>
      <c r="T729" s="6" t="e">
        <v>#N/A</v>
      </c>
      <c r="U729" s="5">
        <v>65</v>
      </c>
      <c r="V729" s="5">
        <v>61</v>
      </c>
      <c r="W729" s="5">
        <v>70</v>
      </c>
      <c r="X729" s="5">
        <v>63</v>
      </c>
      <c r="Y729" s="5">
        <v>64.489999999999995</v>
      </c>
      <c r="Z729" s="5">
        <v>55.14</v>
      </c>
      <c r="AA729" s="5">
        <v>77.569999999999993</v>
      </c>
      <c r="AB729" s="5">
        <v>45.79</v>
      </c>
      <c r="AC729" s="6">
        <v>0.4</v>
      </c>
      <c r="AD729" s="6">
        <v>0.35</v>
      </c>
      <c r="AE729" s="6">
        <v>0.25</v>
      </c>
      <c r="AF729" s="4" t="s">
        <v>6296</v>
      </c>
      <c r="AG729" s="4" t="s">
        <v>6296</v>
      </c>
      <c r="AH729" s="4" t="s">
        <v>6296</v>
      </c>
      <c r="AI729" s="4" t="s">
        <v>6296</v>
      </c>
      <c r="AJ729" s="4" t="s">
        <v>6296</v>
      </c>
      <c r="AK729" s="4" t="s">
        <v>6296</v>
      </c>
      <c r="AL729" s="4" t="s">
        <v>6296</v>
      </c>
      <c r="AM729" s="4" t="s">
        <v>6296</v>
      </c>
      <c r="AN729" s="4" t="s">
        <v>6296</v>
      </c>
      <c r="AO729" s="4" t="s">
        <v>6296</v>
      </c>
      <c r="AP729" s="4" t="s">
        <v>287</v>
      </c>
      <c r="AQ729" s="4" t="s">
        <v>47</v>
      </c>
    </row>
    <row r="730" spans="1:43" ht="12.6" customHeight="1" x14ac:dyDescent="0.25">
      <c r="A730" s="8" t="s">
        <v>367</v>
      </c>
      <c r="B730" s="9">
        <v>20151231</v>
      </c>
      <c r="C730" s="12">
        <f>_xll.FDS("SPX","FG_PRICE(12/30/2015)")</f>
        <v>2063.36</v>
      </c>
      <c r="D730" s="12">
        <f>_xll.FDS("SPX","FG_PRICE(12/30/2017)")</f>
        <v>2673.61</v>
      </c>
      <c r="E730" s="15">
        <f>D730/C730-1</f>
        <v>0.2957554668114144</v>
      </c>
      <c r="F730" s="8" t="s">
        <v>368</v>
      </c>
      <c r="G730" s="8" t="s">
        <v>369</v>
      </c>
      <c r="H730" s="13">
        <f>_xll.FDS(G730,"FG_PRICE(12/30/2015)")</f>
        <v>18.96</v>
      </c>
      <c r="I730" s="13">
        <f>_xll.FDS(G730,"FG_PRICE(12/31/2017)")</f>
        <v>51.12</v>
      </c>
      <c r="J730" s="13">
        <f>I730/H730-1</f>
        <v>1.6962025316455693</v>
      </c>
      <c r="K730" s="13">
        <f>J730-E730</f>
        <v>1.4004470648341549</v>
      </c>
      <c r="L730" s="13">
        <f>_xll.FDS(G730,"FF_ROE(ANN_R,12/30/2015)")</f>
        <v>17.789548478780439</v>
      </c>
      <c r="M730" s="8" t="s">
        <v>370</v>
      </c>
      <c r="N730" s="4" t="s">
        <v>371</v>
      </c>
      <c r="O730" s="4" t="s">
        <v>372</v>
      </c>
      <c r="P730" s="4" t="s">
        <v>106</v>
      </c>
      <c r="Q730" s="4" t="s">
        <v>99</v>
      </c>
      <c r="R730" s="4" t="s">
        <v>61</v>
      </c>
      <c r="S730" s="4" t="s">
        <v>62</v>
      </c>
      <c r="T730" s="6" t="e">
        <v>#N/A</v>
      </c>
      <c r="U730" s="5">
        <v>73</v>
      </c>
      <c r="V730" s="5">
        <v>70</v>
      </c>
      <c r="W730" s="5">
        <v>81</v>
      </c>
      <c r="X730" s="5">
        <v>65</v>
      </c>
      <c r="Y730" s="5">
        <v>85.98</v>
      </c>
      <c r="Z730" s="5">
        <v>78.5</v>
      </c>
      <c r="AA730" s="5">
        <v>91.59</v>
      </c>
      <c r="AB730" s="5">
        <v>57.94</v>
      </c>
      <c r="AC730" s="6">
        <v>0.4</v>
      </c>
      <c r="AD730" s="6">
        <v>0.35</v>
      </c>
      <c r="AE730" s="6">
        <v>0.25</v>
      </c>
      <c r="AF730" s="4" t="s">
        <v>6296</v>
      </c>
      <c r="AG730" s="4" t="s">
        <v>6296</v>
      </c>
      <c r="AH730" s="4" t="s">
        <v>6296</v>
      </c>
      <c r="AI730" s="4" t="s">
        <v>6296</v>
      </c>
      <c r="AJ730" s="4" t="s">
        <v>6296</v>
      </c>
      <c r="AK730" s="4" t="s">
        <v>6296</v>
      </c>
      <c r="AL730" s="4" t="s">
        <v>6296</v>
      </c>
      <c r="AM730" s="4" t="s">
        <v>6296</v>
      </c>
      <c r="AN730" s="4" t="s">
        <v>6296</v>
      </c>
      <c r="AO730" s="4" t="s">
        <v>6296</v>
      </c>
      <c r="AP730" s="4" t="s">
        <v>373</v>
      </c>
      <c r="AQ730" s="4" t="s">
        <v>47</v>
      </c>
    </row>
    <row r="731" spans="1:43" ht="12.6" customHeight="1" x14ac:dyDescent="0.25">
      <c r="A731" s="8" t="s">
        <v>146</v>
      </c>
      <c r="B731" s="9">
        <v>20151231</v>
      </c>
      <c r="C731" s="12">
        <f>_xll.FDS("SPX","FG_PRICE(12/30/2015)")</f>
        <v>2063.36</v>
      </c>
      <c r="D731" s="12">
        <f>_xll.FDS("SPX","FG_PRICE(12/30/2017)")</f>
        <v>2673.61</v>
      </c>
      <c r="E731" s="15">
        <f>D731/C731-1</f>
        <v>0.2957554668114144</v>
      </c>
      <c r="F731" s="8" t="s">
        <v>147</v>
      </c>
      <c r="G731" s="8" t="s">
        <v>148</v>
      </c>
      <c r="H731" s="13">
        <f>_xll.FDS(G731,"FG_PRICE(12/30/2015)")</f>
        <v>2.98</v>
      </c>
      <c r="I731" s="13">
        <f>_xll.FDS(G731,"FG_PRICE(12/31/2017)")</f>
        <v>10.28</v>
      </c>
      <c r="J731" s="13">
        <f>I731/H731-1</f>
        <v>2.449664429530201</v>
      </c>
      <c r="K731" s="13">
        <f>J731-E731</f>
        <v>2.1539089627187868</v>
      </c>
      <c r="L731" s="13">
        <f>_xll.FDS(G731,"FF_ROE(ANN_R,12/30/2015)")</f>
        <v>-110.2599179206566</v>
      </c>
      <c r="M731" s="8" t="s">
        <v>149</v>
      </c>
      <c r="N731" s="4" t="s">
        <v>150</v>
      </c>
      <c r="O731" s="4" t="s">
        <v>151</v>
      </c>
      <c r="P731" s="4" t="s">
        <v>130</v>
      </c>
      <c r="Q731" s="4" t="s">
        <v>99</v>
      </c>
      <c r="R731" s="4" t="s">
        <v>61</v>
      </c>
      <c r="S731" s="4" t="s">
        <v>62</v>
      </c>
      <c r="T731" s="6" t="e">
        <v>#N/A</v>
      </c>
      <c r="U731" s="5">
        <v>83</v>
      </c>
      <c r="V731" s="5">
        <v>91</v>
      </c>
      <c r="W731" s="5">
        <v>84</v>
      </c>
      <c r="X731" s="5">
        <v>68</v>
      </c>
      <c r="Y731" s="5">
        <v>96.26</v>
      </c>
      <c r="Z731" s="5">
        <v>98.13</v>
      </c>
      <c r="AA731" s="5">
        <v>96.26</v>
      </c>
      <c r="AB731" s="5">
        <v>71.03</v>
      </c>
      <c r="AC731" s="6">
        <v>0.4</v>
      </c>
      <c r="AD731" s="6">
        <v>0.35</v>
      </c>
      <c r="AE731" s="6">
        <v>0.25</v>
      </c>
      <c r="AF731" s="4" t="s">
        <v>6296</v>
      </c>
      <c r="AG731" s="4" t="s">
        <v>6296</v>
      </c>
      <c r="AH731" s="4" t="s">
        <v>6296</v>
      </c>
      <c r="AI731" s="4" t="s">
        <v>42</v>
      </c>
      <c r="AJ731" s="4" t="s">
        <v>42</v>
      </c>
      <c r="AK731" s="4" t="s">
        <v>6296</v>
      </c>
      <c r="AL731" s="4" t="s">
        <v>6296</v>
      </c>
      <c r="AM731" s="4" t="s">
        <v>6296</v>
      </c>
      <c r="AN731" s="4" t="s">
        <v>6296</v>
      </c>
      <c r="AO731" s="4" t="s">
        <v>6296</v>
      </c>
      <c r="AP731" s="4" t="s">
        <v>152</v>
      </c>
      <c r="AQ731" s="4" t="s">
        <v>47</v>
      </c>
    </row>
    <row r="732" spans="1:43" ht="12.6" customHeight="1" x14ac:dyDescent="0.25">
      <c r="A732" s="8" t="s">
        <v>445</v>
      </c>
      <c r="B732" s="9">
        <v>20151231</v>
      </c>
      <c r="C732" s="12">
        <f>_xll.FDS("SPX","FG_PRICE(12/30/2015)")</f>
        <v>2063.36</v>
      </c>
      <c r="D732" s="12">
        <f>_xll.FDS("SPX","FG_PRICE(12/30/2017)")</f>
        <v>2673.61</v>
      </c>
      <c r="E732" s="15">
        <f>D732/C732-1</f>
        <v>0.2957554668114144</v>
      </c>
      <c r="F732" s="8" t="s">
        <v>446</v>
      </c>
      <c r="G732" s="8" t="s">
        <v>447</v>
      </c>
      <c r="H732" s="13">
        <f>_xll.FDS(G732,"FG_PRICE(12/30/2015)")</f>
        <v>8.68</v>
      </c>
      <c r="I732" s="13" t="e">
        <f>_xll.FDS(G732,"FG_PRICE(12/31/2017)")</f>
        <v>#N/A</v>
      </c>
      <c r="J732" s="13" t="e">
        <f>I732/H732-1</f>
        <v>#N/A</v>
      </c>
      <c r="K732" s="13" t="e">
        <f>J732-E732</f>
        <v>#N/A</v>
      </c>
      <c r="L732" s="13">
        <f>_xll.FDS(G732,"FF_ROE(ANN_R,12/30/2015)")</f>
        <v>3.5674849701896991</v>
      </c>
      <c r="M732" s="8" t="s">
        <v>448</v>
      </c>
      <c r="N732" s="4" t="s">
        <v>448</v>
      </c>
      <c r="O732" s="4" t="s">
        <v>47</v>
      </c>
      <c r="P732" s="4" t="s">
        <v>106</v>
      </c>
      <c r="Q732" s="4" t="s">
        <v>99</v>
      </c>
      <c r="R732" s="4" t="s">
        <v>61</v>
      </c>
      <c r="S732" s="4" t="s">
        <v>62</v>
      </c>
      <c r="T732" s="6" t="e">
        <v>#N/A</v>
      </c>
      <c r="U732" s="5">
        <v>56</v>
      </c>
      <c r="V732" s="5">
        <v>50</v>
      </c>
      <c r="W732" s="5">
        <v>51</v>
      </c>
      <c r="X732" s="5">
        <v>75</v>
      </c>
      <c r="Y732" s="5">
        <v>35.51</v>
      </c>
      <c r="Z732" s="5">
        <v>31.78</v>
      </c>
      <c r="AA732" s="5">
        <v>20.56</v>
      </c>
      <c r="AB732" s="5">
        <v>83.18</v>
      </c>
      <c r="AC732" s="6">
        <v>0.4</v>
      </c>
      <c r="AD732" s="6">
        <v>0.35</v>
      </c>
      <c r="AE732" s="6">
        <v>0.25</v>
      </c>
      <c r="AF732" s="4" t="s">
        <v>6296</v>
      </c>
      <c r="AG732" s="4" t="s">
        <v>6296</v>
      </c>
      <c r="AH732" s="4" t="s">
        <v>6296</v>
      </c>
      <c r="AI732" s="4" t="s">
        <v>6296</v>
      </c>
      <c r="AJ732" s="4" t="s">
        <v>6296</v>
      </c>
      <c r="AK732" s="4" t="s">
        <v>6296</v>
      </c>
      <c r="AL732" s="4" t="s">
        <v>6296</v>
      </c>
      <c r="AM732" s="4" t="s">
        <v>6296</v>
      </c>
      <c r="AN732" s="4" t="s">
        <v>6296</v>
      </c>
      <c r="AO732" s="4" t="s">
        <v>6296</v>
      </c>
      <c r="AP732" s="4" t="s">
        <v>449</v>
      </c>
      <c r="AQ732" s="4" t="s">
        <v>47</v>
      </c>
    </row>
    <row r="733" spans="1:43" ht="12.6" customHeight="1" x14ac:dyDescent="0.25">
      <c r="A733" s="8" t="s">
        <v>6322</v>
      </c>
      <c r="B733" s="9">
        <v>20151231</v>
      </c>
      <c r="C733" s="12">
        <f>_xll.FDS("SPX","FG_PRICE(12/30/2015)")</f>
        <v>2063.36</v>
      </c>
      <c r="D733" s="12">
        <f>_xll.FDS("SPX","FG_PRICE(12/30/2017)")</f>
        <v>2673.61</v>
      </c>
      <c r="E733" s="15">
        <f>D733/C733-1</f>
        <v>0.2957554668114144</v>
      </c>
      <c r="F733" s="8" t="s">
        <v>6323</v>
      </c>
      <c r="G733" s="8" t="s">
        <v>6324</v>
      </c>
      <c r="H733" s="13">
        <f>_xll.FDS(G733,"FG_PRICE(12/30/2015)")</f>
        <v>58.22</v>
      </c>
      <c r="I733" s="13" t="e">
        <f>_xll.FDS(G733,"FG_PRICE(12/31/2017)")</f>
        <v>#N/A</v>
      </c>
      <c r="J733" s="13" t="e">
        <f>I733/H733-1</f>
        <v>#N/A</v>
      </c>
      <c r="K733" s="13" t="e">
        <f>J733-E733</f>
        <v>#N/A</v>
      </c>
      <c r="L733" s="13">
        <f>_xll.FDS(G733,"FF_ROE(ANN_R,12/30/2015)")</f>
        <v>7.4847893468028932</v>
      </c>
      <c r="M733" s="8" t="s">
        <v>6325</v>
      </c>
      <c r="N733" s="4" t="s">
        <v>5428</v>
      </c>
      <c r="O733" s="4" t="s">
        <v>6326</v>
      </c>
      <c r="P733" s="4" t="s">
        <v>106</v>
      </c>
      <c r="Q733" s="4" t="s">
        <v>99</v>
      </c>
      <c r="R733" s="4" t="s">
        <v>61</v>
      </c>
      <c r="S733" s="4" t="s">
        <v>62</v>
      </c>
      <c r="T733" s="6" t="e">
        <v>#N/A</v>
      </c>
      <c r="U733" s="5">
        <v>70</v>
      </c>
      <c r="V733" s="5">
        <v>76</v>
      </c>
      <c r="W733" s="5">
        <v>63</v>
      </c>
      <c r="X733" s="5">
        <v>71</v>
      </c>
      <c r="Y733" s="5">
        <v>81.31</v>
      </c>
      <c r="Z733" s="5">
        <v>85.98</v>
      </c>
      <c r="AA733" s="5">
        <v>52.34</v>
      </c>
      <c r="AB733" s="5">
        <v>76.64</v>
      </c>
      <c r="AC733" s="6">
        <v>0.4</v>
      </c>
      <c r="AD733" s="6">
        <v>0.35</v>
      </c>
      <c r="AE733" s="6">
        <v>0.25</v>
      </c>
      <c r="AF733" s="4" t="s">
        <v>6296</v>
      </c>
      <c r="AG733" s="4" t="s">
        <v>6296</v>
      </c>
      <c r="AH733" s="4" t="s">
        <v>6296</v>
      </c>
      <c r="AI733" s="4" t="s">
        <v>6296</v>
      </c>
      <c r="AJ733" s="4" t="s">
        <v>6296</v>
      </c>
      <c r="AK733" s="4" t="s">
        <v>6296</v>
      </c>
      <c r="AL733" s="4" t="s">
        <v>6296</v>
      </c>
      <c r="AM733" s="4" t="s">
        <v>6296</v>
      </c>
      <c r="AN733" s="4" t="s">
        <v>6296</v>
      </c>
      <c r="AO733" s="4" t="s">
        <v>6296</v>
      </c>
      <c r="AP733" s="4" t="s">
        <v>6327</v>
      </c>
      <c r="AQ733" s="4" t="s">
        <v>47</v>
      </c>
    </row>
    <row r="734" spans="1:43" ht="12.6" customHeight="1" x14ac:dyDescent="0.25">
      <c r="A734" s="8" t="s">
        <v>1195</v>
      </c>
      <c r="B734" s="9">
        <v>20151231</v>
      </c>
      <c r="C734" s="12">
        <f>_xll.FDS("SPX","FG_PRICE(12/30/2015)")</f>
        <v>2063.36</v>
      </c>
      <c r="D734" s="12">
        <f>_xll.FDS("SPX","FG_PRICE(12/30/2017)")</f>
        <v>2673.61</v>
      </c>
      <c r="E734" s="15">
        <f>D734/C734-1</f>
        <v>0.2957554668114144</v>
      </c>
      <c r="F734" s="8" t="s">
        <v>1196</v>
      </c>
      <c r="G734" s="8" t="s">
        <v>1197</v>
      </c>
      <c r="H734" s="13">
        <f>_xll.FDS(G734,"FG_PRICE(12/30/2015)")</f>
        <v>27.51</v>
      </c>
      <c r="I734" s="13">
        <f>_xll.FDS(G734,"FG_PRICE(12/31/2017)")</f>
        <v>37.14</v>
      </c>
      <c r="J734" s="13">
        <f>I734/H734-1</f>
        <v>0.35005452562704464</v>
      </c>
      <c r="K734" s="13">
        <f>J734-E734</f>
        <v>5.4299058815630241E-2</v>
      </c>
      <c r="L734" s="13">
        <f>_xll.FDS(G734,"FF_ROE(ANN_R,12/30/2015)")</f>
        <v>-2.3476945486320719</v>
      </c>
      <c r="M734" s="8" t="s">
        <v>1198</v>
      </c>
      <c r="N734" s="4" t="s">
        <v>1199</v>
      </c>
      <c r="O734" s="4" t="s">
        <v>1200</v>
      </c>
      <c r="P734" s="4" t="s">
        <v>106</v>
      </c>
      <c r="Q734" s="4" t="s">
        <v>99</v>
      </c>
      <c r="R734" s="4" t="s">
        <v>61</v>
      </c>
      <c r="S734" s="4" t="s">
        <v>62</v>
      </c>
      <c r="T734" s="6" t="e">
        <v>#N/A</v>
      </c>
      <c r="U734" s="5">
        <v>47</v>
      </c>
      <c r="V734" s="5">
        <v>39</v>
      </c>
      <c r="W734" s="5">
        <v>47</v>
      </c>
      <c r="X734" s="5">
        <v>61</v>
      </c>
      <c r="Y734" s="6">
        <v>8.41</v>
      </c>
      <c r="Z734" s="6">
        <v>9.35</v>
      </c>
      <c r="AA734" s="6">
        <v>6.54</v>
      </c>
      <c r="AB734" s="5">
        <v>32.71</v>
      </c>
      <c r="AC734" s="6">
        <v>0.4</v>
      </c>
      <c r="AD734" s="6">
        <v>0.35</v>
      </c>
      <c r="AE734" s="6">
        <v>0.25</v>
      </c>
      <c r="AF734" s="4" t="s">
        <v>6296</v>
      </c>
      <c r="AG734" s="4" t="s">
        <v>6296</v>
      </c>
      <c r="AH734" s="4" t="s">
        <v>6296</v>
      </c>
      <c r="AI734" s="4" t="s">
        <v>6296</v>
      </c>
      <c r="AJ734" s="4" t="s">
        <v>6296</v>
      </c>
      <c r="AK734" s="4" t="s">
        <v>6296</v>
      </c>
      <c r="AL734" s="4" t="s">
        <v>6296</v>
      </c>
      <c r="AM734" s="4" t="s">
        <v>42</v>
      </c>
      <c r="AN734" s="4" t="s">
        <v>6296</v>
      </c>
      <c r="AO734" s="4" t="s">
        <v>6296</v>
      </c>
      <c r="AP734" s="4" t="s">
        <v>1201</v>
      </c>
      <c r="AQ734" s="4" t="s">
        <v>47</v>
      </c>
    </row>
    <row r="735" spans="1:43" ht="12.6" customHeight="1" x14ac:dyDescent="0.25">
      <c r="A735" s="8" t="s">
        <v>1239</v>
      </c>
      <c r="B735" s="9">
        <v>20151231</v>
      </c>
      <c r="C735" s="12">
        <f>_xll.FDS("SPX","FG_PRICE(12/30/2015)")</f>
        <v>2063.36</v>
      </c>
      <c r="D735" s="12">
        <f>_xll.FDS("SPX","FG_PRICE(12/30/2017)")</f>
        <v>2673.61</v>
      </c>
      <c r="E735" s="15">
        <f>D735/C735-1</f>
        <v>0.2957554668114144</v>
      </c>
      <c r="F735" s="8" t="s">
        <v>1240</v>
      </c>
      <c r="G735" s="8" t="s">
        <v>1241</v>
      </c>
      <c r="H735" s="13">
        <f>_xll.FDS(G735,"FG_PRICE(12/30/2015)")</f>
        <v>9.9</v>
      </c>
      <c r="I735" s="13">
        <f>_xll.FDS(G735,"FG_PRICE(12/31/2017)")</f>
        <v>15.24</v>
      </c>
      <c r="J735" s="13">
        <f>I735/H735-1</f>
        <v>0.53939393939393931</v>
      </c>
      <c r="K735" s="13">
        <f>J735-E735</f>
        <v>0.24363847258252491</v>
      </c>
      <c r="L735" s="13">
        <f>_xll.FDS(G735,"FF_ROE(ANN_R,12/30/2015)")</f>
        <v>9.177569806532162</v>
      </c>
      <c r="M735" s="8" t="s">
        <v>1242</v>
      </c>
      <c r="N735" s="4" t="s">
        <v>1242</v>
      </c>
      <c r="O735" s="4" t="s">
        <v>1243</v>
      </c>
      <c r="P735" s="4" t="s">
        <v>106</v>
      </c>
      <c r="Q735" s="4" t="s">
        <v>99</v>
      </c>
      <c r="R735" s="4" t="s">
        <v>61</v>
      </c>
      <c r="S735" s="4" t="s">
        <v>62</v>
      </c>
      <c r="T735" s="6" t="e">
        <v>#N/A</v>
      </c>
      <c r="U735" s="5">
        <v>57</v>
      </c>
      <c r="V735" s="5">
        <v>51</v>
      </c>
      <c r="W735" s="5">
        <v>52</v>
      </c>
      <c r="X735" s="5">
        <v>75</v>
      </c>
      <c r="Y735" s="5">
        <v>37.380000000000003</v>
      </c>
      <c r="Z735" s="5">
        <v>35.51</v>
      </c>
      <c r="AA735" s="5">
        <v>25.23</v>
      </c>
      <c r="AB735" s="5">
        <v>83.18</v>
      </c>
      <c r="AC735" s="6">
        <v>0.4</v>
      </c>
      <c r="AD735" s="6">
        <v>0.35</v>
      </c>
      <c r="AE735" s="6">
        <v>0.25</v>
      </c>
      <c r="AF735" s="4" t="s">
        <v>6296</v>
      </c>
      <c r="AG735" s="4" t="s">
        <v>6296</v>
      </c>
      <c r="AH735" s="4" t="s">
        <v>6296</v>
      </c>
      <c r="AI735" s="4" t="s">
        <v>6296</v>
      </c>
      <c r="AJ735" s="4" t="s">
        <v>6296</v>
      </c>
      <c r="AK735" s="4" t="s">
        <v>6296</v>
      </c>
      <c r="AL735" s="4" t="s">
        <v>6296</v>
      </c>
      <c r="AM735" s="4" t="s">
        <v>6296</v>
      </c>
      <c r="AN735" s="4" t="s">
        <v>6296</v>
      </c>
      <c r="AO735" s="4" t="s">
        <v>6296</v>
      </c>
      <c r="AP735" s="4" t="s">
        <v>1244</v>
      </c>
      <c r="AQ735" s="4" t="s">
        <v>47</v>
      </c>
    </row>
    <row r="736" spans="1:43" ht="12.6" customHeight="1" x14ac:dyDescent="0.25">
      <c r="A736" s="8" t="s">
        <v>6355</v>
      </c>
      <c r="B736" s="9">
        <v>20151231</v>
      </c>
      <c r="C736" s="12">
        <f>_xll.FDS("SPX","FG_PRICE(12/30/2015)")</f>
        <v>2063.36</v>
      </c>
      <c r="D736" s="12">
        <f>_xll.FDS("SPX","FG_PRICE(12/30/2017)")</f>
        <v>2673.61</v>
      </c>
      <c r="E736" s="15">
        <f>D736/C736-1</f>
        <v>0.2957554668114144</v>
      </c>
      <c r="F736" s="8" t="s">
        <v>6356</v>
      </c>
      <c r="G736" s="8" t="s">
        <v>6357</v>
      </c>
      <c r="H736" s="13">
        <f>_xll.FDS(G736,"FG_PRICE(12/30/2015)")</f>
        <v>20.75</v>
      </c>
      <c r="I736" s="13" t="e">
        <f>_xll.FDS(G736,"FG_PRICE(12/31/2017)")</f>
        <v>#N/A</v>
      </c>
      <c r="J736" s="13" t="e">
        <f>I736/H736-1</f>
        <v>#N/A</v>
      </c>
      <c r="K736" s="13" t="e">
        <f>J736-E736</f>
        <v>#N/A</v>
      </c>
      <c r="L736" s="13">
        <f>_xll.FDS(G736,"FF_ROE(ANN_R,12/30/2015)")</f>
        <v>-2.7558130431378691</v>
      </c>
      <c r="M736" s="8" t="s">
        <v>6358</v>
      </c>
      <c r="N736" s="4" t="s">
        <v>6359</v>
      </c>
      <c r="O736" s="4" t="s">
        <v>47</v>
      </c>
      <c r="P736" s="4" t="s">
        <v>106</v>
      </c>
      <c r="Q736" s="4" t="s">
        <v>99</v>
      </c>
      <c r="R736" s="4" t="s">
        <v>61</v>
      </c>
      <c r="S736" s="4" t="s">
        <v>62</v>
      </c>
      <c r="T736" s="6" t="e">
        <v>#N/A</v>
      </c>
      <c r="U736" s="5">
        <v>61</v>
      </c>
      <c r="V736" s="5">
        <v>59</v>
      </c>
      <c r="W736" s="5">
        <v>60</v>
      </c>
      <c r="X736" s="5">
        <v>64</v>
      </c>
      <c r="Y736" s="5">
        <v>52.34</v>
      </c>
      <c r="Z736" s="5">
        <v>48.6</v>
      </c>
      <c r="AA736" s="5">
        <v>43.93</v>
      </c>
      <c r="AB736" s="5">
        <v>50.47</v>
      </c>
      <c r="AC736" s="6">
        <v>0.4</v>
      </c>
      <c r="AD736" s="6">
        <v>0.35</v>
      </c>
      <c r="AE736" s="6">
        <v>0.25</v>
      </c>
      <c r="AF736" s="4" t="s">
        <v>6296</v>
      </c>
      <c r="AG736" s="4" t="s">
        <v>6296</v>
      </c>
      <c r="AH736" s="4" t="s">
        <v>6296</v>
      </c>
      <c r="AI736" s="4" t="s">
        <v>6296</v>
      </c>
      <c r="AJ736" s="4" t="s">
        <v>6296</v>
      </c>
      <c r="AK736" s="4" t="s">
        <v>6296</v>
      </c>
      <c r="AL736" s="4" t="s">
        <v>6296</v>
      </c>
      <c r="AM736" s="4" t="s">
        <v>6296</v>
      </c>
      <c r="AN736" s="4" t="s">
        <v>6296</v>
      </c>
      <c r="AO736" s="4" t="s">
        <v>6296</v>
      </c>
      <c r="AP736" s="4" t="s">
        <v>6360</v>
      </c>
      <c r="AQ736" s="4" t="s">
        <v>47</v>
      </c>
    </row>
    <row r="737" spans="1:43" ht="12.6" customHeight="1" x14ac:dyDescent="0.25">
      <c r="A737" s="8" t="s">
        <v>4843</v>
      </c>
      <c r="B737" s="9">
        <v>20151231</v>
      </c>
      <c r="C737" s="12">
        <f>_xll.FDS("SPX","FG_PRICE(12/30/2015)")</f>
        <v>2063.36</v>
      </c>
      <c r="D737" s="12">
        <f>_xll.FDS("SPX","FG_PRICE(12/30/2017)")</f>
        <v>2673.61</v>
      </c>
      <c r="E737" s="15">
        <f>D737/C737-1</f>
        <v>0.2957554668114144</v>
      </c>
      <c r="F737" s="8" t="s">
        <v>4844</v>
      </c>
      <c r="G737" s="8" t="s">
        <v>4845</v>
      </c>
      <c r="H737" s="13">
        <f>_xll.FDS(G737,"FG_PRICE(12/30/2015)")</f>
        <v>66.989999999999995</v>
      </c>
      <c r="I737" s="13">
        <f>_xll.FDS(G737,"FG_PRICE(12/31/2017)")</f>
        <v>67.52</v>
      </c>
      <c r="J737" s="13">
        <f>I737/H737-1</f>
        <v>7.9116286012836934E-3</v>
      </c>
      <c r="K737" s="13">
        <f>J737-E737</f>
        <v>-0.28784383821013071</v>
      </c>
      <c r="L737" s="13">
        <f>_xll.FDS(G737,"FF_ROE(ANN_R,12/30/2015)")</f>
        <v>8.3293356853353693</v>
      </c>
      <c r="M737" s="8" t="s">
        <v>4846</v>
      </c>
      <c r="N737" s="4" t="s">
        <v>4847</v>
      </c>
      <c r="O737" s="4" t="s">
        <v>4848</v>
      </c>
      <c r="P737" s="4" t="s">
        <v>106</v>
      </c>
      <c r="Q737" s="4" t="s">
        <v>99</v>
      </c>
      <c r="R737" s="4" t="s">
        <v>61</v>
      </c>
      <c r="S737" s="4" t="s">
        <v>62</v>
      </c>
      <c r="T737" s="6" t="e">
        <v>#N/A</v>
      </c>
      <c r="U737" s="5">
        <v>66</v>
      </c>
      <c r="V737" s="5">
        <v>69</v>
      </c>
      <c r="W737" s="5">
        <v>66</v>
      </c>
      <c r="X737" s="5">
        <v>62</v>
      </c>
      <c r="Y737" s="5">
        <v>67.290000000000006</v>
      </c>
      <c r="Z737" s="5">
        <v>76.64</v>
      </c>
      <c r="AA737" s="5">
        <v>64.489999999999995</v>
      </c>
      <c r="AB737" s="5">
        <v>41.12</v>
      </c>
      <c r="AC737" s="6">
        <v>0.4</v>
      </c>
      <c r="AD737" s="6">
        <v>0.35</v>
      </c>
      <c r="AE737" s="6">
        <v>0.25</v>
      </c>
      <c r="AF737" s="4" t="s">
        <v>6296</v>
      </c>
      <c r="AG737" s="4" t="s">
        <v>6296</v>
      </c>
      <c r="AH737" s="4" t="s">
        <v>6296</v>
      </c>
      <c r="AI737" s="4" t="s">
        <v>6296</v>
      </c>
      <c r="AJ737" s="4" t="s">
        <v>6296</v>
      </c>
      <c r="AK737" s="4" t="s">
        <v>42</v>
      </c>
      <c r="AL737" s="4" t="s">
        <v>6296</v>
      </c>
      <c r="AM737" s="4" t="s">
        <v>42</v>
      </c>
      <c r="AN737" s="4" t="s">
        <v>6296</v>
      </c>
      <c r="AO737" s="4" t="s">
        <v>6296</v>
      </c>
      <c r="AP737" s="4" t="s">
        <v>4849</v>
      </c>
      <c r="AQ737" s="4" t="s">
        <v>47</v>
      </c>
    </row>
    <row r="738" spans="1:43" ht="12.6" customHeight="1" x14ac:dyDescent="0.25">
      <c r="A738" s="8" t="s">
        <v>6515</v>
      </c>
      <c r="B738" s="9">
        <v>20151231</v>
      </c>
      <c r="C738" s="12">
        <f>_xll.FDS("SPX","FG_PRICE(12/30/2015)")</f>
        <v>2063.36</v>
      </c>
      <c r="D738" s="12">
        <f>_xll.FDS("SPX","FG_PRICE(12/30/2017)")</f>
        <v>2673.61</v>
      </c>
      <c r="E738" s="15">
        <f>D738/C738-1</f>
        <v>0.2957554668114144</v>
      </c>
      <c r="F738" s="8" t="s">
        <v>6516</v>
      </c>
      <c r="G738" s="8" t="s">
        <v>6517</v>
      </c>
      <c r="H738" s="13">
        <f>_xll.FDS(G738,"FG_PRICE(12/30/2015)")</f>
        <v>0.10349999999999999</v>
      </c>
      <c r="I738" s="13" t="e">
        <f>_xll.FDS(G738,"FG_PRICE(12/31/2017)")</f>
        <v>#N/A</v>
      </c>
      <c r="J738" s="13" t="e">
        <f>I738/H738-1</f>
        <v>#N/A</v>
      </c>
      <c r="K738" s="13" t="e">
        <f>J738-E738</f>
        <v>#N/A</v>
      </c>
      <c r="L738" s="13" t="e">
        <f>_xll.FDS(G738,"FF_ROE(ANN_R,12/30/2015)")</f>
        <v>#N/A</v>
      </c>
      <c r="M738" s="8" t="s">
        <v>5626</v>
      </c>
      <c r="N738" s="4" t="s">
        <v>5626</v>
      </c>
      <c r="O738" s="4" t="s">
        <v>6518</v>
      </c>
      <c r="P738" s="4" t="s">
        <v>320</v>
      </c>
      <c r="Q738" s="4" t="s">
        <v>99</v>
      </c>
      <c r="R738" s="4" t="s">
        <v>61</v>
      </c>
      <c r="S738" s="4" t="s">
        <v>62</v>
      </c>
      <c r="T738" s="6" t="e">
        <v>#N/A</v>
      </c>
      <c r="U738" s="5">
        <v>50</v>
      </c>
      <c r="V738" s="5">
        <v>35</v>
      </c>
      <c r="W738" s="5">
        <v>49</v>
      </c>
      <c r="X738" s="5">
        <v>77</v>
      </c>
      <c r="Y738" s="5">
        <v>14.95</v>
      </c>
      <c r="Z738" s="6">
        <v>0</v>
      </c>
      <c r="AA738" s="5">
        <v>12.15</v>
      </c>
      <c r="AB738" s="5">
        <v>89.72</v>
      </c>
      <c r="AC738" s="6">
        <v>0.4</v>
      </c>
      <c r="AD738" s="6">
        <v>0.35</v>
      </c>
      <c r="AE738" s="6">
        <v>0.25</v>
      </c>
      <c r="AF738" s="4" t="s">
        <v>6296</v>
      </c>
      <c r="AG738" s="4" t="s">
        <v>6296</v>
      </c>
      <c r="AH738" s="4" t="s">
        <v>6296</v>
      </c>
      <c r="AI738" s="4" t="s">
        <v>6296</v>
      </c>
      <c r="AJ738" s="4" t="s">
        <v>6296</v>
      </c>
      <c r="AK738" s="4" t="s">
        <v>6296</v>
      </c>
      <c r="AL738" s="4" t="s">
        <v>6296</v>
      </c>
      <c r="AM738" s="4" t="s">
        <v>6296</v>
      </c>
      <c r="AN738" s="4" t="s">
        <v>6296</v>
      </c>
      <c r="AO738" s="4" t="s">
        <v>6296</v>
      </c>
      <c r="AP738" s="4" t="s">
        <v>6519</v>
      </c>
      <c r="AQ738" s="4" t="s">
        <v>47</v>
      </c>
    </row>
    <row r="739" spans="1:43" ht="12.6" customHeight="1" x14ac:dyDescent="0.25">
      <c r="A739" s="8" t="s">
        <v>2135</v>
      </c>
      <c r="B739" s="9">
        <v>20151231</v>
      </c>
      <c r="C739" s="12">
        <f>_xll.FDS("SPX","FG_PRICE(12/30/2015)")</f>
        <v>2063.36</v>
      </c>
      <c r="D739" s="12">
        <f>_xll.FDS("SPX","FG_PRICE(12/30/2017)")</f>
        <v>2673.61</v>
      </c>
      <c r="E739" s="15">
        <f>D739/C739-1</f>
        <v>0.2957554668114144</v>
      </c>
      <c r="F739" s="8" t="s">
        <v>2136</v>
      </c>
      <c r="G739" s="8" t="s">
        <v>2137</v>
      </c>
      <c r="H739" s="13">
        <f>_xll.FDS(G739,"FG_PRICE(12/30/2015)")</f>
        <v>26.94</v>
      </c>
      <c r="I739" s="13">
        <f>_xll.FDS(G739,"FG_PRICE(12/31/2017)")</f>
        <v>29.73</v>
      </c>
      <c r="J739" s="13">
        <f>I739/H739-1</f>
        <v>0.10356347438752778</v>
      </c>
      <c r="K739" s="13">
        <f>J739-E739</f>
        <v>-0.19219199242388663</v>
      </c>
      <c r="L739" s="13">
        <f>_xll.FDS(G739,"FF_ROE(ANN_R,12/30/2015)")</f>
        <v>15.05555778199853</v>
      </c>
      <c r="M739" s="8" t="s">
        <v>2138</v>
      </c>
      <c r="N739" s="4" t="s">
        <v>2139</v>
      </c>
      <c r="O739" s="4" t="s">
        <v>2140</v>
      </c>
      <c r="P739" s="4" t="s">
        <v>106</v>
      </c>
      <c r="Q739" s="4" t="s">
        <v>99</v>
      </c>
      <c r="R739" s="4" t="s">
        <v>61</v>
      </c>
      <c r="S739" s="4" t="s">
        <v>62</v>
      </c>
      <c r="T739" s="6" t="e">
        <v>#N/A</v>
      </c>
      <c r="U739" s="5">
        <v>66</v>
      </c>
      <c r="V739" s="5">
        <v>63</v>
      </c>
      <c r="W739" s="5">
        <v>64</v>
      </c>
      <c r="X739" s="5">
        <v>75</v>
      </c>
      <c r="Y739" s="5">
        <v>67.290000000000006</v>
      </c>
      <c r="Z739" s="5">
        <v>64.489999999999995</v>
      </c>
      <c r="AA739" s="5">
        <v>55.14</v>
      </c>
      <c r="AB739" s="5">
        <v>83.18</v>
      </c>
      <c r="AC739" s="6">
        <v>0.4</v>
      </c>
      <c r="AD739" s="6">
        <v>0.35</v>
      </c>
      <c r="AE739" s="6">
        <v>0.25</v>
      </c>
      <c r="AF739" s="4" t="s">
        <v>6296</v>
      </c>
      <c r="AG739" s="4" t="s">
        <v>6296</v>
      </c>
      <c r="AH739" s="4" t="s">
        <v>6296</v>
      </c>
      <c r="AI739" s="4" t="s">
        <v>6296</v>
      </c>
      <c r="AJ739" s="4" t="s">
        <v>6296</v>
      </c>
      <c r="AK739" s="4" t="s">
        <v>6296</v>
      </c>
      <c r="AL739" s="4" t="s">
        <v>6296</v>
      </c>
      <c r="AM739" s="4" t="s">
        <v>6296</v>
      </c>
      <c r="AN739" s="4" t="s">
        <v>6296</v>
      </c>
      <c r="AO739" s="4" t="s">
        <v>6296</v>
      </c>
      <c r="AP739" s="4" t="s">
        <v>2141</v>
      </c>
      <c r="AQ739" s="4" t="s">
        <v>47</v>
      </c>
    </row>
    <row r="740" spans="1:43" ht="12.6" customHeight="1" x14ac:dyDescent="0.25">
      <c r="A740" s="8" t="s">
        <v>2142</v>
      </c>
      <c r="B740" s="9">
        <v>20151231</v>
      </c>
      <c r="C740" s="12">
        <f>_xll.FDS("SPX","FG_PRICE(12/30/2015)")</f>
        <v>2063.36</v>
      </c>
      <c r="D740" s="12">
        <f>_xll.FDS("SPX","FG_PRICE(12/30/2017)")</f>
        <v>2673.61</v>
      </c>
      <c r="E740" s="15">
        <f>D740/C740-1</f>
        <v>0.2957554668114144</v>
      </c>
      <c r="F740" s="8" t="s">
        <v>2143</v>
      </c>
      <c r="G740" s="8" t="s">
        <v>2144</v>
      </c>
      <c r="H740" s="13">
        <f>_xll.FDS(G740,"FG_PRICE(12/30/2015)")</f>
        <v>34.99</v>
      </c>
      <c r="I740" s="13">
        <f>_xll.FDS(G740,"FG_PRICE(12/31/2017)")</f>
        <v>46.16</v>
      </c>
      <c r="J740" s="13">
        <f>I740/H740-1</f>
        <v>0.31923406687625011</v>
      </c>
      <c r="K740" s="13">
        <f>J740-E740</f>
        <v>2.3478600064835708E-2</v>
      </c>
      <c r="L740" s="13">
        <f>_xll.FDS(G740,"FF_ROE(ANN_R,12/30/2015)")</f>
        <v>20.348943346691819</v>
      </c>
      <c r="M740" s="8" t="s">
        <v>2145</v>
      </c>
      <c r="N740" s="4" t="s">
        <v>2145</v>
      </c>
      <c r="O740" s="4" t="s">
        <v>2146</v>
      </c>
      <c r="P740" s="4" t="s">
        <v>106</v>
      </c>
      <c r="Q740" s="4" t="s">
        <v>99</v>
      </c>
      <c r="R740" s="4" t="s">
        <v>61</v>
      </c>
      <c r="S740" s="4" t="s">
        <v>62</v>
      </c>
      <c r="T740" s="6" t="e">
        <v>#N/A</v>
      </c>
      <c r="U740" s="5">
        <v>86</v>
      </c>
      <c r="V740" s="5">
        <v>85</v>
      </c>
      <c r="W740" s="5">
        <v>90</v>
      </c>
      <c r="X740" s="5">
        <v>83</v>
      </c>
      <c r="Y740" s="5">
        <v>98.13</v>
      </c>
      <c r="Z740" s="5">
        <v>96.26</v>
      </c>
      <c r="AA740" s="5">
        <v>99.07</v>
      </c>
      <c r="AB740" s="5">
        <v>98.13</v>
      </c>
      <c r="AC740" s="6">
        <v>0.4</v>
      </c>
      <c r="AD740" s="6">
        <v>0.35</v>
      </c>
      <c r="AE740" s="6">
        <v>0.25</v>
      </c>
      <c r="AF740" s="4" t="s">
        <v>37</v>
      </c>
      <c r="AG740" s="4" t="s">
        <v>6296</v>
      </c>
      <c r="AH740" s="4" t="s">
        <v>6296</v>
      </c>
      <c r="AI740" s="4" t="s">
        <v>42</v>
      </c>
      <c r="AJ740" s="4" t="s">
        <v>6296</v>
      </c>
      <c r="AK740" s="4" t="s">
        <v>37</v>
      </c>
      <c r="AL740" s="4" t="s">
        <v>42</v>
      </c>
      <c r="AM740" s="4" t="s">
        <v>42</v>
      </c>
      <c r="AN740" s="4" t="s">
        <v>6296</v>
      </c>
      <c r="AO740" s="4" t="s">
        <v>6296</v>
      </c>
      <c r="AP740" s="4" t="s">
        <v>2147</v>
      </c>
      <c r="AQ740" s="4" t="s">
        <v>47</v>
      </c>
    </row>
    <row r="741" spans="1:43" ht="12.6" customHeight="1" x14ac:dyDescent="0.25">
      <c r="A741" s="8" t="s">
        <v>2558</v>
      </c>
      <c r="B741" s="9">
        <v>20151231</v>
      </c>
      <c r="C741" s="12">
        <f>_xll.FDS("SPX","FG_PRICE(12/30/2015)")</f>
        <v>2063.36</v>
      </c>
      <c r="D741" s="12">
        <f>_xll.FDS("SPX","FG_PRICE(12/30/2017)")</f>
        <v>2673.61</v>
      </c>
      <c r="E741" s="15">
        <f>D741/C741-1</f>
        <v>0.2957554668114144</v>
      </c>
      <c r="F741" s="8" t="s">
        <v>2559</v>
      </c>
      <c r="G741" s="8" t="s">
        <v>2560</v>
      </c>
      <c r="H741" s="13">
        <f>_xll.FDS(G741,"FG_PRICE(12/30/2015)")</f>
        <v>13.12</v>
      </c>
      <c r="I741" s="13" t="e">
        <f>_xll.FDS(G741,"FG_PRICE(12/31/2017)")</f>
        <v>#N/A</v>
      </c>
      <c r="J741" s="13" t="e">
        <f>I741/H741-1</f>
        <v>#N/A</v>
      </c>
      <c r="K741" s="13" t="e">
        <f>J741-E741</f>
        <v>#N/A</v>
      </c>
      <c r="L741" s="13">
        <f>_xll.FDS(G741,"FF_ROE(ANN_R,12/30/2015)")</f>
        <v>5.6526155670714413</v>
      </c>
      <c r="M741" s="8" t="s">
        <v>2561</v>
      </c>
      <c r="N741" s="4" t="s">
        <v>2562</v>
      </c>
      <c r="O741" s="4" t="s">
        <v>47</v>
      </c>
      <c r="P741" s="4" t="s">
        <v>106</v>
      </c>
      <c r="Q741" s="4" t="s">
        <v>99</v>
      </c>
      <c r="R741" s="4" t="s">
        <v>61</v>
      </c>
      <c r="S741" s="4" t="s">
        <v>62</v>
      </c>
      <c r="T741" s="6" t="e">
        <v>#N/A</v>
      </c>
      <c r="U741" s="5">
        <v>58</v>
      </c>
      <c r="V741" s="5">
        <v>52</v>
      </c>
      <c r="W741" s="5">
        <v>60</v>
      </c>
      <c r="X741" s="5">
        <v>65</v>
      </c>
      <c r="Y741" s="5">
        <v>42.06</v>
      </c>
      <c r="Z741" s="5">
        <v>38.32</v>
      </c>
      <c r="AA741" s="5">
        <v>43.93</v>
      </c>
      <c r="AB741" s="5">
        <v>57.94</v>
      </c>
      <c r="AC741" s="6">
        <v>0.4</v>
      </c>
      <c r="AD741" s="6">
        <v>0.35</v>
      </c>
      <c r="AE741" s="6">
        <v>0.25</v>
      </c>
      <c r="AF741" s="4" t="s">
        <v>6296</v>
      </c>
      <c r="AG741" s="4" t="s">
        <v>6296</v>
      </c>
      <c r="AH741" s="4" t="s">
        <v>6296</v>
      </c>
      <c r="AI741" s="4" t="s">
        <v>6296</v>
      </c>
      <c r="AJ741" s="4" t="s">
        <v>6296</v>
      </c>
      <c r="AK741" s="4" t="s">
        <v>6296</v>
      </c>
      <c r="AL741" s="4" t="s">
        <v>6296</v>
      </c>
      <c r="AM741" s="4" t="s">
        <v>42</v>
      </c>
      <c r="AN741" s="4" t="s">
        <v>6296</v>
      </c>
      <c r="AO741" s="4" t="s">
        <v>6296</v>
      </c>
      <c r="AP741" s="4" t="s">
        <v>2563</v>
      </c>
      <c r="AQ741" s="4" t="s">
        <v>47</v>
      </c>
    </row>
    <row r="742" spans="1:43" ht="12.6" customHeight="1" x14ac:dyDescent="0.25">
      <c r="A742" s="8" t="s">
        <v>2239</v>
      </c>
      <c r="B742" s="9">
        <v>20151231</v>
      </c>
      <c r="C742" s="12">
        <f>_xll.FDS("SPX","FG_PRICE(12/30/2015)")</f>
        <v>2063.36</v>
      </c>
      <c r="D742" s="12">
        <f>_xll.FDS("SPX","FG_PRICE(12/30/2017)")</f>
        <v>2673.61</v>
      </c>
      <c r="E742" s="15">
        <f>D742/C742-1</f>
        <v>0.2957554668114144</v>
      </c>
      <c r="F742" s="8" t="s">
        <v>2240</v>
      </c>
      <c r="G742" s="8" t="s">
        <v>2241</v>
      </c>
      <c r="H742" s="13">
        <f>_xll.FDS(G742,"FG_PRICE(12/30/2015)")</f>
        <v>69.69</v>
      </c>
      <c r="I742" s="13">
        <f>_xll.FDS(G742,"FG_PRICE(12/31/2017)")</f>
        <v>105.07</v>
      </c>
      <c r="J742" s="13">
        <f>I742/H742-1</f>
        <v>0.50767685464198586</v>
      </c>
      <c r="K742" s="13">
        <f>J742-E742</f>
        <v>0.21192138783057146</v>
      </c>
      <c r="L742" s="13">
        <f>_xll.FDS(G742,"FF_ROE(ANN_R,12/30/2015)")</f>
        <v>17.90160079300183</v>
      </c>
      <c r="M742" s="8" t="s">
        <v>2242</v>
      </c>
      <c r="N742" s="4" t="s">
        <v>2242</v>
      </c>
      <c r="O742" s="4" t="s">
        <v>2243</v>
      </c>
      <c r="P742" s="4" t="s">
        <v>106</v>
      </c>
      <c r="Q742" s="4" t="s">
        <v>99</v>
      </c>
      <c r="R742" s="4" t="s">
        <v>61</v>
      </c>
      <c r="S742" s="4" t="s">
        <v>62</v>
      </c>
      <c r="T742" s="6" t="e">
        <v>#N/A</v>
      </c>
      <c r="U742" s="5">
        <v>67</v>
      </c>
      <c r="V742" s="5">
        <v>70</v>
      </c>
      <c r="W742" s="5">
        <v>66</v>
      </c>
      <c r="X742" s="5">
        <v>65</v>
      </c>
      <c r="Y742" s="5">
        <v>71.03</v>
      </c>
      <c r="Z742" s="5">
        <v>78.5</v>
      </c>
      <c r="AA742" s="5">
        <v>64.489999999999995</v>
      </c>
      <c r="AB742" s="5">
        <v>57.94</v>
      </c>
      <c r="AC742" s="6">
        <v>0.4</v>
      </c>
      <c r="AD742" s="6">
        <v>0.35</v>
      </c>
      <c r="AE742" s="6">
        <v>0.25</v>
      </c>
      <c r="AF742" s="4" t="s">
        <v>6296</v>
      </c>
      <c r="AG742" s="4" t="s">
        <v>6296</v>
      </c>
      <c r="AH742" s="4" t="s">
        <v>6296</v>
      </c>
      <c r="AI742" s="4" t="s">
        <v>6296</v>
      </c>
      <c r="AJ742" s="4" t="s">
        <v>6296</v>
      </c>
      <c r="AK742" s="4" t="s">
        <v>6296</v>
      </c>
      <c r="AL742" s="4" t="s">
        <v>6296</v>
      </c>
      <c r="AM742" s="4" t="s">
        <v>6296</v>
      </c>
      <c r="AN742" s="4" t="s">
        <v>6296</v>
      </c>
      <c r="AO742" s="4" t="s">
        <v>6296</v>
      </c>
      <c r="AP742" s="4" t="s">
        <v>2244</v>
      </c>
      <c r="AQ742" s="4" t="s">
        <v>47</v>
      </c>
    </row>
    <row r="743" spans="1:43" ht="12.6" customHeight="1" x14ac:dyDescent="0.25">
      <c r="A743" s="8" t="s">
        <v>2429</v>
      </c>
      <c r="B743" s="9">
        <v>20151231</v>
      </c>
      <c r="C743" s="12">
        <f>_xll.FDS("SPX","FG_PRICE(12/30/2015)")</f>
        <v>2063.36</v>
      </c>
      <c r="D743" s="12">
        <f>_xll.FDS("SPX","FG_PRICE(12/30/2017)")</f>
        <v>2673.61</v>
      </c>
      <c r="E743" s="15">
        <f>D743/C743-1</f>
        <v>0.2957554668114144</v>
      </c>
      <c r="F743" s="8" t="s">
        <v>2430</v>
      </c>
      <c r="G743" s="8" t="s">
        <v>2431</v>
      </c>
      <c r="H743" s="13">
        <f>_xll.FDS(G743,"FG_PRICE(12/30/2015)")</f>
        <v>43.35</v>
      </c>
      <c r="I743" s="13" t="e">
        <f>_xll.FDS(G743,"FG_PRICE(12/31/2017)")</f>
        <v>#N/A</v>
      </c>
      <c r="J743" s="13" t="e">
        <f>I743/H743-1</f>
        <v>#N/A</v>
      </c>
      <c r="K743" s="13" t="e">
        <f>J743-E743</f>
        <v>#N/A</v>
      </c>
      <c r="L743" s="13">
        <f>_xll.FDS(G743,"FF_ROE(ANN_R,12/30/2015)")</f>
        <v>35.813681385462317</v>
      </c>
      <c r="M743" s="8" t="s">
        <v>2432</v>
      </c>
      <c r="N743" s="4" t="s">
        <v>2433</v>
      </c>
      <c r="O743" s="4" t="s">
        <v>47</v>
      </c>
      <c r="P743" s="4" t="s">
        <v>106</v>
      </c>
      <c r="Q743" s="4" t="s">
        <v>99</v>
      </c>
      <c r="R743" s="4" t="s">
        <v>61</v>
      </c>
      <c r="S743" s="4" t="s">
        <v>62</v>
      </c>
      <c r="T743" s="6" t="e">
        <v>#N/A</v>
      </c>
      <c r="U743" s="5">
        <v>56</v>
      </c>
      <c r="V743" s="5">
        <v>56</v>
      </c>
      <c r="W743" s="5">
        <v>55</v>
      </c>
      <c r="X743" s="5">
        <v>58</v>
      </c>
      <c r="Y743" s="5">
        <v>35.51</v>
      </c>
      <c r="Z743" s="5">
        <v>44.86</v>
      </c>
      <c r="AA743" s="5">
        <v>31.78</v>
      </c>
      <c r="AB743" s="5">
        <v>25.23</v>
      </c>
      <c r="AC743" s="6">
        <v>0.4</v>
      </c>
      <c r="AD743" s="6">
        <v>0.35</v>
      </c>
      <c r="AE743" s="6">
        <v>0.25</v>
      </c>
      <c r="AF743" s="4" t="s">
        <v>6296</v>
      </c>
      <c r="AG743" s="4" t="s">
        <v>6296</v>
      </c>
      <c r="AH743" s="4" t="s">
        <v>6296</v>
      </c>
      <c r="AI743" s="4" t="s">
        <v>6296</v>
      </c>
      <c r="AJ743" s="4" t="s">
        <v>6296</v>
      </c>
      <c r="AK743" s="4" t="s">
        <v>6296</v>
      </c>
      <c r="AL743" s="4" t="s">
        <v>6296</v>
      </c>
      <c r="AM743" s="4" t="s">
        <v>6296</v>
      </c>
      <c r="AN743" s="4" t="s">
        <v>6296</v>
      </c>
      <c r="AO743" s="4" t="s">
        <v>6296</v>
      </c>
      <c r="AP743" s="4" t="s">
        <v>2434</v>
      </c>
      <c r="AQ743" s="4" t="s">
        <v>47</v>
      </c>
    </row>
    <row r="744" spans="1:43" ht="12.6" customHeight="1" x14ac:dyDescent="0.25">
      <c r="A744" s="8" t="s">
        <v>2346</v>
      </c>
      <c r="B744" s="9">
        <v>20151231</v>
      </c>
      <c r="C744" s="12">
        <f>_xll.FDS("SPX","FG_PRICE(12/30/2015)")</f>
        <v>2063.36</v>
      </c>
      <c r="D744" s="12">
        <f>_xll.FDS("SPX","FG_PRICE(12/30/2017)")</f>
        <v>2673.61</v>
      </c>
      <c r="E744" s="15">
        <f>D744/C744-1</f>
        <v>0.2957554668114144</v>
      </c>
      <c r="F744" s="8" t="s">
        <v>2347</v>
      </c>
      <c r="G744" s="8" t="s">
        <v>2348</v>
      </c>
      <c r="H744" s="13">
        <f>_xll.FDS(G744,"FG_PRICE(12/30/2015)")</f>
        <v>80.17</v>
      </c>
      <c r="I744" s="13">
        <f>_xll.FDS(G744,"FG_PRICE(12/31/2017)")</f>
        <v>184.07</v>
      </c>
      <c r="J744" s="13">
        <f>I744/H744-1</f>
        <v>1.2959960084819757</v>
      </c>
      <c r="K744" s="13">
        <f>J744-E744</f>
        <v>1.0002405416705613</v>
      </c>
      <c r="L744" s="13">
        <f>_xll.FDS(G744,"FF_ROE(ANN_R,12/30/2015)")</f>
        <v>12.939599890613509</v>
      </c>
      <c r="M744" s="8" t="s">
        <v>2349</v>
      </c>
      <c r="N744" s="4" t="s">
        <v>2349</v>
      </c>
      <c r="O744" s="4" t="s">
        <v>2350</v>
      </c>
      <c r="P744" s="4" t="s">
        <v>106</v>
      </c>
      <c r="Q744" s="4" t="s">
        <v>99</v>
      </c>
      <c r="R744" s="4" t="s">
        <v>61</v>
      </c>
      <c r="S744" s="4" t="s">
        <v>62</v>
      </c>
      <c r="T744" s="6" t="e">
        <v>#N/A</v>
      </c>
      <c r="U744" s="5">
        <v>66</v>
      </c>
      <c r="V744" s="5">
        <v>66</v>
      </c>
      <c r="W744" s="5">
        <v>70</v>
      </c>
      <c r="X744" s="5">
        <v>62</v>
      </c>
      <c r="Y744" s="5">
        <v>67.290000000000006</v>
      </c>
      <c r="Z744" s="5">
        <v>68.22</v>
      </c>
      <c r="AA744" s="5">
        <v>77.569999999999993</v>
      </c>
      <c r="AB744" s="5">
        <v>41.12</v>
      </c>
      <c r="AC744" s="6">
        <v>0.4</v>
      </c>
      <c r="AD744" s="6">
        <v>0.35</v>
      </c>
      <c r="AE744" s="6">
        <v>0.25</v>
      </c>
      <c r="AF744" s="4" t="s">
        <v>6296</v>
      </c>
      <c r="AG744" s="4" t="s">
        <v>6296</v>
      </c>
      <c r="AH744" s="4" t="s">
        <v>6296</v>
      </c>
      <c r="AI744" s="4" t="s">
        <v>6296</v>
      </c>
      <c r="AJ744" s="4" t="s">
        <v>6296</v>
      </c>
      <c r="AK744" s="4" t="s">
        <v>6296</v>
      </c>
      <c r="AL744" s="4" t="s">
        <v>6296</v>
      </c>
      <c r="AM744" s="4" t="s">
        <v>6296</v>
      </c>
      <c r="AN744" s="4" t="s">
        <v>6296</v>
      </c>
      <c r="AO744" s="4" t="s">
        <v>6296</v>
      </c>
      <c r="AP744" s="4" t="s">
        <v>2351</v>
      </c>
      <c r="AQ744" s="4" t="s">
        <v>47</v>
      </c>
    </row>
    <row r="745" spans="1:43" ht="12.6" customHeight="1" x14ac:dyDescent="0.25">
      <c r="A745" s="8" t="s">
        <v>2714</v>
      </c>
      <c r="B745" s="9">
        <v>20151231</v>
      </c>
      <c r="C745" s="12">
        <f>_xll.FDS("SPX","FG_PRICE(12/30/2015)")</f>
        <v>2063.36</v>
      </c>
      <c r="D745" s="12">
        <f>_xll.FDS("SPX","FG_PRICE(12/30/2017)")</f>
        <v>2673.61</v>
      </c>
      <c r="E745" s="15">
        <f>D745/C745-1</f>
        <v>0.2957554668114144</v>
      </c>
      <c r="F745" s="8" t="s">
        <v>2715</v>
      </c>
      <c r="G745" s="8" t="s">
        <v>2716</v>
      </c>
      <c r="H745" s="13">
        <f>_xll.FDS(G745,"FG_PRICE(12/30/2015)")</f>
        <v>47.74</v>
      </c>
      <c r="I745" s="13">
        <f>_xll.FDS(G745,"FG_PRICE(12/31/2017)")</f>
        <v>87.88</v>
      </c>
      <c r="J745" s="13">
        <f>I745/H745-1</f>
        <v>0.84080435693338895</v>
      </c>
      <c r="K745" s="13">
        <f>J745-E745</f>
        <v>0.54504889012197455</v>
      </c>
      <c r="L745" s="13">
        <f>_xll.FDS(G745,"FF_ROE(ANN_R,12/30/2015)")</f>
        <v>17.655447278364349</v>
      </c>
      <c r="M745" s="8" t="s">
        <v>2717</v>
      </c>
      <c r="N745" s="4" t="s">
        <v>2717</v>
      </c>
      <c r="O745" s="4" t="s">
        <v>2718</v>
      </c>
      <c r="P745" s="4" t="s">
        <v>106</v>
      </c>
      <c r="Q745" s="4" t="s">
        <v>99</v>
      </c>
      <c r="R745" s="4" t="s">
        <v>61</v>
      </c>
      <c r="S745" s="4" t="s">
        <v>62</v>
      </c>
      <c r="T745" s="6" t="e">
        <v>#N/A</v>
      </c>
      <c r="U745" s="5">
        <v>59</v>
      </c>
      <c r="V745" s="5">
        <v>50</v>
      </c>
      <c r="W745" s="5">
        <v>64</v>
      </c>
      <c r="X745" s="5">
        <v>66</v>
      </c>
      <c r="Y745" s="5">
        <v>43.93</v>
      </c>
      <c r="Z745" s="5">
        <v>31.78</v>
      </c>
      <c r="AA745" s="5">
        <v>55.14</v>
      </c>
      <c r="AB745" s="5">
        <v>65.42</v>
      </c>
      <c r="AC745" s="6">
        <v>0.4</v>
      </c>
      <c r="AD745" s="6">
        <v>0.35</v>
      </c>
      <c r="AE745" s="6">
        <v>0.25</v>
      </c>
      <c r="AF745" s="4" t="s">
        <v>6296</v>
      </c>
      <c r="AG745" s="4" t="s">
        <v>6296</v>
      </c>
      <c r="AH745" s="4" t="s">
        <v>6296</v>
      </c>
      <c r="AI745" s="4" t="s">
        <v>6296</v>
      </c>
      <c r="AJ745" s="4" t="s">
        <v>6296</v>
      </c>
      <c r="AK745" s="4" t="s">
        <v>6296</v>
      </c>
      <c r="AL745" s="4" t="s">
        <v>6296</v>
      </c>
      <c r="AM745" s="4" t="s">
        <v>6296</v>
      </c>
      <c r="AN745" s="4" t="s">
        <v>6296</v>
      </c>
      <c r="AO745" s="4" t="s">
        <v>6296</v>
      </c>
      <c r="AP745" s="4" t="s">
        <v>2719</v>
      </c>
      <c r="AQ745" s="4" t="s">
        <v>47</v>
      </c>
    </row>
    <row r="746" spans="1:43" ht="12.6" customHeight="1" x14ac:dyDescent="0.25">
      <c r="A746" s="8" t="s">
        <v>2707</v>
      </c>
      <c r="B746" s="9">
        <v>20151231</v>
      </c>
      <c r="C746" s="12">
        <f>_xll.FDS("SPX","FG_PRICE(12/30/2015)")</f>
        <v>2063.36</v>
      </c>
      <c r="D746" s="12">
        <f>_xll.FDS("SPX","FG_PRICE(12/30/2017)")</f>
        <v>2673.61</v>
      </c>
      <c r="E746" s="15">
        <f>D746/C746-1</f>
        <v>0.2957554668114144</v>
      </c>
      <c r="F746" s="8" t="s">
        <v>2708</v>
      </c>
      <c r="G746" s="8" t="s">
        <v>2709</v>
      </c>
      <c r="H746" s="13">
        <f>_xll.FDS(G746,"FG_PRICE(12/30/2015)")</f>
        <v>14.16</v>
      </c>
      <c r="I746" s="13">
        <f>_xll.FDS(G746,"FG_PRICE(12/31/2017)")</f>
        <v>41.12</v>
      </c>
      <c r="J746" s="13">
        <f>I746/H746-1</f>
        <v>1.9039548022598867</v>
      </c>
      <c r="K746" s="13">
        <f>J746-E746</f>
        <v>1.6081993354484723</v>
      </c>
      <c r="L746" s="13">
        <f>_xll.FDS(G746,"FF_ROE(ANN_R,12/30/2015)")</f>
        <v>25.128938586226319</v>
      </c>
      <c r="M746" s="8" t="s">
        <v>2710</v>
      </c>
      <c r="N746" s="4" t="s">
        <v>2711</v>
      </c>
      <c r="O746" s="4" t="s">
        <v>2712</v>
      </c>
      <c r="P746" s="4" t="s">
        <v>106</v>
      </c>
      <c r="Q746" s="4" t="s">
        <v>99</v>
      </c>
      <c r="R746" s="4" t="s">
        <v>61</v>
      </c>
      <c r="S746" s="4" t="s">
        <v>62</v>
      </c>
      <c r="T746" s="6" t="e">
        <v>#N/A</v>
      </c>
      <c r="U746" s="5">
        <v>62</v>
      </c>
      <c r="V746" s="5">
        <v>56</v>
      </c>
      <c r="W746" s="5">
        <v>66</v>
      </c>
      <c r="X746" s="5">
        <v>68</v>
      </c>
      <c r="Y746" s="5">
        <v>54.21</v>
      </c>
      <c r="Z746" s="5">
        <v>44.86</v>
      </c>
      <c r="AA746" s="5">
        <v>64.489999999999995</v>
      </c>
      <c r="AB746" s="5">
        <v>71.03</v>
      </c>
      <c r="AC746" s="6">
        <v>0.4</v>
      </c>
      <c r="AD746" s="6">
        <v>0.35</v>
      </c>
      <c r="AE746" s="6">
        <v>0.25</v>
      </c>
      <c r="AF746" s="4" t="s">
        <v>6296</v>
      </c>
      <c r="AG746" s="4" t="s">
        <v>6296</v>
      </c>
      <c r="AH746" s="4" t="s">
        <v>6296</v>
      </c>
      <c r="AI746" s="4" t="s">
        <v>42</v>
      </c>
      <c r="AJ746" s="4" t="s">
        <v>6296</v>
      </c>
      <c r="AK746" s="4" t="s">
        <v>42</v>
      </c>
      <c r="AL746" s="4" t="s">
        <v>6296</v>
      </c>
      <c r="AM746" s="4" t="s">
        <v>42</v>
      </c>
      <c r="AN746" s="4" t="s">
        <v>6296</v>
      </c>
      <c r="AO746" s="4" t="s">
        <v>6296</v>
      </c>
      <c r="AP746" s="4" t="s">
        <v>2713</v>
      </c>
      <c r="AQ746" s="4" t="s">
        <v>47</v>
      </c>
    </row>
    <row r="747" spans="1:43" ht="12.6" customHeight="1" x14ac:dyDescent="0.25">
      <c r="A747" s="8" t="s">
        <v>2657</v>
      </c>
      <c r="B747" s="9">
        <v>20151231</v>
      </c>
      <c r="C747" s="12">
        <f>_xll.FDS("SPX","FG_PRICE(12/30/2015)")</f>
        <v>2063.36</v>
      </c>
      <c r="D747" s="12">
        <f>_xll.FDS("SPX","FG_PRICE(12/30/2017)")</f>
        <v>2673.61</v>
      </c>
      <c r="E747" s="15">
        <f>D747/C747-1</f>
        <v>0.2957554668114144</v>
      </c>
      <c r="F747" s="8" t="s">
        <v>2658</v>
      </c>
      <c r="G747" s="8" t="s">
        <v>2659</v>
      </c>
      <c r="H747" s="13">
        <f>_xll.FDS(G747,"FG_PRICE(12/30/2015)")</f>
        <v>38.409999999999997</v>
      </c>
      <c r="I747" s="13">
        <f>_xll.FDS(G747,"FG_PRICE(12/31/2017)")</f>
        <v>52.28</v>
      </c>
      <c r="J747" s="13">
        <f>I747/H747-1</f>
        <v>0.36110387919812559</v>
      </c>
      <c r="K747" s="13">
        <f>J747-E747</f>
        <v>6.5348412386711185E-2</v>
      </c>
      <c r="L747" s="13">
        <f>_xll.FDS(G747,"FF_ROE(ANN_R,12/30/2015)")</f>
        <v>8.7305513576363722</v>
      </c>
      <c r="M747" s="8" t="s">
        <v>2660</v>
      </c>
      <c r="N747" s="4" t="s">
        <v>2661</v>
      </c>
      <c r="O747" s="4" t="s">
        <v>2662</v>
      </c>
      <c r="P747" s="4" t="s">
        <v>106</v>
      </c>
      <c r="Q747" s="4" t="s">
        <v>99</v>
      </c>
      <c r="R747" s="4" t="s">
        <v>61</v>
      </c>
      <c r="S747" s="4" t="s">
        <v>62</v>
      </c>
      <c r="T747" s="6" t="e">
        <v>#N/A</v>
      </c>
      <c r="U747" s="5">
        <v>68</v>
      </c>
      <c r="V747" s="5">
        <v>66</v>
      </c>
      <c r="W747" s="5">
        <v>73</v>
      </c>
      <c r="X747" s="5">
        <v>65</v>
      </c>
      <c r="Y747" s="5">
        <v>75.7</v>
      </c>
      <c r="Z747" s="5">
        <v>68.22</v>
      </c>
      <c r="AA747" s="5">
        <v>82.24</v>
      </c>
      <c r="AB747" s="5">
        <v>57.94</v>
      </c>
      <c r="AC747" s="6">
        <v>0.4</v>
      </c>
      <c r="AD747" s="6">
        <v>0.35</v>
      </c>
      <c r="AE747" s="6">
        <v>0.25</v>
      </c>
      <c r="AF747" s="4" t="s">
        <v>6296</v>
      </c>
      <c r="AG747" s="4" t="s">
        <v>6296</v>
      </c>
      <c r="AH747" s="4" t="s">
        <v>6296</v>
      </c>
      <c r="AI747" s="4" t="s">
        <v>6296</v>
      </c>
      <c r="AJ747" s="4" t="s">
        <v>6296</v>
      </c>
      <c r="AK747" s="4" t="s">
        <v>6296</v>
      </c>
      <c r="AL747" s="4" t="s">
        <v>6296</v>
      </c>
      <c r="AM747" s="4" t="s">
        <v>37</v>
      </c>
      <c r="AN747" s="4" t="s">
        <v>6296</v>
      </c>
      <c r="AO747" s="4" t="s">
        <v>6296</v>
      </c>
      <c r="AP747" s="4" t="s">
        <v>2663</v>
      </c>
      <c r="AQ747" s="4" t="s">
        <v>47</v>
      </c>
    </row>
    <row r="748" spans="1:43" ht="12.6" customHeight="1" x14ac:dyDescent="0.25">
      <c r="A748" s="8" t="s">
        <v>1782</v>
      </c>
      <c r="B748" s="9">
        <v>20151231</v>
      </c>
      <c r="C748" s="12">
        <f>_xll.FDS("SPX","FG_PRICE(12/30/2015)")</f>
        <v>2063.36</v>
      </c>
      <c r="D748" s="12">
        <f>_xll.FDS("SPX","FG_PRICE(12/30/2017)")</f>
        <v>2673.61</v>
      </c>
      <c r="E748" s="15">
        <f>D748/C748-1</f>
        <v>0.2957554668114144</v>
      </c>
      <c r="F748" s="8" t="s">
        <v>1783</v>
      </c>
      <c r="G748" s="8" t="s">
        <v>1784</v>
      </c>
      <c r="H748" s="13">
        <f>_xll.FDS(G748,"FG_PRICE(12/30/2015)")</f>
        <v>33.39</v>
      </c>
      <c r="I748" s="13">
        <f>_xll.FDS(G748,"FG_PRICE(12/31/2017)")</f>
        <v>193.5</v>
      </c>
      <c r="J748" s="13">
        <f>I748/H748-1</f>
        <v>4.7951482479784362</v>
      </c>
      <c r="K748" s="13">
        <f>J748-E748</f>
        <v>4.499392781167022</v>
      </c>
      <c r="L748" s="13">
        <f>_xll.FDS(G748,"FF_ROE(ANN_R,12/30/2015)")</f>
        <v>14.211404064283929</v>
      </c>
      <c r="M748" s="8" t="s">
        <v>1785</v>
      </c>
      <c r="N748" s="4" t="s">
        <v>1785</v>
      </c>
      <c r="O748" s="4" t="s">
        <v>1786</v>
      </c>
      <c r="P748" s="4" t="s">
        <v>106</v>
      </c>
      <c r="Q748" s="4" t="s">
        <v>99</v>
      </c>
      <c r="R748" s="4" t="s">
        <v>61</v>
      </c>
      <c r="S748" s="4" t="s">
        <v>62</v>
      </c>
      <c r="T748" s="6" t="e">
        <v>#N/A</v>
      </c>
      <c r="U748" s="5">
        <v>74</v>
      </c>
      <c r="V748" s="5">
        <v>78</v>
      </c>
      <c r="W748" s="5">
        <v>70</v>
      </c>
      <c r="X748" s="5">
        <v>72</v>
      </c>
      <c r="Y748" s="5">
        <v>88.79</v>
      </c>
      <c r="Z748" s="5">
        <v>90.65</v>
      </c>
      <c r="AA748" s="5">
        <v>77.569999999999993</v>
      </c>
      <c r="AB748" s="5">
        <v>78.5</v>
      </c>
      <c r="AC748" s="6">
        <v>0.4</v>
      </c>
      <c r="AD748" s="6">
        <v>0.35</v>
      </c>
      <c r="AE748" s="6">
        <v>0.25</v>
      </c>
      <c r="AF748" s="4" t="s">
        <v>6296</v>
      </c>
      <c r="AG748" s="4" t="s">
        <v>6296</v>
      </c>
      <c r="AH748" s="4" t="s">
        <v>6296</v>
      </c>
      <c r="AI748" s="4" t="s">
        <v>6296</v>
      </c>
      <c r="AJ748" s="4" t="s">
        <v>6296</v>
      </c>
      <c r="AK748" s="4" t="s">
        <v>42</v>
      </c>
      <c r="AL748" s="4" t="s">
        <v>6296</v>
      </c>
      <c r="AM748" s="4" t="s">
        <v>42</v>
      </c>
      <c r="AN748" s="4" t="s">
        <v>6296</v>
      </c>
      <c r="AO748" s="4" t="s">
        <v>6296</v>
      </c>
      <c r="AP748" s="4" t="s">
        <v>1787</v>
      </c>
      <c r="AQ748" s="4" t="s">
        <v>47</v>
      </c>
    </row>
    <row r="749" spans="1:43" ht="12.6" customHeight="1" x14ac:dyDescent="0.25">
      <c r="A749" s="8" t="s">
        <v>2689</v>
      </c>
      <c r="B749" s="9">
        <v>20151231</v>
      </c>
      <c r="C749" s="12">
        <f>_xll.FDS("SPX","FG_PRICE(12/30/2015)")</f>
        <v>2063.36</v>
      </c>
      <c r="D749" s="12">
        <f>_xll.FDS("SPX","FG_PRICE(12/30/2017)")</f>
        <v>2673.61</v>
      </c>
      <c r="E749" s="15">
        <f>D749/C749-1</f>
        <v>0.2957554668114144</v>
      </c>
      <c r="F749" s="8" t="s">
        <v>2690</v>
      </c>
      <c r="G749" s="8" t="s">
        <v>2691</v>
      </c>
      <c r="H749" s="13">
        <f>_xll.FDS(G749,"FG_PRICE(12/30/2015)")</f>
        <v>9.9499999999999993</v>
      </c>
      <c r="I749" s="13">
        <f>_xll.FDS(G749,"FG_PRICE(12/31/2017)")</f>
        <v>20.94</v>
      </c>
      <c r="J749" s="13">
        <f>I749/H749-1</f>
        <v>1.1045226130653267</v>
      </c>
      <c r="K749" s="13">
        <f>J749-E749</f>
        <v>0.80876714625391233</v>
      </c>
      <c r="L749" s="13">
        <f>_xll.FDS(G749,"FF_ROE(ANN_R,12/30/2015)")</f>
        <v>12.31618243791592</v>
      </c>
      <c r="M749" s="8" t="s">
        <v>2692</v>
      </c>
      <c r="N749" s="4" t="s">
        <v>2692</v>
      </c>
      <c r="O749" s="4" t="s">
        <v>2693</v>
      </c>
      <c r="P749" s="4" t="s">
        <v>106</v>
      </c>
      <c r="Q749" s="4" t="s">
        <v>99</v>
      </c>
      <c r="R749" s="4" t="s">
        <v>61</v>
      </c>
      <c r="S749" s="4" t="s">
        <v>62</v>
      </c>
      <c r="T749" s="6" t="e">
        <v>#N/A</v>
      </c>
      <c r="U749" s="5">
        <v>66</v>
      </c>
      <c r="V749" s="5">
        <v>66</v>
      </c>
      <c r="W749" s="5">
        <v>58</v>
      </c>
      <c r="X749" s="5">
        <v>79</v>
      </c>
      <c r="Y749" s="5">
        <v>67.290000000000006</v>
      </c>
      <c r="Z749" s="5">
        <v>68.22</v>
      </c>
      <c r="AA749" s="5">
        <v>37.380000000000003</v>
      </c>
      <c r="AB749" s="5">
        <v>95.33</v>
      </c>
      <c r="AC749" s="6">
        <v>0.4</v>
      </c>
      <c r="AD749" s="6">
        <v>0.35</v>
      </c>
      <c r="AE749" s="6">
        <v>0.25</v>
      </c>
      <c r="AF749" s="4" t="s">
        <v>6296</v>
      </c>
      <c r="AG749" s="4" t="s">
        <v>6296</v>
      </c>
      <c r="AH749" s="4" t="s">
        <v>6296</v>
      </c>
      <c r="AI749" s="4" t="s">
        <v>6296</v>
      </c>
      <c r="AJ749" s="4" t="s">
        <v>6296</v>
      </c>
      <c r="AK749" s="4" t="s">
        <v>6296</v>
      </c>
      <c r="AL749" s="4" t="s">
        <v>6296</v>
      </c>
      <c r="AM749" s="4" t="s">
        <v>6296</v>
      </c>
      <c r="AN749" s="4" t="s">
        <v>6296</v>
      </c>
      <c r="AO749" s="4" t="s">
        <v>6296</v>
      </c>
      <c r="AP749" s="4" t="s">
        <v>2694</v>
      </c>
      <c r="AQ749" s="4" t="s">
        <v>47</v>
      </c>
    </row>
    <row r="750" spans="1:43" ht="12.6" customHeight="1" x14ac:dyDescent="0.25">
      <c r="A750" s="8" t="s">
        <v>3647</v>
      </c>
      <c r="B750" s="9">
        <v>20151231</v>
      </c>
      <c r="C750" s="12">
        <f>_xll.FDS("SPX","FG_PRICE(12/30/2015)")</f>
        <v>2063.36</v>
      </c>
      <c r="D750" s="12">
        <f>_xll.FDS("SPX","FG_PRICE(12/30/2017)")</f>
        <v>2673.61</v>
      </c>
      <c r="E750" s="15">
        <f>D750/C750-1</f>
        <v>0.2957554668114144</v>
      </c>
      <c r="F750" s="8" t="s">
        <v>3648</v>
      </c>
      <c r="G750" s="8" t="s">
        <v>3649</v>
      </c>
      <c r="H750" s="13">
        <f>_xll.FDS(G750,"FG_PRICE(12/30/2015)")</f>
        <v>11.71</v>
      </c>
      <c r="I750" s="13" t="e">
        <f>_xll.FDS(G750,"FG_PRICE(12/31/2017)")</f>
        <v>#N/A</v>
      </c>
      <c r="J750" s="13" t="e">
        <f>I750/H750-1</f>
        <v>#N/A</v>
      </c>
      <c r="K750" s="13" t="e">
        <f>J750-E750</f>
        <v>#N/A</v>
      </c>
      <c r="L750" s="13">
        <f>_xll.FDS(G750,"FF_ROE(ANN_R,12/30/2015)")</f>
        <v>1.3503466026843901E-2</v>
      </c>
      <c r="M750" s="8" t="s">
        <v>3650</v>
      </c>
      <c r="N750" s="4" t="s">
        <v>3651</v>
      </c>
      <c r="O750" s="4" t="s">
        <v>47</v>
      </c>
      <c r="P750" s="4" t="s">
        <v>106</v>
      </c>
      <c r="Q750" s="4" t="s">
        <v>99</v>
      </c>
      <c r="R750" s="4" t="s">
        <v>61</v>
      </c>
      <c r="S750" s="4" t="s">
        <v>62</v>
      </c>
      <c r="T750" s="6" t="e">
        <v>#N/A</v>
      </c>
      <c r="U750" s="5">
        <v>57</v>
      </c>
      <c r="V750" s="5">
        <v>45</v>
      </c>
      <c r="W750" s="5">
        <v>57</v>
      </c>
      <c r="X750" s="5">
        <v>77</v>
      </c>
      <c r="Y750" s="5">
        <v>37.380000000000003</v>
      </c>
      <c r="Z750" s="5">
        <v>18.690000000000001</v>
      </c>
      <c r="AA750" s="5">
        <v>35.51</v>
      </c>
      <c r="AB750" s="5">
        <v>89.72</v>
      </c>
      <c r="AC750" s="6">
        <v>0.4</v>
      </c>
      <c r="AD750" s="6">
        <v>0.35</v>
      </c>
      <c r="AE750" s="6">
        <v>0.25</v>
      </c>
      <c r="AF750" s="4" t="s">
        <v>6296</v>
      </c>
      <c r="AG750" s="4" t="s">
        <v>6296</v>
      </c>
      <c r="AH750" s="4" t="s">
        <v>6296</v>
      </c>
      <c r="AI750" s="4" t="s">
        <v>6296</v>
      </c>
      <c r="AJ750" s="4" t="s">
        <v>6296</v>
      </c>
      <c r="AK750" s="4" t="s">
        <v>6296</v>
      </c>
      <c r="AL750" s="4" t="s">
        <v>6296</v>
      </c>
      <c r="AM750" s="4" t="s">
        <v>6296</v>
      </c>
      <c r="AN750" s="4" t="s">
        <v>6296</v>
      </c>
      <c r="AO750" s="4" t="s">
        <v>6296</v>
      </c>
      <c r="AP750" s="4" t="s">
        <v>3652</v>
      </c>
      <c r="AQ750" s="4" t="s">
        <v>47</v>
      </c>
    </row>
    <row r="751" spans="1:43" ht="12.6" customHeight="1" x14ac:dyDescent="0.25">
      <c r="A751" s="8" t="s">
        <v>5984</v>
      </c>
      <c r="B751" s="9">
        <v>20151231</v>
      </c>
      <c r="C751" s="12">
        <f>_xll.FDS("SPX","FG_PRICE(12/30/2015)")</f>
        <v>2063.36</v>
      </c>
      <c r="D751" s="12">
        <f>_xll.FDS("SPX","FG_PRICE(12/30/2017)")</f>
        <v>2673.61</v>
      </c>
      <c r="E751" s="15">
        <f>D751/C751-1</f>
        <v>0.2957554668114144</v>
      </c>
      <c r="F751" s="8" t="s">
        <v>5985</v>
      </c>
      <c r="G751" s="8" t="s">
        <v>5986</v>
      </c>
      <c r="H751" s="13">
        <f>_xll.FDS(G751,"FG_PRICE(12/30/2015)")</f>
        <v>51.66</v>
      </c>
      <c r="I751" s="13">
        <f>_xll.FDS(G751,"FG_PRICE(12/31/2017)")</f>
        <v>66.599999999999994</v>
      </c>
      <c r="J751" s="13">
        <f>I751/H751-1</f>
        <v>0.28919860627177707</v>
      </c>
      <c r="K751" s="13">
        <f>J751-E751</f>
        <v>-6.5568605396373325E-3</v>
      </c>
      <c r="L751" s="13">
        <f>_xll.FDS(G751,"FF_ROE(ANN_R,12/30/2015)")</f>
        <v>5.731883633736774</v>
      </c>
      <c r="M751" s="8" t="s">
        <v>5987</v>
      </c>
      <c r="N751" s="4" t="s">
        <v>5988</v>
      </c>
      <c r="O751" s="4" t="s">
        <v>5989</v>
      </c>
      <c r="P751" s="4" t="s">
        <v>106</v>
      </c>
      <c r="Q751" s="4" t="s">
        <v>99</v>
      </c>
      <c r="R751" s="4" t="s">
        <v>61</v>
      </c>
      <c r="S751" s="4" t="s">
        <v>62</v>
      </c>
      <c r="T751" s="6" t="e">
        <v>#N/A</v>
      </c>
      <c r="U751" s="5">
        <v>51</v>
      </c>
      <c r="V751" s="5">
        <v>47</v>
      </c>
      <c r="W751" s="5">
        <v>49</v>
      </c>
      <c r="X751" s="5">
        <v>61</v>
      </c>
      <c r="Y751" s="5">
        <v>20.56</v>
      </c>
      <c r="Z751" s="5">
        <v>26.17</v>
      </c>
      <c r="AA751" s="5">
        <v>12.15</v>
      </c>
      <c r="AB751" s="5">
        <v>32.71</v>
      </c>
      <c r="AC751" s="6">
        <v>0.4</v>
      </c>
      <c r="AD751" s="6">
        <v>0.35</v>
      </c>
      <c r="AE751" s="6">
        <v>0.25</v>
      </c>
      <c r="AF751" s="4" t="s">
        <v>6296</v>
      </c>
      <c r="AG751" s="4" t="s">
        <v>6296</v>
      </c>
      <c r="AH751" s="4" t="s">
        <v>6296</v>
      </c>
      <c r="AI751" s="4" t="s">
        <v>6296</v>
      </c>
      <c r="AJ751" s="4" t="s">
        <v>6296</v>
      </c>
      <c r="AK751" s="4" t="s">
        <v>6296</v>
      </c>
      <c r="AL751" s="4" t="s">
        <v>6296</v>
      </c>
      <c r="AM751" s="4" t="s">
        <v>6296</v>
      </c>
      <c r="AN751" s="4" t="s">
        <v>6296</v>
      </c>
      <c r="AO751" s="4" t="s">
        <v>6296</v>
      </c>
      <c r="AP751" s="4" t="s">
        <v>5990</v>
      </c>
      <c r="AQ751" s="4" t="s">
        <v>47</v>
      </c>
    </row>
    <row r="752" spans="1:43" ht="12.6" customHeight="1" x14ac:dyDescent="0.25">
      <c r="A752" s="8" t="s">
        <v>3324</v>
      </c>
      <c r="B752" s="9">
        <v>20151231</v>
      </c>
      <c r="C752" s="12">
        <f>_xll.FDS("SPX","FG_PRICE(12/30/2015)")</f>
        <v>2063.36</v>
      </c>
      <c r="D752" s="12">
        <f>_xll.FDS("SPX","FG_PRICE(12/30/2017)")</f>
        <v>2673.61</v>
      </c>
      <c r="E752" s="15">
        <f>D752/C752-1</f>
        <v>0.2957554668114144</v>
      </c>
      <c r="F752" s="8" t="s">
        <v>3325</v>
      </c>
      <c r="G752" s="8" t="s">
        <v>3326</v>
      </c>
      <c r="H752" s="13">
        <f>_xll.FDS(G752,"FG_PRICE(12/30/2015)")</f>
        <v>11.87</v>
      </c>
      <c r="I752" s="13">
        <f>_xll.FDS(G752,"FG_PRICE(12/31/2017)")</f>
        <v>14.22</v>
      </c>
      <c r="J752" s="13">
        <f>I752/H752-1</f>
        <v>0.19797809604043826</v>
      </c>
      <c r="K752" s="13">
        <f>J752-E752</f>
        <v>-9.7777370770976146E-2</v>
      </c>
      <c r="L752" s="13">
        <f>_xll.FDS(G752,"FF_ROE(ANN_R,12/30/2015)")</f>
        <v>7.1602006419339466</v>
      </c>
      <c r="M752" s="8" t="s">
        <v>3327</v>
      </c>
      <c r="N752" s="4" t="s">
        <v>3327</v>
      </c>
      <c r="O752" s="4" t="s">
        <v>3328</v>
      </c>
      <c r="P752" s="4" t="s">
        <v>106</v>
      </c>
      <c r="Q752" s="4" t="s">
        <v>99</v>
      </c>
      <c r="R752" s="4" t="s">
        <v>61</v>
      </c>
      <c r="S752" s="4" t="s">
        <v>62</v>
      </c>
      <c r="T752" s="6" t="e">
        <v>#N/A</v>
      </c>
      <c r="U752" s="5">
        <v>51</v>
      </c>
      <c r="V752" s="5">
        <v>35</v>
      </c>
      <c r="W752" s="5">
        <v>49</v>
      </c>
      <c r="X752" s="5">
        <v>81</v>
      </c>
      <c r="Y752" s="5">
        <v>20.56</v>
      </c>
      <c r="Z752" s="6">
        <v>0</v>
      </c>
      <c r="AA752" s="5">
        <v>12.15</v>
      </c>
      <c r="AB752" s="5">
        <v>96.26</v>
      </c>
      <c r="AC752" s="6">
        <v>0.4</v>
      </c>
      <c r="AD752" s="6">
        <v>0.35</v>
      </c>
      <c r="AE752" s="6">
        <v>0.25</v>
      </c>
      <c r="AF752" s="4" t="s">
        <v>6296</v>
      </c>
      <c r="AG752" s="4" t="s">
        <v>6296</v>
      </c>
      <c r="AH752" s="4" t="s">
        <v>6296</v>
      </c>
      <c r="AI752" s="4" t="s">
        <v>6296</v>
      </c>
      <c r="AJ752" s="4" t="s">
        <v>6296</v>
      </c>
      <c r="AK752" s="4" t="s">
        <v>6296</v>
      </c>
      <c r="AL752" s="4" t="s">
        <v>6296</v>
      </c>
      <c r="AM752" s="4" t="s">
        <v>6296</v>
      </c>
      <c r="AN752" s="4" t="s">
        <v>6296</v>
      </c>
      <c r="AO752" s="4" t="s">
        <v>6296</v>
      </c>
      <c r="AP752" s="4" t="s">
        <v>3329</v>
      </c>
      <c r="AQ752" s="4" t="s">
        <v>47</v>
      </c>
    </row>
    <row r="753" spans="1:43" ht="12.6" customHeight="1" x14ac:dyDescent="0.25">
      <c r="A753" s="8" t="s">
        <v>2617</v>
      </c>
      <c r="B753" s="9">
        <v>20151231</v>
      </c>
      <c r="C753" s="12">
        <f>_xll.FDS("SPX","FG_PRICE(12/30/2015)")</f>
        <v>2063.36</v>
      </c>
      <c r="D753" s="12">
        <f>_xll.FDS("SPX","FG_PRICE(12/30/2017)")</f>
        <v>2673.61</v>
      </c>
      <c r="E753" s="15">
        <f>D753/C753-1</f>
        <v>0.2957554668114144</v>
      </c>
      <c r="F753" s="8" t="s">
        <v>2618</v>
      </c>
      <c r="G753" s="8" t="s">
        <v>2619</v>
      </c>
      <c r="H753" s="13">
        <f>_xll.FDS(G753,"FG_PRICE(12/30/2015)")</f>
        <v>49.97</v>
      </c>
      <c r="I753" s="13">
        <f>_xll.FDS(G753,"FG_PRICE(12/31/2017)")</f>
        <v>88.3</v>
      </c>
      <c r="J753" s="13">
        <f>I753/H753-1</f>
        <v>0.76706023614168495</v>
      </c>
      <c r="K753" s="13">
        <f>J753-E753</f>
        <v>0.47130476933027055</v>
      </c>
      <c r="L753" s="13">
        <f>_xll.FDS(G753,"FF_ROE(ANN_R,12/30/2015)")</f>
        <v>5.0809224531577204</v>
      </c>
      <c r="M753" s="8" t="s">
        <v>2620</v>
      </c>
      <c r="N753" s="4" t="s">
        <v>2620</v>
      </c>
      <c r="O753" s="4" t="s">
        <v>2621</v>
      </c>
      <c r="P753" s="4" t="s">
        <v>106</v>
      </c>
      <c r="Q753" s="4" t="s">
        <v>99</v>
      </c>
      <c r="R753" s="4" t="s">
        <v>61</v>
      </c>
      <c r="S753" s="4" t="s">
        <v>62</v>
      </c>
      <c r="T753" s="6" t="e">
        <v>#N/A</v>
      </c>
      <c r="U753" s="5">
        <v>57</v>
      </c>
      <c r="V753" s="5">
        <v>49</v>
      </c>
      <c r="W753" s="5">
        <v>61</v>
      </c>
      <c r="X753" s="5">
        <v>64</v>
      </c>
      <c r="Y753" s="5">
        <v>37.380000000000003</v>
      </c>
      <c r="Z753" s="5">
        <v>28.97</v>
      </c>
      <c r="AA753" s="5">
        <v>47.66</v>
      </c>
      <c r="AB753" s="5">
        <v>50.47</v>
      </c>
      <c r="AC753" s="6">
        <v>0.4</v>
      </c>
      <c r="AD753" s="6">
        <v>0.35</v>
      </c>
      <c r="AE753" s="6">
        <v>0.25</v>
      </c>
      <c r="AF753" s="4" t="s">
        <v>6296</v>
      </c>
      <c r="AG753" s="4" t="s">
        <v>6296</v>
      </c>
      <c r="AH753" s="4" t="s">
        <v>6296</v>
      </c>
      <c r="AI753" s="4" t="s">
        <v>6296</v>
      </c>
      <c r="AJ753" s="4" t="s">
        <v>6296</v>
      </c>
      <c r="AK753" s="4" t="s">
        <v>6296</v>
      </c>
      <c r="AL753" s="4" t="s">
        <v>6296</v>
      </c>
      <c r="AM753" s="4" t="s">
        <v>6296</v>
      </c>
      <c r="AN753" s="4" t="s">
        <v>6296</v>
      </c>
      <c r="AO753" s="4" t="s">
        <v>6296</v>
      </c>
      <c r="AP753" s="4" t="s">
        <v>2622</v>
      </c>
      <c r="AQ753" s="4" t="s">
        <v>47</v>
      </c>
    </row>
    <row r="754" spans="1:43" ht="12.6" customHeight="1" x14ac:dyDescent="0.25">
      <c r="A754" s="8" t="s">
        <v>5283</v>
      </c>
      <c r="B754" s="9">
        <v>20151231</v>
      </c>
      <c r="C754" s="12">
        <f>_xll.FDS("SPX","FG_PRICE(12/30/2015)")</f>
        <v>2063.36</v>
      </c>
      <c r="D754" s="12">
        <f>_xll.FDS("SPX","FG_PRICE(12/30/2017)")</f>
        <v>2673.61</v>
      </c>
      <c r="E754" s="15">
        <f>D754/C754-1</f>
        <v>0.2957554668114144</v>
      </c>
      <c r="F754" s="8" t="s">
        <v>5284</v>
      </c>
      <c r="G754" s="8" t="s">
        <v>5285</v>
      </c>
      <c r="H754" s="13">
        <f>_xll.FDS(G754,"FG_PRICE(12/30/2015)")</f>
        <v>30.38</v>
      </c>
      <c r="I754" s="13">
        <f>_xll.FDS(G754,"FG_PRICE(12/31/2017)")</f>
        <v>8.43</v>
      </c>
      <c r="J754" s="13">
        <f>I754/H754-1</f>
        <v>-0.72251481237656345</v>
      </c>
      <c r="K754" s="13">
        <f>J754-E754</f>
        <v>-1.0182702791879779</v>
      </c>
      <c r="L754" s="13">
        <f>_xll.FDS(G754,"FF_ROE(ANN_R,12/30/2015)")</f>
        <v>18.55574802656427</v>
      </c>
      <c r="M754" s="8" t="s">
        <v>5286</v>
      </c>
      <c r="N754" s="4" t="s">
        <v>5286</v>
      </c>
      <c r="O754" s="4" t="s">
        <v>5287</v>
      </c>
      <c r="P754" s="4" t="s">
        <v>106</v>
      </c>
      <c r="Q754" s="4" t="s">
        <v>99</v>
      </c>
      <c r="R754" s="4" t="s">
        <v>61</v>
      </c>
      <c r="S754" s="4" t="s">
        <v>62</v>
      </c>
      <c r="T754" s="6" t="e">
        <v>#N/A</v>
      </c>
      <c r="U754" s="5">
        <v>67</v>
      </c>
      <c r="V754" s="5">
        <v>69</v>
      </c>
      <c r="W754" s="5">
        <v>68</v>
      </c>
      <c r="X754" s="5">
        <v>63</v>
      </c>
      <c r="Y754" s="5">
        <v>71.03</v>
      </c>
      <c r="Z754" s="5">
        <v>76.64</v>
      </c>
      <c r="AA754" s="5">
        <v>73.83</v>
      </c>
      <c r="AB754" s="5">
        <v>45.79</v>
      </c>
      <c r="AC754" s="6">
        <v>0.4</v>
      </c>
      <c r="AD754" s="6">
        <v>0.35</v>
      </c>
      <c r="AE754" s="6">
        <v>0.25</v>
      </c>
      <c r="AF754" s="4" t="s">
        <v>6296</v>
      </c>
      <c r="AG754" s="4" t="s">
        <v>6296</v>
      </c>
      <c r="AH754" s="4" t="s">
        <v>6296</v>
      </c>
      <c r="AI754" s="4" t="s">
        <v>6296</v>
      </c>
      <c r="AJ754" s="4" t="s">
        <v>6296</v>
      </c>
      <c r="AK754" s="4" t="s">
        <v>6296</v>
      </c>
      <c r="AL754" s="4" t="s">
        <v>6296</v>
      </c>
      <c r="AM754" s="4" t="s">
        <v>6296</v>
      </c>
      <c r="AN754" s="4" t="s">
        <v>6296</v>
      </c>
      <c r="AO754" s="4" t="s">
        <v>6296</v>
      </c>
      <c r="AP754" s="4" t="s">
        <v>5288</v>
      </c>
      <c r="AQ754" s="4" t="s">
        <v>47</v>
      </c>
    </row>
    <row r="755" spans="1:43" ht="12.6" customHeight="1" x14ac:dyDescent="0.25">
      <c r="A755" s="8" t="s">
        <v>5686</v>
      </c>
      <c r="B755" s="9">
        <v>20151231</v>
      </c>
      <c r="C755" s="12">
        <f>_xll.FDS("SPX","FG_PRICE(12/30/2015)")</f>
        <v>2063.36</v>
      </c>
      <c r="D755" s="12">
        <f>_xll.FDS("SPX","FG_PRICE(12/30/2017)")</f>
        <v>2673.61</v>
      </c>
      <c r="E755" s="15">
        <f>D755/C755-1</f>
        <v>0.2957554668114144</v>
      </c>
      <c r="F755" s="8" t="s">
        <v>5687</v>
      </c>
      <c r="G755" s="8" t="s">
        <v>5688</v>
      </c>
      <c r="H755" s="13">
        <f>_xll.FDS(G755,"FG_PRICE(12/30/2015)")</f>
        <v>5.07</v>
      </c>
      <c r="I755" s="13" t="e">
        <f>_xll.FDS(G755,"FG_PRICE(12/31/2017)")</f>
        <v>#N/A</v>
      </c>
      <c r="J755" s="13" t="e">
        <f>I755/H755-1</f>
        <v>#N/A</v>
      </c>
      <c r="K755" s="13" t="e">
        <f>J755-E755</f>
        <v>#N/A</v>
      </c>
      <c r="L755" s="13">
        <f>_xll.FDS(G755,"FF_ROE(ANN_R,12/30/2015)")</f>
        <v>-509.82584390453661</v>
      </c>
      <c r="M755" s="8" t="s">
        <v>5689</v>
      </c>
      <c r="N755" s="4" t="s">
        <v>5690</v>
      </c>
      <c r="O755" s="4" t="s">
        <v>5691</v>
      </c>
      <c r="P755" s="4" t="s">
        <v>96</v>
      </c>
      <c r="Q755" s="4" t="s">
        <v>99</v>
      </c>
      <c r="R755" s="4" t="s">
        <v>61</v>
      </c>
      <c r="S755" s="4" t="s">
        <v>62</v>
      </c>
      <c r="T755" s="6" t="e">
        <v>#N/A</v>
      </c>
      <c r="U755" s="5">
        <v>63</v>
      </c>
      <c r="V755" s="5">
        <v>61</v>
      </c>
      <c r="W755" s="5">
        <v>67</v>
      </c>
      <c r="X755" s="5">
        <v>61</v>
      </c>
      <c r="Y755" s="5">
        <v>55.14</v>
      </c>
      <c r="Z755" s="5">
        <v>55.14</v>
      </c>
      <c r="AA755" s="5">
        <v>71.03</v>
      </c>
      <c r="AB755" s="5">
        <v>32.71</v>
      </c>
      <c r="AC755" s="6">
        <v>0.4</v>
      </c>
      <c r="AD755" s="6">
        <v>0.35</v>
      </c>
      <c r="AE755" s="6">
        <v>0.25</v>
      </c>
      <c r="AF755" s="4" t="s">
        <v>6296</v>
      </c>
      <c r="AG755" s="4" t="s">
        <v>6296</v>
      </c>
      <c r="AH755" s="4" t="s">
        <v>6296</v>
      </c>
      <c r="AI755" s="4" t="s">
        <v>6296</v>
      </c>
      <c r="AJ755" s="4" t="s">
        <v>6296</v>
      </c>
      <c r="AK755" s="4" t="s">
        <v>6296</v>
      </c>
      <c r="AL755" s="4" t="s">
        <v>6296</v>
      </c>
      <c r="AM755" s="4" t="s">
        <v>6296</v>
      </c>
      <c r="AN755" s="4" t="s">
        <v>37</v>
      </c>
      <c r="AO755" s="4" t="s">
        <v>6296</v>
      </c>
      <c r="AP755" s="4" t="s">
        <v>5692</v>
      </c>
      <c r="AQ755" s="4" t="s">
        <v>47</v>
      </c>
    </row>
    <row r="756" spans="1:43" ht="12.6" customHeight="1" x14ac:dyDescent="0.25">
      <c r="A756" s="8" t="s">
        <v>4346</v>
      </c>
      <c r="B756" s="9">
        <v>20151231</v>
      </c>
      <c r="C756" s="12">
        <f>_xll.FDS("SPX","FG_PRICE(12/30/2015)")</f>
        <v>2063.36</v>
      </c>
      <c r="D756" s="12">
        <f>_xll.FDS("SPX","FG_PRICE(12/30/2017)")</f>
        <v>2673.61</v>
      </c>
      <c r="E756" s="15">
        <f>D756/C756-1</f>
        <v>0.2957554668114144</v>
      </c>
      <c r="F756" s="8" t="s">
        <v>4347</v>
      </c>
      <c r="G756" s="8" t="s">
        <v>4348</v>
      </c>
      <c r="H756" s="13">
        <f>_xll.FDS(G756,"FG_PRICE(12/30/2015)")</f>
        <v>79.19</v>
      </c>
      <c r="I756" s="13">
        <f>_xll.FDS(G756,"FG_PRICE(12/31/2017)")</f>
        <v>94.95</v>
      </c>
      <c r="J756" s="13">
        <f>I756/H756-1</f>
        <v>0.19901502714989272</v>
      </c>
      <c r="K756" s="13">
        <f>J756-E756</f>
        <v>-9.6740439661521682E-2</v>
      </c>
      <c r="L756" s="13">
        <f>_xll.FDS(G756,"FF_ROE(ANN_R,12/30/2015)")</f>
        <v>28.051865907653379</v>
      </c>
      <c r="M756" s="8" t="s">
        <v>4349</v>
      </c>
      <c r="N756" s="4" t="s">
        <v>4350</v>
      </c>
      <c r="O756" s="4" t="s">
        <v>4351</v>
      </c>
      <c r="P756" s="4" t="s">
        <v>106</v>
      </c>
      <c r="Q756" s="4" t="s">
        <v>99</v>
      </c>
      <c r="R756" s="4" t="s">
        <v>61</v>
      </c>
      <c r="S756" s="4" t="s">
        <v>62</v>
      </c>
      <c r="T756" s="6" t="e">
        <v>#N/A</v>
      </c>
      <c r="U756" s="5">
        <v>64</v>
      </c>
      <c r="V756" s="5">
        <v>62</v>
      </c>
      <c r="W756" s="5">
        <v>66</v>
      </c>
      <c r="X756" s="5">
        <v>63</v>
      </c>
      <c r="Y756" s="5">
        <v>62.62</v>
      </c>
      <c r="Z756" s="5">
        <v>62.62</v>
      </c>
      <c r="AA756" s="5">
        <v>64.489999999999995</v>
      </c>
      <c r="AB756" s="5">
        <v>45.79</v>
      </c>
      <c r="AC756" s="6">
        <v>0.4</v>
      </c>
      <c r="AD756" s="6">
        <v>0.35</v>
      </c>
      <c r="AE756" s="6">
        <v>0.25</v>
      </c>
      <c r="AF756" s="4" t="s">
        <v>6296</v>
      </c>
      <c r="AG756" s="4" t="s">
        <v>6296</v>
      </c>
      <c r="AH756" s="4" t="s">
        <v>6296</v>
      </c>
      <c r="AI756" s="4" t="s">
        <v>6296</v>
      </c>
      <c r="AJ756" s="4" t="s">
        <v>6296</v>
      </c>
      <c r="AK756" s="4" t="s">
        <v>6296</v>
      </c>
      <c r="AL756" s="4" t="s">
        <v>6296</v>
      </c>
      <c r="AM756" s="4" t="s">
        <v>6296</v>
      </c>
      <c r="AN756" s="4" t="s">
        <v>6296</v>
      </c>
      <c r="AO756" s="4" t="s">
        <v>6296</v>
      </c>
      <c r="AP756" s="4" t="s">
        <v>4352</v>
      </c>
      <c r="AQ756" s="4" t="s">
        <v>47</v>
      </c>
    </row>
    <row r="757" spans="1:43" ht="12.6" customHeight="1" x14ac:dyDescent="0.25">
      <c r="A757" s="8" t="s">
        <v>3964</v>
      </c>
      <c r="B757" s="9">
        <v>20151231</v>
      </c>
      <c r="C757" s="12">
        <f>_xll.FDS("SPX","FG_PRICE(12/30/2015)")</f>
        <v>2063.36</v>
      </c>
      <c r="D757" s="12">
        <f>_xll.FDS("SPX","FG_PRICE(12/30/2017)")</f>
        <v>2673.61</v>
      </c>
      <c r="E757" s="15">
        <f>D757/C757-1</f>
        <v>0.2957554668114144</v>
      </c>
      <c r="F757" s="8" t="s">
        <v>3965</v>
      </c>
      <c r="G757" s="8" t="s">
        <v>3966</v>
      </c>
      <c r="H757" s="13">
        <f>_xll.FDS(G757,"FG_PRICE(12/30/2015)")</f>
        <v>21.24</v>
      </c>
      <c r="I757" s="13">
        <f>_xll.FDS(G757,"FG_PRICE(12/31/2017)")</f>
        <v>41.87</v>
      </c>
      <c r="J757" s="13">
        <f>I757/H757-1</f>
        <v>0.97128060263653482</v>
      </c>
      <c r="K757" s="13">
        <f>J757-E757</f>
        <v>0.67552513582512042</v>
      </c>
      <c r="L757" s="13">
        <f>_xll.FDS(G757,"FF_ROE(ANN_R,12/30/2015)")</f>
        <v>3.99953347306176</v>
      </c>
      <c r="M757" s="8" t="s">
        <v>3967</v>
      </c>
      <c r="N757" s="4" t="s">
        <v>3968</v>
      </c>
      <c r="O757" s="4" t="s">
        <v>3969</v>
      </c>
      <c r="P757" s="4" t="s">
        <v>96</v>
      </c>
      <c r="Q757" s="4" t="s">
        <v>99</v>
      </c>
      <c r="R757" s="4" t="s">
        <v>61</v>
      </c>
      <c r="S757" s="4" t="s">
        <v>62</v>
      </c>
      <c r="T757" s="6" t="e">
        <v>#N/A</v>
      </c>
      <c r="U757" s="5">
        <v>53</v>
      </c>
      <c r="V757" s="5">
        <v>49</v>
      </c>
      <c r="W757" s="5">
        <v>53</v>
      </c>
      <c r="X757" s="5">
        <v>61</v>
      </c>
      <c r="Y757" s="5">
        <v>23.36</v>
      </c>
      <c r="Z757" s="5">
        <v>28.97</v>
      </c>
      <c r="AA757" s="5">
        <v>26.17</v>
      </c>
      <c r="AB757" s="5">
        <v>32.71</v>
      </c>
      <c r="AC757" s="6">
        <v>0.4</v>
      </c>
      <c r="AD757" s="6">
        <v>0.35</v>
      </c>
      <c r="AE757" s="6">
        <v>0.25</v>
      </c>
      <c r="AF757" s="4" t="s">
        <v>6296</v>
      </c>
      <c r="AG757" s="4" t="s">
        <v>6296</v>
      </c>
      <c r="AH757" s="4" t="s">
        <v>6296</v>
      </c>
      <c r="AI757" s="4" t="s">
        <v>6296</v>
      </c>
      <c r="AJ757" s="4" t="s">
        <v>6296</v>
      </c>
      <c r="AK757" s="4" t="s">
        <v>6296</v>
      </c>
      <c r="AL757" s="4" t="s">
        <v>6296</v>
      </c>
      <c r="AM757" s="4" t="s">
        <v>6296</v>
      </c>
      <c r="AN757" s="4" t="s">
        <v>6296</v>
      </c>
      <c r="AO757" s="4" t="s">
        <v>6296</v>
      </c>
      <c r="AP757" s="4" t="s">
        <v>3970</v>
      </c>
      <c r="AQ757" s="4" t="s">
        <v>47</v>
      </c>
    </row>
    <row r="758" spans="1:43" ht="12.6" customHeight="1" x14ac:dyDescent="0.25">
      <c r="A758" s="8" t="s">
        <v>3985</v>
      </c>
      <c r="B758" s="9">
        <v>20151231</v>
      </c>
      <c r="C758" s="12">
        <f>_xll.FDS("SPX","FG_PRICE(12/30/2015)")</f>
        <v>2063.36</v>
      </c>
      <c r="D758" s="12">
        <f>_xll.FDS("SPX","FG_PRICE(12/30/2017)")</f>
        <v>2673.61</v>
      </c>
      <c r="E758" s="15">
        <f>D758/C758-1</f>
        <v>0.2957554668114144</v>
      </c>
      <c r="F758" s="8" t="s">
        <v>3986</v>
      </c>
      <c r="G758" s="8" t="s">
        <v>3987</v>
      </c>
      <c r="H758" s="13">
        <f>_xll.FDS(G758,"FG_PRICE(12/30/2015)")</f>
        <v>56.16</v>
      </c>
      <c r="I758" s="13">
        <f>_xll.FDS(G758,"FG_PRICE(12/31/2017)")</f>
        <v>104.44</v>
      </c>
      <c r="J758" s="13">
        <f>I758/H758-1</f>
        <v>0.85968660968660982</v>
      </c>
      <c r="K758" s="13">
        <f>J758-E758</f>
        <v>0.56393114287519541</v>
      </c>
      <c r="L758" s="13">
        <f>_xll.FDS(G758,"FF_ROE(ANN_R,12/30/2015)")</f>
        <v>26.201821012407422</v>
      </c>
      <c r="M758" s="8" t="s">
        <v>3988</v>
      </c>
      <c r="N758" s="4" t="s">
        <v>3989</v>
      </c>
      <c r="O758" s="4" t="s">
        <v>3990</v>
      </c>
      <c r="P758" s="4" t="s">
        <v>106</v>
      </c>
      <c r="Q758" s="4" t="s">
        <v>99</v>
      </c>
      <c r="R758" s="4" t="s">
        <v>61</v>
      </c>
      <c r="S758" s="4" t="s">
        <v>62</v>
      </c>
      <c r="T758" s="6" t="e">
        <v>#N/A</v>
      </c>
      <c r="U758" s="5">
        <v>73</v>
      </c>
      <c r="V758" s="5">
        <v>75</v>
      </c>
      <c r="W758" s="5">
        <v>76</v>
      </c>
      <c r="X758" s="5">
        <v>68</v>
      </c>
      <c r="Y758" s="5">
        <v>85.98</v>
      </c>
      <c r="Z758" s="5">
        <v>85.05</v>
      </c>
      <c r="AA758" s="5">
        <v>85.05</v>
      </c>
      <c r="AB758" s="5">
        <v>71.03</v>
      </c>
      <c r="AC758" s="6">
        <v>0.4</v>
      </c>
      <c r="AD758" s="6">
        <v>0.35</v>
      </c>
      <c r="AE758" s="6">
        <v>0.25</v>
      </c>
      <c r="AF758" s="4" t="s">
        <v>6296</v>
      </c>
      <c r="AG758" s="4" t="s">
        <v>6296</v>
      </c>
      <c r="AH758" s="4" t="s">
        <v>6296</v>
      </c>
      <c r="AI758" s="4" t="s">
        <v>6296</v>
      </c>
      <c r="AJ758" s="4" t="s">
        <v>6296</v>
      </c>
      <c r="AK758" s="4" t="s">
        <v>6296</v>
      </c>
      <c r="AL758" s="4" t="s">
        <v>6296</v>
      </c>
      <c r="AM758" s="4" t="s">
        <v>6296</v>
      </c>
      <c r="AN758" s="4" t="s">
        <v>6296</v>
      </c>
      <c r="AO758" s="4" t="s">
        <v>6296</v>
      </c>
      <c r="AP758" s="4" t="s">
        <v>3991</v>
      </c>
      <c r="AQ758" s="4" t="s">
        <v>47</v>
      </c>
    </row>
    <row r="759" spans="1:43" ht="12.6" customHeight="1" x14ac:dyDescent="0.25">
      <c r="A759" s="8" t="s">
        <v>4281</v>
      </c>
      <c r="B759" s="9">
        <v>20151231</v>
      </c>
      <c r="C759" s="12">
        <f>_xll.FDS("SPX","FG_PRICE(12/30/2015)")</f>
        <v>2063.36</v>
      </c>
      <c r="D759" s="12">
        <f>_xll.FDS("SPX","FG_PRICE(12/30/2017)")</f>
        <v>2673.61</v>
      </c>
      <c r="E759" s="15">
        <f>D759/C759-1</f>
        <v>0.2957554668114144</v>
      </c>
      <c r="F759" s="8" t="s">
        <v>4282</v>
      </c>
      <c r="G759" s="8" t="s">
        <v>4283</v>
      </c>
      <c r="H759" s="13">
        <f>_xll.FDS(G759,"FG_PRICE(12/30/2015)")</f>
        <v>21.02</v>
      </c>
      <c r="I759" s="13">
        <f>_xll.FDS(G759,"FG_PRICE(12/31/2017)")</f>
        <v>14.85</v>
      </c>
      <c r="J759" s="13">
        <f>I759/H759-1</f>
        <v>-0.29352997145575643</v>
      </c>
      <c r="K759" s="13">
        <f>J759-E759</f>
        <v>-0.58928543826717084</v>
      </c>
      <c r="L759" s="13">
        <f>_xll.FDS(G759,"FF_ROE(ANN_R,12/30/2015)")</f>
        <v>-8.8127533469109931</v>
      </c>
      <c r="M759" s="8" t="s">
        <v>4284</v>
      </c>
      <c r="N759" s="4" t="s">
        <v>4284</v>
      </c>
      <c r="O759" s="4" t="s">
        <v>4285</v>
      </c>
      <c r="P759" s="4" t="s">
        <v>106</v>
      </c>
      <c r="Q759" s="4" t="s">
        <v>99</v>
      </c>
      <c r="R759" s="4" t="s">
        <v>61</v>
      </c>
      <c r="S759" s="4" t="s">
        <v>62</v>
      </c>
      <c r="T759" s="6" t="e">
        <v>#N/A</v>
      </c>
      <c r="U759" s="5">
        <v>47</v>
      </c>
      <c r="V759" s="5">
        <v>41</v>
      </c>
      <c r="W759" s="5">
        <v>45</v>
      </c>
      <c r="X759" s="5">
        <v>58</v>
      </c>
      <c r="Y759" s="6">
        <v>8.41</v>
      </c>
      <c r="Z759" s="5">
        <v>12.15</v>
      </c>
      <c r="AA759" s="6">
        <v>0</v>
      </c>
      <c r="AB759" s="5">
        <v>25.23</v>
      </c>
      <c r="AC759" s="6">
        <v>0.4</v>
      </c>
      <c r="AD759" s="6">
        <v>0.35</v>
      </c>
      <c r="AE759" s="6">
        <v>0.25</v>
      </c>
      <c r="AF759" s="4" t="s">
        <v>6296</v>
      </c>
      <c r="AG759" s="4" t="s">
        <v>6296</v>
      </c>
      <c r="AH759" s="4" t="s">
        <v>6296</v>
      </c>
      <c r="AI759" s="4" t="s">
        <v>6296</v>
      </c>
      <c r="AJ759" s="4" t="s">
        <v>6296</v>
      </c>
      <c r="AK759" s="4" t="s">
        <v>6296</v>
      </c>
      <c r="AL759" s="4" t="s">
        <v>6296</v>
      </c>
      <c r="AM759" s="4" t="s">
        <v>6296</v>
      </c>
      <c r="AN759" s="4" t="s">
        <v>6296</v>
      </c>
      <c r="AO759" s="4" t="s">
        <v>6296</v>
      </c>
      <c r="AP759" s="4" t="s">
        <v>4286</v>
      </c>
      <c r="AQ759" s="4" t="s">
        <v>47</v>
      </c>
    </row>
    <row r="760" spans="1:43" ht="12.6" customHeight="1" x14ac:dyDescent="0.25">
      <c r="A760" s="8" t="s">
        <v>4448</v>
      </c>
      <c r="B760" s="9">
        <v>20151231</v>
      </c>
      <c r="C760" s="12">
        <f>_xll.FDS("SPX","FG_PRICE(12/30/2015)")</f>
        <v>2063.36</v>
      </c>
      <c r="D760" s="12">
        <f>_xll.FDS("SPX","FG_PRICE(12/30/2017)")</f>
        <v>2673.61</v>
      </c>
      <c r="E760" s="15">
        <f>D760/C760-1</f>
        <v>0.2957554668114144</v>
      </c>
      <c r="F760" s="8" t="s">
        <v>4449</v>
      </c>
      <c r="G760" s="8" t="s">
        <v>4450</v>
      </c>
      <c r="H760" s="13">
        <f>_xll.FDS(G760,"FG_PRICE(12/30/2015)")</f>
        <v>47.84</v>
      </c>
      <c r="I760" s="13">
        <f>_xll.FDS(G760,"FG_PRICE(12/31/2017)")</f>
        <v>67.42</v>
      </c>
      <c r="J760" s="13">
        <f>I760/H760-1</f>
        <v>0.40928093645484953</v>
      </c>
      <c r="K760" s="13">
        <f>J760-E760</f>
        <v>0.11352546964343513</v>
      </c>
      <c r="L760" s="13">
        <f>_xll.FDS(G760,"FF_ROE(ANN_R,12/30/2015)")</f>
        <v>24.16788397912412</v>
      </c>
      <c r="M760" s="8" t="s">
        <v>4451</v>
      </c>
      <c r="N760" s="4" t="s">
        <v>4452</v>
      </c>
      <c r="O760" s="4" t="s">
        <v>4453</v>
      </c>
      <c r="P760" s="4" t="s">
        <v>106</v>
      </c>
      <c r="Q760" s="4" t="s">
        <v>99</v>
      </c>
      <c r="R760" s="4" t="s">
        <v>61</v>
      </c>
      <c r="S760" s="4" t="s">
        <v>62</v>
      </c>
      <c r="T760" s="6" t="e">
        <v>#N/A</v>
      </c>
      <c r="U760" s="5">
        <v>61</v>
      </c>
      <c r="V760" s="5">
        <v>50</v>
      </c>
      <c r="W760" s="5">
        <v>67</v>
      </c>
      <c r="X760" s="5">
        <v>71</v>
      </c>
      <c r="Y760" s="5">
        <v>52.34</v>
      </c>
      <c r="Z760" s="5">
        <v>31.78</v>
      </c>
      <c r="AA760" s="5">
        <v>71.03</v>
      </c>
      <c r="AB760" s="5">
        <v>76.64</v>
      </c>
      <c r="AC760" s="6">
        <v>0.4</v>
      </c>
      <c r="AD760" s="6">
        <v>0.35</v>
      </c>
      <c r="AE760" s="6">
        <v>0.25</v>
      </c>
      <c r="AF760" s="4" t="s">
        <v>6296</v>
      </c>
      <c r="AG760" s="4" t="s">
        <v>6296</v>
      </c>
      <c r="AH760" s="4" t="s">
        <v>6296</v>
      </c>
      <c r="AI760" s="4" t="s">
        <v>6296</v>
      </c>
      <c r="AJ760" s="4" t="s">
        <v>6296</v>
      </c>
      <c r="AK760" s="4" t="s">
        <v>6296</v>
      </c>
      <c r="AL760" s="4" t="s">
        <v>6296</v>
      </c>
      <c r="AM760" s="4" t="s">
        <v>42</v>
      </c>
      <c r="AN760" s="4" t="s">
        <v>6296</v>
      </c>
      <c r="AO760" s="4" t="s">
        <v>6296</v>
      </c>
      <c r="AP760" s="4" t="s">
        <v>4454</v>
      </c>
      <c r="AQ760" s="4" t="s">
        <v>47</v>
      </c>
    </row>
    <row r="761" spans="1:43" ht="12.6" customHeight="1" x14ac:dyDescent="0.25">
      <c r="A761" s="8" t="s">
        <v>4455</v>
      </c>
      <c r="B761" s="9">
        <v>20151231</v>
      </c>
      <c r="C761" s="12">
        <f>_xll.FDS("SPX","FG_PRICE(12/30/2015)")</f>
        <v>2063.36</v>
      </c>
      <c r="D761" s="12">
        <f>_xll.FDS("SPX","FG_PRICE(12/30/2017)")</f>
        <v>2673.61</v>
      </c>
      <c r="E761" s="15">
        <f>D761/C761-1</f>
        <v>0.2957554668114144</v>
      </c>
      <c r="F761" s="8" t="s">
        <v>4456</v>
      </c>
      <c r="G761" s="8" t="s">
        <v>4457</v>
      </c>
      <c r="H761" s="13">
        <f>_xll.FDS(G761,"FG_PRICE(12/30/2015)")</f>
        <v>33.369999999999997</v>
      </c>
      <c r="I761" s="13">
        <f>_xll.FDS(G761,"FG_PRICE(12/31/2017)")</f>
        <v>69.849999999999994</v>
      </c>
      <c r="J761" s="13">
        <f>I761/H761-1</f>
        <v>1.0931974827689541</v>
      </c>
      <c r="K761" s="13">
        <f>J761-E761</f>
        <v>0.79744201595753972</v>
      </c>
      <c r="L761" s="13">
        <f>_xll.FDS(G761,"FF_ROE(ANN_R,12/30/2015)")</f>
        <v>29.03178443509363</v>
      </c>
      <c r="M761" s="8" t="s">
        <v>4458</v>
      </c>
      <c r="N761" s="4" t="s">
        <v>4459</v>
      </c>
      <c r="O761" s="4" t="s">
        <v>4460</v>
      </c>
      <c r="P761" s="4" t="s">
        <v>106</v>
      </c>
      <c r="Q761" s="4" t="s">
        <v>65</v>
      </c>
      <c r="R761" s="4" t="s">
        <v>61</v>
      </c>
      <c r="S761" s="4" t="s">
        <v>62</v>
      </c>
      <c r="T761" s="6" t="e">
        <v>#N/A</v>
      </c>
      <c r="U761" s="5">
        <v>52</v>
      </c>
      <c r="V761" s="5">
        <v>50</v>
      </c>
      <c r="W761" s="5">
        <v>48</v>
      </c>
      <c r="X761" s="5">
        <v>61</v>
      </c>
      <c r="Y761" s="5">
        <v>44.75</v>
      </c>
      <c r="Z761" s="5">
        <v>61.33</v>
      </c>
      <c r="AA761" s="5">
        <v>39.229999999999997</v>
      </c>
      <c r="AB761" s="5">
        <v>35.909999999999997</v>
      </c>
      <c r="AC761" s="6">
        <v>0.3</v>
      </c>
      <c r="AD761" s="6">
        <v>0.45</v>
      </c>
      <c r="AE761" s="6">
        <v>0.25</v>
      </c>
      <c r="AF761" s="4" t="s">
        <v>6296</v>
      </c>
      <c r="AG761" s="4" t="s">
        <v>6296</v>
      </c>
      <c r="AH761" s="4" t="s">
        <v>6296</v>
      </c>
      <c r="AI761" s="4" t="s">
        <v>42</v>
      </c>
      <c r="AJ761" s="4" t="s">
        <v>6296</v>
      </c>
      <c r="AK761" s="4" t="s">
        <v>46</v>
      </c>
      <c r="AL761" s="4" t="s">
        <v>6296</v>
      </c>
      <c r="AM761" s="4" t="s">
        <v>37</v>
      </c>
      <c r="AN761" s="4" t="s">
        <v>42</v>
      </c>
      <c r="AO761" s="4" t="s">
        <v>6296</v>
      </c>
      <c r="AP761" s="4" t="s">
        <v>4461</v>
      </c>
      <c r="AQ761" s="4" t="s">
        <v>47</v>
      </c>
    </row>
    <row r="762" spans="1:43" ht="12.6" customHeight="1" x14ac:dyDescent="0.25">
      <c r="A762" s="8" t="s">
        <v>153</v>
      </c>
      <c r="B762" s="9">
        <v>20151231</v>
      </c>
      <c r="C762" s="12">
        <f>_xll.FDS("SPX","FG_PRICE(12/30/2015)")</f>
        <v>2063.36</v>
      </c>
      <c r="D762" s="12">
        <f>_xll.FDS("SPX","FG_PRICE(12/30/2017)")</f>
        <v>2673.61</v>
      </c>
      <c r="E762" s="15">
        <f>D762/C762-1</f>
        <v>0.2957554668114144</v>
      </c>
      <c r="F762" s="8" t="s">
        <v>154</v>
      </c>
      <c r="G762" s="8" t="s">
        <v>155</v>
      </c>
      <c r="H762" s="13">
        <f>_xll.FDS(G762,"FG_PRICE(12/30/2015)")</f>
        <v>95.28</v>
      </c>
      <c r="I762" s="13">
        <f>_xll.FDS(G762,"FG_PRICE(12/31/2017)")</f>
        <v>175.24</v>
      </c>
      <c r="J762" s="13">
        <f>I762/H762-1</f>
        <v>0.83921074727120071</v>
      </c>
      <c r="K762" s="13">
        <f>J762-E762</f>
        <v>0.54345528045978631</v>
      </c>
      <c r="L762" s="13">
        <f>_xll.FDS(G762,"FF_ROE(ANN_R,12/30/2015)")</f>
        <v>9.1388377486892569</v>
      </c>
      <c r="M762" s="8" t="s">
        <v>156</v>
      </c>
      <c r="N762" s="4" t="s">
        <v>156</v>
      </c>
      <c r="O762" s="4" t="s">
        <v>157</v>
      </c>
      <c r="P762" s="4" t="s">
        <v>106</v>
      </c>
      <c r="Q762" s="4" t="s">
        <v>65</v>
      </c>
      <c r="R762" s="4" t="s">
        <v>61</v>
      </c>
      <c r="S762" s="4" t="s">
        <v>62</v>
      </c>
      <c r="T762" s="6" t="e">
        <v>#N/A</v>
      </c>
      <c r="U762" s="5">
        <v>76</v>
      </c>
      <c r="V762" s="5">
        <v>82</v>
      </c>
      <c r="W762" s="5">
        <v>75</v>
      </c>
      <c r="X762" s="5">
        <v>70</v>
      </c>
      <c r="Y762" s="5">
        <v>95.58</v>
      </c>
      <c r="Z762" s="5">
        <v>93.92</v>
      </c>
      <c r="AA762" s="5">
        <v>95.03</v>
      </c>
      <c r="AB762" s="5">
        <v>75.69</v>
      </c>
      <c r="AC762" s="6">
        <v>0.3</v>
      </c>
      <c r="AD762" s="6">
        <v>0.45</v>
      </c>
      <c r="AE762" s="6">
        <v>0.25</v>
      </c>
      <c r="AF762" s="4" t="s">
        <v>6296</v>
      </c>
      <c r="AG762" s="4" t="s">
        <v>6296</v>
      </c>
      <c r="AH762" s="4" t="s">
        <v>6296</v>
      </c>
      <c r="AI762" s="4" t="s">
        <v>6296</v>
      </c>
      <c r="AJ762" s="4" t="s">
        <v>6296</v>
      </c>
      <c r="AK762" s="4" t="s">
        <v>37</v>
      </c>
      <c r="AL762" s="4" t="s">
        <v>6296</v>
      </c>
      <c r="AM762" s="4" t="s">
        <v>42</v>
      </c>
      <c r="AN762" s="4" t="s">
        <v>6296</v>
      </c>
      <c r="AO762" s="4" t="s">
        <v>6296</v>
      </c>
      <c r="AP762" s="4" t="s">
        <v>158</v>
      </c>
      <c r="AQ762" s="4" t="s">
        <v>47</v>
      </c>
    </row>
    <row r="763" spans="1:43" ht="12.6" customHeight="1" x14ac:dyDescent="0.25">
      <c r="A763" s="8" t="s">
        <v>472</v>
      </c>
      <c r="B763" s="9">
        <v>20151231</v>
      </c>
      <c r="C763" s="12">
        <f>_xll.FDS("SPX","FG_PRICE(12/30/2015)")</f>
        <v>2063.36</v>
      </c>
      <c r="D763" s="12">
        <f>_xll.FDS("SPX","FG_PRICE(12/30/2017)")</f>
        <v>2673.61</v>
      </c>
      <c r="E763" s="15">
        <f>D763/C763-1</f>
        <v>0.2957554668114144</v>
      </c>
      <c r="F763" s="8" t="s">
        <v>473</v>
      </c>
      <c r="G763" s="8" t="s">
        <v>474</v>
      </c>
      <c r="H763" s="13">
        <f>_xll.FDS(G763,"FG_PRICE(12/30/2015)")</f>
        <v>86.38</v>
      </c>
      <c r="I763" s="13">
        <f>_xll.FDS(G763,"FG_PRICE(12/31/2017)")</f>
        <v>117.19</v>
      </c>
      <c r="J763" s="13">
        <f>I763/H763-1</f>
        <v>0.35667978698772873</v>
      </c>
      <c r="K763" s="13">
        <f>J763-E763</f>
        <v>6.0924320176314328E-2</v>
      </c>
      <c r="L763" s="13">
        <f>_xll.FDS(G763,"FF_ROE(ANN_R,12/30/2015)")</f>
        <v>23.983552144406591</v>
      </c>
      <c r="M763" s="8" t="s">
        <v>475</v>
      </c>
      <c r="N763" s="4" t="s">
        <v>476</v>
      </c>
      <c r="O763" s="4" t="s">
        <v>477</v>
      </c>
      <c r="P763" s="4" t="s">
        <v>106</v>
      </c>
      <c r="Q763" s="4" t="s">
        <v>65</v>
      </c>
      <c r="R763" s="4" t="s">
        <v>61</v>
      </c>
      <c r="S763" s="4" t="s">
        <v>62</v>
      </c>
      <c r="T763" s="6" t="e">
        <v>#N/A</v>
      </c>
      <c r="U763" s="5">
        <v>56</v>
      </c>
      <c r="V763" s="5">
        <v>56</v>
      </c>
      <c r="W763" s="5">
        <v>51</v>
      </c>
      <c r="X763" s="5">
        <v>64</v>
      </c>
      <c r="Y763" s="5">
        <v>65.19</v>
      </c>
      <c r="Z763" s="5">
        <v>70.17</v>
      </c>
      <c r="AA763" s="5">
        <v>53.04</v>
      </c>
      <c r="AB763" s="5">
        <v>48.07</v>
      </c>
      <c r="AC763" s="6">
        <v>0.3</v>
      </c>
      <c r="AD763" s="6">
        <v>0.45</v>
      </c>
      <c r="AE763" s="6">
        <v>0.25</v>
      </c>
      <c r="AF763" s="4" t="s">
        <v>6296</v>
      </c>
      <c r="AG763" s="4" t="s">
        <v>6296</v>
      </c>
      <c r="AH763" s="4" t="s">
        <v>6296</v>
      </c>
      <c r="AI763" s="4" t="s">
        <v>6296</v>
      </c>
      <c r="AJ763" s="4" t="s">
        <v>6296</v>
      </c>
      <c r="AK763" s="4" t="s">
        <v>6296</v>
      </c>
      <c r="AL763" s="4" t="s">
        <v>6296</v>
      </c>
      <c r="AM763" s="4" t="s">
        <v>6296</v>
      </c>
      <c r="AN763" s="4" t="s">
        <v>6296</v>
      </c>
      <c r="AO763" s="4" t="s">
        <v>6296</v>
      </c>
      <c r="AP763" s="4" t="s">
        <v>478</v>
      </c>
      <c r="AQ763" s="4" t="s">
        <v>47</v>
      </c>
    </row>
    <row r="764" spans="1:43" ht="12.6" customHeight="1" x14ac:dyDescent="0.25">
      <c r="A764" s="8" t="s">
        <v>465</v>
      </c>
      <c r="B764" s="9">
        <v>20151231</v>
      </c>
      <c r="C764" s="12">
        <f>_xll.FDS("SPX","FG_PRICE(12/30/2015)")</f>
        <v>2063.36</v>
      </c>
      <c r="D764" s="12">
        <f>_xll.FDS("SPX","FG_PRICE(12/30/2017)")</f>
        <v>2673.61</v>
      </c>
      <c r="E764" s="15">
        <f>D764/C764-1</f>
        <v>0.2957554668114144</v>
      </c>
      <c r="F764" s="8" t="s">
        <v>466</v>
      </c>
      <c r="G764" s="8" t="s">
        <v>467</v>
      </c>
      <c r="H764" s="13">
        <f>_xll.FDS(G764,"FG_PRICE(12/30/2015)")</f>
        <v>62.25</v>
      </c>
      <c r="I764" s="13">
        <f>_xll.FDS(G764,"FG_PRICE(12/31/2017)")</f>
        <v>104.83</v>
      </c>
      <c r="J764" s="13">
        <f>I764/H764-1</f>
        <v>0.6840160642570281</v>
      </c>
      <c r="K764" s="13">
        <f>J764-E764</f>
        <v>0.3882605974456137</v>
      </c>
      <c r="L764" s="13">
        <f>_xll.FDS(G764,"FF_ROE(ANN_R,12/30/2015)")</f>
        <v>3.6512152119088541</v>
      </c>
      <c r="M764" s="8" t="s">
        <v>468</v>
      </c>
      <c r="N764" s="4" t="s">
        <v>469</v>
      </c>
      <c r="O764" s="4" t="s">
        <v>470</v>
      </c>
      <c r="P764" s="4" t="s">
        <v>106</v>
      </c>
      <c r="Q764" s="4" t="s">
        <v>65</v>
      </c>
      <c r="R764" s="4" t="s">
        <v>61</v>
      </c>
      <c r="S764" s="4" t="s">
        <v>62</v>
      </c>
      <c r="T764" s="6" t="e">
        <v>#N/A</v>
      </c>
      <c r="U764" s="5">
        <v>72</v>
      </c>
      <c r="V764" s="5">
        <v>83</v>
      </c>
      <c r="W764" s="5">
        <v>65</v>
      </c>
      <c r="X764" s="5">
        <v>72</v>
      </c>
      <c r="Y764" s="5">
        <v>89.5</v>
      </c>
      <c r="Z764" s="5">
        <v>95.03</v>
      </c>
      <c r="AA764" s="5">
        <v>85.08</v>
      </c>
      <c r="AB764" s="5">
        <v>80.11</v>
      </c>
      <c r="AC764" s="6">
        <v>0.3</v>
      </c>
      <c r="AD764" s="6">
        <v>0.45</v>
      </c>
      <c r="AE764" s="6">
        <v>0.25</v>
      </c>
      <c r="AF764" s="4" t="s">
        <v>6296</v>
      </c>
      <c r="AG764" s="4" t="s">
        <v>6296</v>
      </c>
      <c r="AH764" s="4" t="s">
        <v>6296</v>
      </c>
      <c r="AI764" s="4" t="s">
        <v>6296</v>
      </c>
      <c r="AJ764" s="4" t="s">
        <v>6296</v>
      </c>
      <c r="AK764" s="4" t="s">
        <v>6296</v>
      </c>
      <c r="AL764" s="4" t="s">
        <v>6296</v>
      </c>
      <c r="AM764" s="4" t="s">
        <v>6296</v>
      </c>
      <c r="AN764" s="4" t="s">
        <v>6296</v>
      </c>
      <c r="AO764" s="4" t="s">
        <v>6296</v>
      </c>
      <c r="AP764" s="4" t="s">
        <v>471</v>
      </c>
      <c r="AQ764" s="4" t="s">
        <v>47</v>
      </c>
    </row>
    <row r="765" spans="1:43" ht="12.6" customHeight="1" x14ac:dyDescent="0.25">
      <c r="A765" s="8" t="s">
        <v>3483</v>
      </c>
      <c r="B765" s="9">
        <v>20151231</v>
      </c>
      <c r="C765" s="12">
        <f>_xll.FDS("SPX","FG_PRICE(12/30/2015)")</f>
        <v>2063.36</v>
      </c>
      <c r="D765" s="12">
        <f>_xll.FDS("SPX","FG_PRICE(12/30/2017)")</f>
        <v>2673.61</v>
      </c>
      <c r="E765" s="15">
        <f>D765/C765-1</f>
        <v>0.2957554668114144</v>
      </c>
      <c r="F765" s="8" t="s">
        <v>3484</v>
      </c>
      <c r="G765" s="8" t="s">
        <v>3485</v>
      </c>
      <c r="H765" s="13">
        <f>_xll.FDS(G765,"FG_PRICE(12/30/2015)")</f>
        <v>276.77</v>
      </c>
      <c r="I765" s="13">
        <f>_xll.FDS(G765,"FG_PRICE(12/31/2017)")</f>
        <v>253.48</v>
      </c>
      <c r="J765" s="13">
        <f>I765/H765-1</f>
        <v>-8.4149293637316158E-2</v>
      </c>
      <c r="K765" s="13">
        <f>J765-E765</f>
        <v>-0.37990476044873056</v>
      </c>
      <c r="L765" s="13">
        <f>_xll.FDS(G765,"FF_ROE(ANN_R,12/30/2015)")</f>
        <v>30.227348691216029</v>
      </c>
      <c r="M765" s="8" t="s">
        <v>3486</v>
      </c>
      <c r="N765" s="4" t="s">
        <v>3486</v>
      </c>
      <c r="O765" s="4" t="s">
        <v>3487</v>
      </c>
      <c r="P765" s="4" t="s">
        <v>96</v>
      </c>
      <c r="Q765" s="4" t="s">
        <v>65</v>
      </c>
      <c r="R765" s="4" t="s">
        <v>61</v>
      </c>
      <c r="S765" s="4" t="s">
        <v>62</v>
      </c>
      <c r="T765" s="6" t="e">
        <v>#N/A</v>
      </c>
      <c r="U765" s="5">
        <v>53</v>
      </c>
      <c r="V765" s="5">
        <v>56</v>
      </c>
      <c r="W765" s="5">
        <v>43</v>
      </c>
      <c r="X765" s="5">
        <v>67</v>
      </c>
      <c r="Y765" s="5">
        <v>48.62</v>
      </c>
      <c r="Z765" s="5">
        <v>70.17</v>
      </c>
      <c r="AA765" s="5">
        <v>16.57</v>
      </c>
      <c r="AB765" s="5">
        <v>65.75</v>
      </c>
      <c r="AC765" s="6">
        <v>0.3</v>
      </c>
      <c r="AD765" s="6">
        <v>0.45</v>
      </c>
      <c r="AE765" s="6">
        <v>0.25</v>
      </c>
      <c r="AF765" s="4" t="s">
        <v>6296</v>
      </c>
      <c r="AG765" s="4" t="s">
        <v>6296</v>
      </c>
      <c r="AH765" s="4" t="s">
        <v>6296</v>
      </c>
      <c r="AI765" s="4" t="s">
        <v>42</v>
      </c>
      <c r="AJ765" s="4" t="s">
        <v>6296</v>
      </c>
      <c r="AK765" s="4" t="s">
        <v>37</v>
      </c>
      <c r="AL765" s="4" t="s">
        <v>6296</v>
      </c>
      <c r="AM765" s="4" t="s">
        <v>6296</v>
      </c>
      <c r="AN765" s="4" t="s">
        <v>6296</v>
      </c>
      <c r="AO765" s="4" t="s">
        <v>6296</v>
      </c>
      <c r="AP765" s="4" t="s">
        <v>3488</v>
      </c>
      <c r="AQ765" s="4" t="s">
        <v>47</v>
      </c>
    </row>
    <row r="766" spans="1:43" ht="12.6" customHeight="1" x14ac:dyDescent="0.25">
      <c r="A766" s="8" t="s">
        <v>2364</v>
      </c>
      <c r="B766" s="9">
        <v>20151231</v>
      </c>
      <c r="C766" s="12">
        <f>_xll.FDS("SPX","FG_PRICE(12/30/2015)")</f>
        <v>2063.36</v>
      </c>
      <c r="D766" s="12">
        <f>_xll.FDS("SPX","FG_PRICE(12/30/2017)")</f>
        <v>2673.61</v>
      </c>
      <c r="E766" s="15">
        <f>D766/C766-1</f>
        <v>0.2957554668114144</v>
      </c>
      <c r="F766" s="8" t="s">
        <v>2365</v>
      </c>
      <c r="G766" s="8" t="s">
        <v>2366</v>
      </c>
      <c r="H766" s="13">
        <f>_xll.FDS(G766,"FG_PRICE(12/30/2015)")</f>
        <v>52.9</v>
      </c>
      <c r="I766" s="13">
        <f>_xll.FDS(G766,"FG_PRICE(12/31/2017)")</f>
        <v>65.040000000000006</v>
      </c>
      <c r="J766" s="13">
        <f>I766/H766-1</f>
        <v>0.22948960302457477</v>
      </c>
      <c r="K766" s="13">
        <f>J766-E766</f>
        <v>-6.6265863786839629E-2</v>
      </c>
      <c r="L766" s="13">
        <f>_xll.FDS(G766,"FF_ROE(ANN_R,12/30/2015)")</f>
        <v>11.98070017647377</v>
      </c>
      <c r="M766" s="8" t="s">
        <v>2367</v>
      </c>
      <c r="N766" s="4" t="s">
        <v>2368</v>
      </c>
      <c r="O766" s="4" t="s">
        <v>2369</v>
      </c>
      <c r="P766" s="4" t="s">
        <v>106</v>
      </c>
      <c r="Q766" s="4" t="s">
        <v>65</v>
      </c>
      <c r="R766" s="4" t="s">
        <v>61</v>
      </c>
      <c r="S766" s="4" t="s">
        <v>62</v>
      </c>
      <c r="T766" s="6" t="e">
        <v>#N/A</v>
      </c>
      <c r="U766" s="5">
        <v>55</v>
      </c>
      <c r="V766" s="5">
        <v>60</v>
      </c>
      <c r="W766" s="5">
        <v>49</v>
      </c>
      <c r="X766" s="5">
        <v>62</v>
      </c>
      <c r="Y766" s="5">
        <v>59.67</v>
      </c>
      <c r="Z766" s="5">
        <v>76.239999999999995</v>
      </c>
      <c r="AA766" s="5">
        <v>44.2</v>
      </c>
      <c r="AB766" s="5">
        <v>40.33</v>
      </c>
      <c r="AC766" s="6">
        <v>0.3</v>
      </c>
      <c r="AD766" s="6">
        <v>0.45</v>
      </c>
      <c r="AE766" s="6">
        <v>0.25</v>
      </c>
      <c r="AF766" s="4" t="s">
        <v>6296</v>
      </c>
      <c r="AG766" s="4" t="s">
        <v>6296</v>
      </c>
      <c r="AH766" s="4" t="s">
        <v>6296</v>
      </c>
      <c r="AI766" s="4" t="s">
        <v>6296</v>
      </c>
      <c r="AJ766" s="4" t="s">
        <v>6296</v>
      </c>
      <c r="AK766" s="4" t="s">
        <v>6296</v>
      </c>
      <c r="AL766" s="4" t="s">
        <v>6296</v>
      </c>
      <c r="AM766" s="4" t="s">
        <v>6296</v>
      </c>
      <c r="AN766" s="4" t="s">
        <v>6296</v>
      </c>
      <c r="AO766" s="4" t="s">
        <v>6296</v>
      </c>
      <c r="AP766" s="4" t="s">
        <v>2370</v>
      </c>
      <c r="AQ766" s="4" t="s">
        <v>47</v>
      </c>
    </row>
    <row r="767" spans="1:43" ht="12.6" customHeight="1" x14ac:dyDescent="0.25">
      <c r="A767" s="8" t="s">
        <v>347</v>
      </c>
      <c r="B767" s="9">
        <v>20151231</v>
      </c>
      <c r="C767" s="12">
        <f>_xll.FDS("SPX","FG_PRICE(12/30/2015)")</f>
        <v>2063.36</v>
      </c>
      <c r="D767" s="12">
        <f>_xll.FDS("SPX","FG_PRICE(12/30/2017)")</f>
        <v>2673.61</v>
      </c>
      <c r="E767" s="15">
        <f>D767/C767-1</f>
        <v>0.2957554668114144</v>
      </c>
      <c r="F767" s="8" t="s">
        <v>348</v>
      </c>
      <c r="G767" s="8" t="s">
        <v>349</v>
      </c>
      <c r="H767" s="13">
        <f>_xll.FDS(G767,"FG_PRICE(12/30/2015)")</f>
        <v>93.72</v>
      </c>
      <c r="I767" s="13">
        <f>_xll.FDS(G767,"FG_PRICE(12/31/2017)")</f>
        <v>147.59</v>
      </c>
      <c r="J767" s="13">
        <f>I767/H767-1</f>
        <v>0.5747972684592404</v>
      </c>
      <c r="K767" s="13">
        <f>J767-E767</f>
        <v>0.27904180164782599</v>
      </c>
      <c r="L767" s="13">
        <f>_xll.FDS(G767,"FF_ROE(ANN_R,12/30/2015)")</f>
        <v>11.6998070857126</v>
      </c>
      <c r="M767" s="8" t="s">
        <v>350</v>
      </c>
      <c r="N767" s="4" t="s">
        <v>351</v>
      </c>
      <c r="O767" s="4" t="s">
        <v>352</v>
      </c>
      <c r="P767" s="4" t="s">
        <v>106</v>
      </c>
      <c r="Q767" s="4" t="s">
        <v>65</v>
      </c>
      <c r="R767" s="4" t="s">
        <v>61</v>
      </c>
      <c r="S767" s="4" t="s">
        <v>62</v>
      </c>
      <c r="T767" s="6" t="e">
        <v>#N/A</v>
      </c>
      <c r="U767" s="5">
        <v>48</v>
      </c>
      <c r="V767" s="5">
        <v>43</v>
      </c>
      <c r="W767" s="5">
        <v>46</v>
      </c>
      <c r="X767" s="5">
        <v>60</v>
      </c>
      <c r="Y767" s="5">
        <v>23.2</v>
      </c>
      <c r="Z767" s="5">
        <v>40.880000000000003</v>
      </c>
      <c r="AA767" s="5">
        <v>31.49</v>
      </c>
      <c r="AB767" s="5">
        <v>33.700000000000003</v>
      </c>
      <c r="AC767" s="6">
        <v>0.3</v>
      </c>
      <c r="AD767" s="6">
        <v>0.45</v>
      </c>
      <c r="AE767" s="6">
        <v>0.25</v>
      </c>
      <c r="AF767" s="4" t="s">
        <v>6296</v>
      </c>
      <c r="AG767" s="4" t="s">
        <v>6296</v>
      </c>
      <c r="AH767" s="4" t="s">
        <v>6296</v>
      </c>
      <c r="AI767" s="4" t="s">
        <v>6296</v>
      </c>
      <c r="AJ767" s="4" t="s">
        <v>6296</v>
      </c>
      <c r="AK767" s="4" t="s">
        <v>6296</v>
      </c>
      <c r="AL767" s="4" t="s">
        <v>6296</v>
      </c>
      <c r="AM767" s="4" t="s">
        <v>6296</v>
      </c>
      <c r="AN767" s="4" t="s">
        <v>6296</v>
      </c>
      <c r="AO767" s="4" t="s">
        <v>6296</v>
      </c>
      <c r="AP767" s="4" t="s">
        <v>353</v>
      </c>
      <c r="AQ767" s="4" t="s">
        <v>47</v>
      </c>
    </row>
    <row r="768" spans="1:43" ht="12.6" customHeight="1" x14ac:dyDescent="0.25">
      <c r="A768" s="8" t="s">
        <v>2664</v>
      </c>
      <c r="B768" s="9">
        <v>20151231</v>
      </c>
      <c r="C768" s="12">
        <f>_xll.FDS("SPX","FG_PRICE(12/30/2015)")</f>
        <v>2063.36</v>
      </c>
      <c r="D768" s="12">
        <f>_xll.FDS("SPX","FG_PRICE(12/30/2017)")</f>
        <v>2673.61</v>
      </c>
      <c r="E768" s="15">
        <f>D768/C768-1</f>
        <v>0.2957554668114144</v>
      </c>
      <c r="F768" s="8" t="s">
        <v>2665</v>
      </c>
      <c r="G768" s="8" t="s">
        <v>2666</v>
      </c>
      <c r="H768" s="13">
        <f>_xll.FDS(G768,"FG_PRICE(12/30/2015)")</f>
        <v>39.43</v>
      </c>
      <c r="I768" s="13">
        <f>_xll.FDS(G768,"FG_PRICE(12/31/2017)")</f>
        <v>63.32</v>
      </c>
      <c r="J768" s="13">
        <f>I768/H768-1</f>
        <v>0.60588384478823243</v>
      </c>
      <c r="K768" s="13">
        <f>J768-E768</f>
        <v>0.31012837797681803</v>
      </c>
      <c r="L768" s="13">
        <f>_xll.FDS(G768,"FF_ROE(ANN_R,12/30/2015)")</f>
        <v>11.793576326236019</v>
      </c>
      <c r="M768" s="8" t="s">
        <v>2667</v>
      </c>
      <c r="N768" s="4" t="s">
        <v>2668</v>
      </c>
      <c r="O768" s="4" t="s">
        <v>2669</v>
      </c>
      <c r="P768" s="4" t="s">
        <v>106</v>
      </c>
      <c r="Q768" s="4" t="s">
        <v>65</v>
      </c>
      <c r="R768" s="4" t="s">
        <v>61</v>
      </c>
      <c r="S768" s="4" t="s">
        <v>62</v>
      </c>
      <c r="T768" s="6" t="e">
        <v>#N/A</v>
      </c>
      <c r="U768" s="5">
        <v>48</v>
      </c>
      <c r="V768" s="5">
        <v>41</v>
      </c>
      <c r="W768" s="5">
        <v>47</v>
      </c>
      <c r="X768" s="5">
        <v>59</v>
      </c>
      <c r="Y768" s="5">
        <v>23.2</v>
      </c>
      <c r="Z768" s="5">
        <v>29.83</v>
      </c>
      <c r="AA768" s="5">
        <v>35.909999999999997</v>
      </c>
      <c r="AB768" s="5">
        <v>30.39</v>
      </c>
      <c r="AC768" s="6">
        <v>0.3</v>
      </c>
      <c r="AD768" s="6">
        <v>0.45</v>
      </c>
      <c r="AE768" s="6">
        <v>0.25</v>
      </c>
      <c r="AF768" s="4" t="s">
        <v>6296</v>
      </c>
      <c r="AG768" s="4" t="s">
        <v>6296</v>
      </c>
      <c r="AH768" s="4" t="s">
        <v>6296</v>
      </c>
      <c r="AI768" s="4" t="s">
        <v>42</v>
      </c>
      <c r="AJ768" s="4" t="s">
        <v>6296</v>
      </c>
      <c r="AK768" s="4" t="s">
        <v>6296</v>
      </c>
      <c r="AL768" s="4" t="s">
        <v>6296</v>
      </c>
      <c r="AM768" s="4" t="s">
        <v>42</v>
      </c>
      <c r="AN768" s="4" t="s">
        <v>37</v>
      </c>
      <c r="AO768" s="4" t="s">
        <v>6296</v>
      </c>
      <c r="AP768" s="4" t="s">
        <v>2670</v>
      </c>
      <c r="AQ768" s="4" t="s">
        <v>47</v>
      </c>
    </row>
    <row r="769" spans="1:43" ht="12.6" customHeight="1" x14ac:dyDescent="0.25">
      <c r="A769" s="8" t="s">
        <v>4862</v>
      </c>
      <c r="B769" s="9">
        <v>20151231</v>
      </c>
      <c r="C769" s="12">
        <f>_xll.FDS("SPX","FG_PRICE(12/30/2015)")</f>
        <v>2063.36</v>
      </c>
      <c r="D769" s="12">
        <f>_xll.FDS("SPX","FG_PRICE(12/30/2017)")</f>
        <v>2673.61</v>
      </c>
      <c r="E769" s="15">
        <f>D769/C769-1</f>
        <v>0.2957554668114144</v>
      </c>
      <c r="F769" s="8" t="s">
        <v>4863</v>
      </c>
      <c r="G769" s="8" t="s">
        <v>4864</v>
      </c>
      <c r="H769" s="13">
        <f>_xll.FDS(G769,"FG_PRICE(12/30/2015)")</f>
        <v>54.54</v>
      </c>
      <c r="I769" s="13">
        <f>_xll.FDS(G769,"FG_PRICE(12/31/2017)")</f>
        <v>90.58</v>
      </c>
      <c r="J769" s="13">
        <f>I769/H769-1</f>
        <v>0.66079941327466085</v>
      </c>
      <c r="K769" s="13">
        <f>J769-E769</f>
        <v>0.36504394646324645</v>
      </c>
      <c r="L769" s="13">
        <f>_xll.FDS(G769,"FF_ROE(ANN_R,12/30/2015)")</f>
        <v>30.388991796771631</v>
      </c>
      <c r="M769" s="8" t="s">
        <v>4865</v>
      </c>
      <c r="N769" s="4" t="s">
        <v>4866</v>
      </c>
      <c r="O769" s="4" t="s">
        <v>4867</v>
      </c>
      <c r="P769" s="4" t="s">
        <v>96</v>
      </c>
      <c r="Q769" s="4" t="s">
        <v>65</v>
      </c>
      <c r="R769" s="4" t="s">
        <v>61</v>
      </c>
      <c r="S769" s="4" t="s">
        <v>62</v>
      </c>
      <c r="T769" s="6" t="e">
        <v>#N/A</v>
      </c>
      <c r="U769" s="5">
        <v>58</v>
      </c>
      <c r="V769" s="5">
        <v>49</v>
      </c>
      <c r="W769" s="5">
        <v>56</v>
      </c>
      <c r="X769" s="5">
        <v>75</v>
      </c>
      <c r="Y769" s="5">
        <v>71.27</v>
      </c>
      <c r="Z769" s="5">
        <v>58.56</v>
      </c>
      <c r="AA769" s="5">
        <v>68.510000000000005</v>
      </c>
      <c r="AB769" s="5">
        <v>83.43</v>
      </c>
      <c r="AC769" s="6">
        <v>0.3</v>
      </c>
      <c r="AD769" s="6">
        <v>0.45</v>
      </c>
      <c r="AE769" s="6">
        <v>0.25</v>
      </c>
      <c r="AF769" s="4" t="s">
        <v>6296</v>
      </c>
      <c r="AG769" s="4" t="s">
        <v>6296</v>
      </c>
      <c r="AH769" s="4" t="s">
        <v>6296</v>
      </c>
      <c r="AI769" s="4" t="s">
        <v>6296</v>
      </c>
      <c r="AJ769" s="4" t="s">
        <v>6296</v>
      </c>
      <c r="AK769" s="4" t="s">
        <v>6296</v>
      </c>
      <c r="AL769" s="4" t="s">
        <v>6296</v>
      </c>
      <c r="AM769" s="4" t="s">
        <v>6296</v>
      </c>
      <c r="AN769" s="4" t="s">
        <v>6296</v>
      </c>
      <c r="AO769" s="4" t="s">
        <v>6296</v>
      </c>
      <c r="AP769" s="4" t="s">
        <v>4868</v>
      </c>
      <c r="AQ769" s="4" t="s">
        <v>47</v>
      </c>
    </row>
    <row r="770" spans="1:43" ht="12.6" customHeight="1" x14ac:dyDescent="0.25">
      <c r="A770" s="8" t="s">
        <v>1126</v>
      </c>
      <c r="B770" s="9">
        <v>20151231</v>
      </c>
      <c r="C770" s="12">
        <f>_xll.FDS("SPX","FG_PRICE(12/30/2015)")</f>
        <v>2063.36</v>
      </c>
      <c r="D770" s="12">
        <f>_xll.FDS("SPX","FG_PRICE(12/30/2017)")</f>
        <v>2673.61</v>
      </c>
      <c r="E770" s="15">
        <f>D770/C770-1</f>
        <v>0.2957554668114144</v>
      </c>
      <c r="F770" s="8" t="s">
        <v>1127</v>
      </c>
      <c r="G770" s="8" t="s">
        <v>1128</v>
      </c>
      <c r="H770" s="13">
        <f>_xll.FDS(G770,"FG_PRICE(12/30/2015)")</f>
        <v>29.11</v>
      </c>
      <c r="I770" s="13">
        <f>_xll.FDS(G770,"FG_PRICE(12/31/2017)")</f>
        <v>33.28</v>
      </c>
      <c r="J770" s="13">
        <f>I770/H770-1</f>
        <v>0.14324974235657861</v>
      </c>
      <c r="K770" s="13">
        <f>J770-E770</f>
        <v>-0.15250572445483579</v>
      </c>
      <c r="L770" s="13">
        <f>_xll.FDS(G770,"FF_ROE(ANN_R,12/30/2015)")</f>
        <v>14.32782492184011</v>
      </c>
      <c r="M770" s="8" t="s">
        <v>1129</v>
      </c>
      <c r="N770" s="4" t="s">
        <v>1130</v>
      </c>
      <c r="O770" s="4" t="s">
        <v>1131</v>
      </c>
      <c r="P770" s="4" t="s">
        <v>106</v>
      </c>
      <c r="Q770" s="4" t="s">
        <v>65</v>
      </c>
      <c r="R770" s="4" t="s">
        <v>61</v>
      </c>
      <c r="S770" s="4" t="s">
        <v>62</v>
      </c>
      <c r="T770" s="6" t="e">
        <v>#N/A</v>
      </c>
      <c r="U770" s="5">
        <v>72</v>
      </c>
      <c r="V770" s="5">
        <v>81</v>
      </c>
      <c r="W770" s="5">
        <v>66</v>
      </c>
      <c r="X770" s="5">
        <v>75</v>
      </c>
      <c r="Y770" s="5">
        <v>89.5</v>
      </c>
      <c r="Z770" s="5">
        <v>93.37</v>
      </c>
      <c r="AA770" s="5">
        <v>86.74</v>
      </c>
      <c r="AB770" s="5">
        <v>83.43</v>
      </c>
      <c r="AC770" s="6">
        <v>0.3</v>
      </c>
      <c r="AD770" s="6">
        <v>0.45</v>
      </c>
      <c r="AE770" s="6">
        <v>0.25</v>
      </c>
      <c r="AF770" s="4" t="s">
        <v>6296</v>
      </c>
      <c r="AG770" s="4" t="s">
        <v>6296</v>
      </c>
      <c r="AH770" s="4" t="s">
        <v>6296</v>
      </c>
      <c r="AI770" s="4" t="s">
        <v>6296</v>
      </c>
      <c r="AJ770" s="4" t="s">
        <v>6296</v>
      </c>
      <c r="AK770" s="4" t="s">
        <v>42</v>
      </c>
      <c r="AL770" s="4" t="s">
        <v>6296</v>
      </c>
      <c r="AM770" s="4" t="s">
        <v>6296</v>
      </c>
      <c r="AN770" s="4" t="s">
        <v>6296</v>
      </c>
      <c r="AO770" s="4" t="s">
        <v>6296</v>
      </c>
      <c r="AP770" s="4" t="s">
        <v>1132</v>
      </c>
      <c r="AQ770" s="4" t="s">
        <v>47</v>
      </c>
    </row>
    <row r="771" spans="1:43" ht="12.6" customHeight="1" x14ac:dyDescent="0.25">
      <c r="A771" s="8" t="s">
        <v>5970</v>
      </c>
      <c r="B771" s="9">
        <v>20151231</v>
      </c>
      <c r="C771" s="12">
        <f>_xll.FDS("SPX","FG_PRICE(12/30/2015)")</f>
        <v>2063.36</v>
      </c>
      <c r="D771" s="12">
        <f>_xll.FDS("SPX","FG_PRICE(12/30/2017)")</f>
        <v>2673.61</v>
      </c>
      <c r="E771" s="15">
        <f>D771/C771-1</f>
        <v>0.2957554668114144</v>
      </c>
      <c r="F771" s="8" t="s">
        <v>5971</v>
      </c>
      <c r="G771" s="8" t="s">
        <v>5972</v>
      </c>
      <c r="H771" s="13">
        <f>_xll.FDS(G771,"FG_PRICE(12/30/2015)")</f>
        <v>49.01</v>
      </c>
      <c r="I771" s="13">
        <f>_xll.FDS(G771,"FG_PRICE(12/31/2017)")</f>
        <v>71.28</v>
      </c>
      <c r="J771" s="13">
        <f>I771/H771-1</f>
        <v>0.45439706182411754</v>
      </c>
      <c r="K771" s="13">
        <f>J771-E771</f>
        <v>0.15864159501270314</v>
      </c>
      <c r="L771" s="13">
        <f>_xll.FDS(G771,"FF_ROE(ANN_R,12/30/2015)")</f>
        <v>13.93532260584284</v>
      </c>
      <c r="M771" s="8" t="s">
        <v>5973</v>
      </c>
      <c r="N771" s="4" t="s">
        <v>5974</v>
      </c>
      <c r="O771" s="4" t="s">
        <v>5975</v>
      </c>
      <c r="P771" s="4" t="s">
        <v>106</v>
      </c>
      <c r="Q771" s="4" t="s">
        <v>65</v>
      </c>
      <c r="R771" s="4" t="s">
        <v>61</v>
      </c>
      <c r="S771" s="4" t="s">
        <v>62</v>
      </c>
      <c r="T771" s="6" t="e">
        <v>#N/A</v>
      </c>
      <c r="U771" s="5">
        <v>48</v>
      </c>
      <c r="V771" s="5">
        <v>45</v>
      </c>
      <c r="W771" s="5">
        <v>41</v>
      </c>
      <c r="X771" s="5">
        <v>65</v>
      </c>
      <c r="Y771" s="5">
        <v>23.2</v>
      </c>
      <c r="Z771" s="5">
        <v>48.07</v>
      </c>
      <c r="AA771" s="6">
        <v>9.94</v>
      </c>
      <c r="AB771" s="5">
        <v>54.14</v>
      </c>
      <c r="AC771" s="6">
        <v>0.3</v>
      </c>
      <c r="AD771" s="6">
        <v>0.45</v>
      </c>
      <c r="AE771" s="6">
        <v>0.25</v>
      </c>
      <c r="AF771" s="4" t="s">
        <v>6296</v>
      </c>
      <c r="AG771" s="4" t="s">
        <v>6296</v>
      </c>
      <c r="AH771" s="4" t="s">
        <v>6296</v>
      </c>
      <c r="AI771" s="4" t="s">
        <v>6296</v>
      </c>
      <c r="AJ771" s="4" t="s">
        <v>6296</v>
      </c>
      <c r="AK771" s="4" t="s">
        <v>6296</v>
      </c>
      <c r="AL771" s="4" t="s">
        <v>6296</v>
      </c>
      <c r="AM771" s="4" t="s">
        <v>6296</v>
      </c>
      <c r="AN771" s="4" t="s">
        <v>6296</v>
      </c>
      <c r="AO771" s="4" t="s">
        <v>6296</v>
      </c>
      <c r="AP771" s="4" t="s">
        <v>5976</v>
      </c>
      <c r="AQ771" s="4" t="s">
        <v>47</v>
      </c>
    </row>
    <row r="772" spans="1:43" ht="12.6" customHeight="1" x14ac:dyDescent="0.25">
      <c r="A772" s="8" t="s">
        <v>1457</v>
      </c>
      <c r="B772" s="9">
        <v>20151231</v>
      </c>
      <c r="C772" s="12">
        <f>_xll.FDS("SPX","FG_PRICE(12/30/2015)")</f>
        <v>2063.36</v>
      </c>
      <c r="D772" s="12">
        <f>_xll.FDS("SPX","FG_PRICE(12/30/2017)")</f>
        <v>2673.61</v>
      </c>
      <c r="E772" s="15">
        <f>D772/C772-1</f>
        <v>0.2957554668114144</v>
      </c>
      <c r="F772" s="8" t="s">
        <v>1458</v>
      </c>
      <c r="G772" s="8" t="s">
        <v>1459</v>
      </c>
      <c r="H772" s="13">
        <f>_xll.FDS(G772,"FG_PRICE(12/30/2015)")</f>
        <v>21.22</v>
      </c>
      <c r="I772" s="13">
        <f>_xll.FDS(G772,"FG_PRICE(12/31/2017)")</f>
        <v>41.82</v>
      </c>
      <c r="J772" s="13">
        <f>I772/H772-1</f>
        <v>0.97078228086710672</v>
      </c>
      <c r="K772" s="13">
        <f>J772-E772</f>
        <v>0.67502681405569231</v>
      </c>
      <c r="L772" s="13">
        <f>_xll.FDS(G772,"FF_ROE(ANN_R,12/30/2015)")</f>
        <v>12.76453711502567</v>
      </c>
      <c r="M772" s="8" t="s">
        <v>1460</v>
      </c>
      <c r="N772" s="4" t="s">
        <v>1461</v>
      </c>
      <c r="O772" s="4" t="s">
        <v>1462</v>
      </c>
      <c r="P772" s="4" t="s">
        <v>106</v>
      </c>
      <c r="Q772" s="4" t="s">
        <v>65</v>
      </c>
      <c r="R772" s="4" t="s">
        <v>61</v>
      </c>
      <c r="S772" s="4" t="s">
        <v>62</v>
      </c>
      <c r="T772" s="6" t="e">
        <v>#N/A</v>
      </c>
      <c r="U772" s="5">
        <v>50</v>
      </c>
      <c r="V772" s="5">
        <v>42</v>
      </c>
      <c r="W772" s="5">
        <v>47</v>
      </c>
      <c r="X772" s="5">
        <v>64</v>
      </c>
      <c r="Y772" s="5">
        <v>36.46</v>
      </c>
      <c r="Z772" s="5">
        <v>33.15</v>
      </c>
      <c r="AA772" s="5">
        <v>35.909999999999997</v>
      </c>
      <c r="AB772" s="5">
        <v>48.07</v>
      </c>
      <c r="AC772" s="6">
        <v>0.3</v>
      </c>
      <c r="AD772" s="6">
        <v>0.45</v>
      </c>
      <c r="AE772" s="6">
        <v>0.25</v>
      </c>
      <c r="AF772" s="4" t="s">
        <v>6296</v>
      </c>
      <c r="AG772" s="4" t="s">
        <v>6296</v>
      </c>
      <c r="AH772" s="4" t="s">
        <v>6296</v>
      </c>
      <c r="AI772" s="4" t="s">
        <v>6296</v>
      </c>
      <c r="AJ772" s="4" t="s">
        <v>6296</v>
      </c>
      <c r="AK772" s="4" t="s">
        <v>6296</v>
      </c>
      <c r="AL772" s="4" t="s">
        <v>6296</v>
      </c>
      <c r="AM772" s="4" t="s">
        <v>6296</v>
      </c>
      <c r="AN772" s="4" t="s">
        <v>6296</v>
      </c>
      <c r="AO772" s="4" t="s">
        <v>6296</v>
      </c>
      <c r="AP772" s="4" t="s">
        <v>1463</v>
      </c>
      <c r="AQ772" s="4" t="s">
        <v>47</v>
      </c>
    </row>
    <row r="773" spans="1:43" ht="12.6" customHeight="1" x14ac:dyDescent="0.25">
      <c r="A773" s="8" t="s">
        <v>929</v>
      </c>
      <c r="B773" s="9">
        <v>20151231</v>
      </c>
      <c r="C773" s="12">
        <f>_xll.FDS("SPX","FG_PRICE(12/30/2015)")</f>
        <v>2063.36</v>
      </c>
      <c r="D773" s="12">
        <f>_xll.FDS("SPX","FG_PRICE(12/30/2017)")</f>
        <v>2673.61</v>
      </c>
      <c r="E773" s="15">
        <f>D773/C773-1</f>
        <v>0.2957554668114144</v>
      </c>
      <c r="F773" s="8" t="s">
        <v>930</v>
      </c>
      <c r="G773" s="8" t="s">
        <v>931</v>
      </c>
      <c r="H773" s="13">
        <f>_xll.FDS(G773,"FG_PRICE(12/30/2015)")</f>
        <v>82.36</v>
      </c>
      <c r="I773" s="13">
        <f>_xll.FDS(G773,"FG_PRICE(12/31/2017)")</f>
        <v>103.62</v>
      </c>
      <c r="J773" s="13">
        <f>I773/H773-1</f>
        <v>0.25813501699854302</v>
      </c>
      <c r="K773" s="13">
        <f>J773-E773</f>
        <v>-3.7620449812871382E-2</v>
      </c>
      <c r="L773" s="13">
        <f>_xll.FDS(G773,"FF_ROE(ANN_R,12/30/2015)")</f>
        <v>18.22105912214613</v>
      </c>
      <c r="M773" s="8" t="s">
        <v>932</v>
      </c>
      <c r="N773" s="4" t="s">
        <v>932</v>
      </c>
      <c r="O773" s="4" t="s">
        <v>933</v>
      </c>
      <c r="P773" s="4" t="s">
        <v>106</v>
      </c>
      <c r="Q773" s="4" t="s">
        <v>65</v>
      </c>
      <c r="R773" s="4" t="s">
        <v>61</v>
      </c>
      <c r="S773" s="4" t="s">
        <v>62</v>
      </c>
      <c r="T773" s="6" t="e">
        <v>#N/A</v>
      </c>
      <c r="U773" s="5">
        <v>54</v>
      </c>
      <c r="V773" s="5">
        <v>42</v>
      </c>
      <c r="W773" s="5">
        <v>51</v>
      </c>
      <c r="X773" s="5">
        <v>75</v>
      </c>
      <c r="Y773" s="5">
        <v>57.46</v>
      </c>
      <c r="Z773" s="5">
        <v>33.15</v>
      </c>
      <c r="AA773" s="5">
        <v>53.04</v>
      </c>
      <c r="AB773" s="5">
        <v>83.43</v>
      </c>
      <c r="AC773" s="6">
        <v>0.3</v>
      </c>
      <c r="AD773" s="6">
        <v>0.45</v>
      </c>
      <c r="AE773" s="6">
        <v>0.25</v>
      </c>
      <c r="AF773" s="4" t="s">
        <v>6296</v>
      </c>
      <c r="AG773" s="4" t="s">
        <v>6296</v>
      </c>
      <c r="AH773" s="4" t="s">
        <v>6296</v>
      </c>
      <c r="AI773" s="4" t="s">
        <v>6296</v>
      </c>
      <c r="AJ773" s="4" t="s">
        <v>6296</v>
      </c>
      <c r="AK773" s="4" t="s">
        <v>6296</v>
      </c>
      <c r="AL773" s="4" t="s">
        <v>6296</v>
      </c>
      <c r="AM773" s="4" t="s">
        <v>6296</v>
      </c>
      <c r="AN773" s="4" t="s">
        <v>6296</v>
      </c>
      <c r="AO773" s="4" t="s">
        <v>6296</v>
      </c>
      <c r="AP773" s="4" t="s">
        <v>934</v>
      </c>
      <c r="AQ773" s="4" t="s">
        <v>47</v>
      </c>
    </row>
    <row r="774" spans="1:43" ht="12.6" customHeight="1" x14ac:dyDescent="0.25">
      <c r="A774" s="8" t="s">
        <v>1490</v>
      </c>
      <c r="B774" s="9">
        <v>20151231</v>
      </c>
      <c r="C774" s="12">
        <f>_xll.FDS("SPX","FG_PRICE(12/30/2015)")</f>
        <v>2063.36</v>
      </c>
      <c r="D774" s="12">
        <f>_xll.FDS("SPX","FG_PRICE(12/30/2017)")</f>
        <v>2673.61</v>
      </c>
      <c r="E774" s="15">
        <f>D774/C774-1</f>
        <v>0.2957554668114144</v>
      </c>
      <c r="F774" s="8" t="s">
        <v>1491</v>
      </c>
      <c r="G774" s="8" t="s">
        <v>1492</v>
      </c>
      <c r="H774" s="13">
        <f>_xll.FDS(G774,"FG_PRICE(12/30/2015)")</f>
        <v>79.14</v>
      </c>
      <c r="I774" s="13">
        <f>_xll.FDS(G774,"FG_PRICE(12/31/2017)")</f>
        <v>102.23</v>
      </c>
      <c r="J774" s="13">
        <f>I774/H774-1</f>
        <v>0.29176143543088195</v>
      </c>
      <c r="K774" s="13">
        <f>J774-E774</f>
        <v>-3.9940313805324479E-3</v>
      </c>
      <c r="L774" s="13">
        <f>_xll.FDS(G774,"FF_ROE(ANN_R,12/30/2015)")</f>
        <v>-7.4907185130572431</v>
      </c>
      <c r="M774" s="8" t="s">
        <v>1493</v>
      </c>
      <c r="N774" s="4" t="s">
        <v>1494</v>
      </c>
      <c r="O774" s="4" t="s">
        <v>1495</v>
      </c>
      <c r="P774" s="4" t="s">
        <v>96</v>
      </c>
      <c r="Q774" s="4" t="s">
        <v>65</v>
      </c>
      <c r="R774" s="4" t="s">
        <v>61</v>
      </c>
      <c r="S774" s="4" t="s">
        <v>62</v>
      </c>
      <c r="T774" s="6" t="e">
        <v>#N/A</v>
      </c>
      <c r="U774" s="5">
        <v>62</v>
      </c>
      <c r="V774" s="5">
        <v>68</v>
      </c>
      <c r="W774" s="5">
        <v>59</v>
      </c>
      <c r="X774" s="5">
        <v>59</v>
      </c>
      <c r="Y774" s="5">
        <v>79.010000000000005</v>
      </c>
      <c r="Z774" s="5">
        <v>83.43</v>
      </c>
      <c r="AA774" s="5">
        <v>74.59</v>
      </c>
      <c r="AB774" s="5">
        <v>30.39</v>
      </c>
      <c r="AC774" s="6">
        <v>0.3</v>
      </c>
      <c r="AD774" s="6">
        <v>0.45</v>
      </c>
      <c r="AE774" s="6">
        <v>0.25</v>
      </c>
      <c r="AF774" s="4" t="s">
        <v>6296</v>
      </c>
      <c r="AG774" s="4" t="s">
        <v>6296</v>
      </c>
      <c r="AH774" s="4" t="s">
        <v>6296</v>
      </c>
      <c r="AI774" s="4" t="s">
        <v>6296</v>
      </c>
      <c r="AJ774" s="4" t="s">
        <v>6296</v>
      </c>
      <c r="AK774" s="4" t="s">
        <v>6296</v>
      </c>
      <c r="AL774" s="4" t="s">
        <v>6296</v>
      </c>
      <c r="AM774" s="4" t="s">
        <v>42</v>
      </c>
      <c r="AN774" s="4" t="s">
        <v>6296</v>
      </c>
      <c r="AO774" s="4" t="s">
        <v>6296</v>
      </c>
      <c r="AP774" s="4" t="s">
        <v>1496</v>
      </c>
      <c r="AQ774" s="4" t="s">
        <v>47</v>
      </c>
    </row>
    <row r="775" spans="1:43" ht="12.6" customHeight="1" x14ac:dyDescent="0.25">
      <c r="A775" s="8" t="s">
        <v>1277</v>
      </c>
      <c r="B775" s="9">
        <v>20151231</v>
      </c>
      <c r="C775" s="12">
        <f>_xll.FDS("SPX","FG_PRICE(12/30/2015)")</f>
        <v>2063.36</v>
      </c>
      <c r="D775" s="12">
        <f>_xll.FDS("SPX","FG_PRICE(12/30/2017)")</f>
        <v>2673.61</v>
      </c>
      <c r="E775" s="15">
        <f>D775/C775-1</f>
        <v>0.2957554668114144</v>
      </c>
      <c r="F775" s="8" t="s">
        <v>1278</v>
      </c>
      <c r="G775" s="8" t="s">
        <v>1279</v>
      </c>
      <c r="H775" s="13">
        <f>_xll.FDS(G775,"FG_PRICE(12/30/2015)")</f>
        <v>61</v>
      </c>
      <c r="I775" s="13">
        <f>_xll.FDS(G775,"FG_PRICE(12/31/2017)")</f>
        <v>71.02</v>
      </c>
      <c r="J775" s="13">
        <f>I775/H775-1</f>
        <v>0.16426229508196721</v>
      </c>
      <c r="K775" s="13">
        <f>J775-E775</f>
        <v>-0.13149317172944719</v>
      </c>
      <c r="L775" s="13">
        <f>_xll.FDS(G775,"FF_ROE(ANN_R,12/30/2015)")</f>
        <v>20.74518497453623</v>
      </c>
      <c r="M775" s="8" t="s">
        <v>1280</v>
      </c>
      <c r="N775" s="4" t="s">
        <v>1281</v>
      </c>
      <c r="O775" s="4" t="s">
        <v>1282</v>
      </c>
      <c r="P775" s="4" t="s">
        <v>106</v>
      </c>
      <c r="Q775" s="4" t="s">
        <v>65</v>
      </c>
      <c r="R775" s="4" t="s">
        <v>61</v>
      </c>
      <c r="S775" s="4" t="s">
        <v>62</v>
      </c>
      <c r="T775" s="6" t="e">
        <v>#N/A</v>
      </c>
      <c r="U775" s="5">
        <v>70</v>
      </c>
      <c r="V775" s="5">
        <v>69</v>
      </c>
      <c r="W775" s="5">
        <v>71</v>
      </c>
      <c r="X775" s="5">
        <v>67</v>
      </c>
      <c r="Y775" s="5">
        <v>87.85</v>
      </c>
      <c r="Z775" s="5">
        <v>85.08</v>
      </c>
      <c r="AA775" s="5">
        <v>91.71</v>
      </c>
      <c r="AB775" s="5">
        <v>65.75</v>
      </c>
      <c r="AC775" s="6">
        <v>0.3</v>
      </c>
      <c r="AD775" s="6">
        <v>0.45</v>
      </c>
      <c r="AE775" s="6">
        <v>0.25</v>
      </c>
      <c r="AF775" s="4" t="s">
        <v>6296</v>
      </c>
      <c r="AG775" s="4" t="s">
        <v>6296</v>
      </c>
      <c r="AH775" s="4" t="s">
        <v>6296</v>
      </c>
      <c r="AI775" s="4" t="s">
        <v>6296</v>
      </c>
      <c r="AJ775" s="4" t="s">
        <v>6296</v>
      </c>
      <c r="AK775" s="4" t="s">
        <v>6296</v>
      </c>
      <c r="AL775" s="4" t="s">
        <v>6296</v>
      </c>
      <c r="AM775" s="4" t="s">
        <v>6296</v>
      </c>
      <c r="AN775" s="4" t="s">
        <v>6296</v>
      </c>
      <c r="AO775" s="4" t="s">
        <v>42</v>
      </c>
      <c r="AP775" s="4" t="s">
        <v>1283</v>
      </c>
      <c r="AQ775" s="4" t="s">
        <v>47</v>
      </c>
    </row>
    <row r="776" spans="1:43" ht="12.6" customHeight="1" x14ac:dyDescent="0.25">
      <c r="A776" s="8" t="s">
        <v>941</v>
      </c>
      <c r="B776" s="9">
        <v>20151231</v>
      </c>
      <c r="C776" s="12">
        <f>_xll.FDS("SPX","FG_PRICE(12/30/2015)")</f>
        <v>2063.36</v>
      </c>
      <c r="D776" s="12">
        <f>_xll.FDS("SPX","FG_PRICE(12/30/2017)")</f>
        <v>2673.61</v>
      </c>
      <c r="E776" s="15">
        <f>D776/C776-1</f>
        <v>0.2957554668114144</v>
      </c>
      <c r="F776" s="8" t="s">
        <v>942</v>
      </c>
      <c r="G776" s="8" t="s">
        <v>943</v>
      </c>
      <c r="H776" s="13">
        <f>_xll.FDS(G776,"FG_PRICE(12/30/2015)")</f>
        <v>61.286472000000003</v>
      </c>
      <c r="I776" s="13">
        <f>_xll.FDS(G776,"FG_PRICE(12/31/2017)")</f>
        <v>88</v>
      </c>
      <c r="J776" s="13">
        <f>I776/H776-1</f>
        <v>0.43587968320317083</v>
      </c>
      <c r="K776" s="13">
        <f>J776-E776</f>
        <v>0.14012421639175643</v>
      </c>
      <c r="L776" s="13">
        <f>_xll.FDS(G776,"FF_ROE(ANN_R,12/30/2015)")</f>
        <v>9.1644743596558254</v>
      </c>
      <c r="M776" s="8" t="s">
        <v>944</v>
      </c>
      <c r="N776" s="4" t="s">
        <v>945</v>
      </c>
      <c r="O776" s="4" t="s">
        <v>946</v>
      </c>
      <c r="P776" s="4" t="s">
        <v>106</v>
      </c>
      <c r="Q776" s="4" t="s">
        <v>65</v>
      </c>
      <c r="R776" s="4" t="s">
        <v>61</v>
      </c>
      <c r="S776" s="4" t="s">
        <v>62</v>
      </c>
      <c r="T776" s="6" t="e">
        <v>#N/A</v>
      </c>
      <c r="U776" s="5">
        <v>57</v>
      </c>
      <c r="V776" s="5">
        <v>48</v>
      </c>
      <c r="W776" s="5">
        <v>60</v>
      </c>
      <c r="X776" s="5">
        <v>62</v>
      </c>
      <c r="Y776" s="5">
        <v>67.959999999999994</v>
      </c>
      <c r="Z776" s="5">
        <v>55.25</v>
      </c>
      <c r="AA776" s="5">
        <v>76.8</v>
      </c>
      <c r="AB776" s="5">
        <v>40.33</v>
      </c>
      <c r="AC776" s="6">
        <v>0.3</v>
      </c>
      <c r="AD776" s="6">
        <v>0.45</v>
      </c>
      <c r="AE776" s="6">
        <v>0.25</v>
      </c>
      <c r="AF776" s="4" t="s">
        <v>6296</v>
      </c>
      <c r="AG776" s="4" t="s">
        <v>6296</v>
      </c>
      <c r="AH776" s="4" t="s">
        <v>6296</v>
      </c>
      <c r="AI776" s="4" t="s">
        <v>6296</v>
      </c>
      <c r="AJ776" s="4" t="s">
        <v>6296</v>
      </c>
      <c r="AK776" s="4" t="s">
        <v>6296</v>
      </c>
      <c r="AL776" s="4" t="s">
        <v>6296</v>
      </c>
      <c r="AM776" s="4" t="s">
        <v>6296</v>
      </c>
      <c r="AN776" s="4" t="s">
        <v>6296</v>
      </c>
      <c r="AO776" s="4" t="s">
        <v>6296</v>
      </c>
      <c r="AP776" s="4" t="s">
        <v>947</v>
      </c>
      <c r="AQ776" s="4" t="s">
        <v>47</v>
      </c>
    </row>
    <row r="777" spans="1:43" ht="12.6" customHeight="1" x14ac:dyDescent="0.25">
      <c r="A777" s="8" t="s">
        <v>1402</v>
      </c>
      <c r="B777" s="9">
        <v>20151231</v>
      </c>
      <c r="C777" s="12">
        <f>_xll.FDS("SPX","FG_PRICE(12/30/2015)")</f>
        <v>2063.36</v>
      </c>
      <c r="D777" s="12">
        <f>_xll.FDS("SPX","FG_PRICE(12/30/2017)")</f>
        <v>2673.61</v>
      </c>
      <c r="E777" s="15">
        <f>D777/C777-1</f>
        <v>0.2957554668114144</v>
      </c>
      <c r="F777" s="8" t="s">
        <v>1403</v>
      </c>
      <c r="G777" s="8" t="s">
        <v>1404</v>
      </c>
      <c r="H777" s="13">
        <f>_xll.FDS(G777,"FG_PRICE(12/30/2015)")</f>
        <v>25.26</v>
      </c>
      <c r="I777" s="13">
        <f>_xll.FDS(G777,"FG_PRICE(12/31/2017)")</f>
        <v>23.5</v>
      </c>
      <c r="J777" s="13">
        <f>I777/H777-1</f>
        <v>-6.9675376088677798E-2</v>
      </c>
      <c r="K777" s="13">
        <f>J777-E777</f>
        <v>-0.3654308429000922</v>
      </c>
      <c r="L777" s="13">
        <f>_xll.FDS(G777,"FF_ROE(ANN_R,12/30/2015)")</f>
        <v>9.2577876668785759</v>
      </c>
      <c r="M777" s="8" t="s">
        <v>1405</v>
      </c>
      <c r="N777" s="4" t="s">
        <v>1405</v>
      </c>
      <c r="O777" s="4" t="s">
        <v>1037</v>
      </c>
      <c r="P777" s="4" t="s">
        <v>96</v>
      </c>
      <c r="Q777" s="4" t="s">
        <v>65</v>
      </c>
      <c r="R777" s="4" t="s">
        <v>61</v>
      </c>
      <c r="S777" s="4" t="s">
        <v>62</v>
      </c>
      <c r="T777" s="6" t="e">
        <v>#N/A</v>
      </c>
      <c r="U777" s="5">
        <v>55</v>
      </c>
      <c r="V777" s="5">
        <v>47</v>
      </c>
      <c r="W777" s="5">
        <v>55</v>
      </c>
      <c r="X777" s="5">
        <v>64</v>
      </c>
      <c r="Y777" s="5">
        <v>59.67</v>
      </c>
      <c r="Z777" s="5">
        <v>53.04</v>
      </c>
      <c r="AA777" s="5">
        <v>64.64</v>
      </c>
      <c r="AB777" s="5">
        <v>48.07</v>
      </c>
      <c r="AC777" s="6">
        <v>0.3</v>
      </c>
      <c r="AD777" s="6">
        <v>0.45</v>
      </c>
      <c r="AE777" s="6">
        <v>0.25</v>
      </c>
      <c r="AF777" s="4" t="s">
        <v>6296</v>
      </c>
      <c r="AG777" s="4" t="s">
        <v>6296</v>
      </c>
      <c r="AH777" s="4" t="s">
        <v>6296</v>
      </c>
      <c r="AI777" s="4" t="s">
        <v>42</v>
      </c>
      <c r="AJ777" s="4" t="s">
        <v>6296</v>
      </c>
      <c r="AK777" s="4" t="s">
        <v>6296</v>
      </c>
      <c r="AL777" s="4" t="s">
        <v>6296</v>
      </c>
      <c r="AM777" s="4" t="s">
        <v>6296</v>
      </c>
      <c r="AN777" s="4" t="s">
        <v>6296</v>
      </c>
      <c r="AO777" s="4" t="s">
        <v>6296</v>
      </c>
      <c r="AP777" s="4" t="s">
        <v>1406</v>
      </c>
      <c r="AQ777" s="4" t="s">
        <v>47</v>
      </c>
    </row>
    <row r="778" spans="1:43" ht="12.6" customHeight="1" x14ac:dyDescent="0.25">
      <c r="A778" s="8" t="s">
        <v>5599</v>
      </c>
      <c r="B778" s="9">
        <v>20151231</v>
      </c>
      <c r="C778" s="12">
        <f>_xll.FDS("SPX","FG_PRICE(12/30/2015)")</f>
        <v>2063.36</v>
      </c>
      <c r="D778" s="12">
        <f>_xll.FDS("SPX","FG_PRICE(12/30/2017)")</f>
        <v>2673.61</v>
      </c>
      <c r="E778" s="15">
        <f>D778/C778-1</f>
        <v>0.2957554668114144</v>
      </c>
      <c r="F778" s="8" t="s">
        <v>5600</v>
      </c>
      <c r="G778" s="8" t="s">
        <v>5601</v>
      </c>
      <c r="H778" s="13">
        <f>_xll.FDS(G778,"FG_PRICE(12/30/2015)")</f>
        <v>94.75</v>
      </c>
      <c r="I778" s="13">
        <f>_xll.FDS(G778,"FG_PRICE(12/31/2017)")</f>
        <v>69.2</v>
      </c>
      <c r="J778" s="13">
        <f>I778/H778-1</f>
        <v>-0.26965699208443272</v>
      </c>
      <c r="K778" s="13">
        <f>J778-E778</f>
        <v>-0.56541245889584713</v>
      </c>
      <c r="L778" s="13">
        <f>_xll.FDS(G778,"FF_ROE(ANN_R,12/30/2015)")</f>
        <v>1.281382750096546</v>
      </c>
      <c r="M778" s="8" t="s">
        <v>5602</v>
      </c>
      <c r="N778" s="4" t="s">
        <v>5603</v>
      </c>
      <c r="O778" s="4" t="s">
        <v>5604</v>
      </c>
      <c r="P778" s="4" t="s">
        <v>96</v>
      </c>
      <c r="Q778" s="4" t="s">
        <v>65</v>
      </c>
      <c r="R778" s="4" t="s">
        <v>61</v>
      </c>
      <c r="S778" s="4" t="s">
        <v>62</v>
      </c>
      <c r="T778" s="6" t="e">
        <v>#N/A</v>
      </c>
      <c r="U778" s="5">
        <v>47</v>
      </c>
      <c r="V778" s="5">
        <v>47</v>
      </c>
      <c r="W778" s="5">
        <v>42</v>
      </c>
      <c r="X778" s="5">
        <v>55</v>
      </c>
      <c r="Y778" s="5">
        <v>18.23</v>
      </c>
      <c r="Z778" s="5">
        <v>53.04</v>
      </c>
      <c r="AA778" s="5">
        <v>13.26</v>
      </c>
      <c r="AB778" s="5">
        <v>17.13</v>
      </c>
      <c r="AC778" s="6">
        <v>0.3</v>
      </c>
      <c r="AD778" s="6">
        <v>0.45</v>
      </c>
      <c r="AE778" s="6">
        <v>0.25</v>
      </c>
      <c r="AF778" s="4" t="s">
        <v>6296</v>
      </c>
      <c r="AG778" s="4" t="s">
        <v>6296</v>
      </c>
      <c r="AH778" s="4" t="s">
        <v>6296</v>
      </c>
      <c r="AI778" s="4" t="s">
        <v>6296</v>
      </c>
      <c r="AJ778" s="4" t="s">
        <v>6296</v>
      </c>
      <c r="AK778" s="4" t="s">
        <v>6296</v>
      </c>
      <c r="AL778" s="4" t="s">
        <v>6296</v>
      </c>
      <c r="AM778" s="4" t="s">
        <v>6296</v>
      </c>
      <c r="AN778" s="4" t="s">
        <v>6296</v>
      </c>
      <c r="AO778" s="4" t="s">
        <v>6296</v>
      </c>
      <c r="AP778" s="4" t="s">
        <v>5605</v>
      </c>
      <c r="AQ778" s="4" t="s">
        <v>47</v>
      </c>
    </row>
    <row r="779" spans="1:43" ht="12.6" customHeight="1" x14ac:dyDescent="0.25">
      <c r="A779" s="8" t="s">
        <v>1389</v>
      </c>
      <c r="B779" s="9">
        <v>20151231</v>
      </c>
      <c r="C779" s="12">
        <f>_xll.FDS("SPX","FG_PRICE(12/30/2015)")</f>
        <v>2063.36</v>
      </c>
      <c r="D779" s="12">
        <f>_xll.FDS("SPX","FG_PRICE(12/30/2017)")</f>
        <v>2673.61</v>
      </c>
      <c r="E779" s="15">
        <f>D779/C779-1</f>
        <v>0.2957554668114144</v>
      </c>
      <c r="F779" s="8" t="s">
        <v>1390</v>
      </c>
      <c r="G779" s="8" t="s">
        <v>1391</v>
      </c>
      <c r="H779" s="13">
        <f>_xll.FDS(G779,"FG_PRICE(12/30/2015)")</f>
        <v>57.74</v>
      </c>
      <c r="I779" s="13">
        <f>_xll.FDS(G779,"FG_PRICE(12/31/2017)")</f>
        <v>62.07</v>
      </c>
      <c r="J779" s="13">
        <f>I779/H779-1</f>
        <v>7.499134049186007E-2</v>
      </c>
      <c r="K779" s="13">
        <f>J779-E779</f>
        <v>-0.22076412631955433</v>
      </c>
      <c r="L779" s="13">
        <f>_xll.FDS(G779,"FF_ROE(ANN_R,12/30/2015)")</f>
        <v>49.029005867283701</v>
      </c>
      <c r="M779" s="8" t="s">
        <v>1392</v>
      </c>
      <c r="N779" s="4" t="s">
        <v>1393</v>
      </c>
      <c r="O779" s="4" t="s">
        <v>1394</v>
      </c>
      <c r="P779" s="4" t="s">
        <v>96</v>
      </c>
      <c r="Q779" s="4" t="s">
        <v>65</v>
      </c>
      <c r="R779" s="4" t="s">
        <v>61</v>
      </c>
      <c r="S779" s="4" t="s">
        <v>62</v>
      </c>
      <c r="T779" s="6" t="e">
        <v>#N/A</v>
      </c>
      <c r="U779" s="5">
        <v>48</v>
      </c>
      <c r="V779" s="5">
        <v>41</v>
      </c>
      <c r="W779" s="5">
        <v>44</v>
      </c>
      <c r="X779" s="5">
        <v>66</v>
      </c>
      <c r="Y779" s="5">
        <v>23.2</v>
      </c>
      <c r="Z779" s="5">
        <v>29.83</v>
      </c>
      <c r="AA779" s="5">
        <v>21.55</v>
      </c>
      <c r="AB779" s="5">
        <v>62.43</v>
      </c>
      <c r="AC779" s="6">
        <v>0.3</v>
      </c>
      <c r="AD779" s="6">
        <v>0.45</v>
      </c>
      <c r="AE779" s="6">
        <v>0.25</v>
      </c>
      <c r="AF779" s="4" t="s">
        <v>6296</v>
      </c>
      <c r="AG779" s="4" t="s">
        <v>6296</v>
      </c>
      <c r="AH779" s="4" t="s">
        <v>6296</v>
      </c>
      <c r="AI779" s="4" t="s">
        <v>6296</v>
      </c>
      <c r="AJ779" s="4" t="s">
        <v>6296</v>
      </c>
      <c r="AK779" s="4" t="s">
        <v>6296</v>
      </c>
      <c r="AL779" s="4" t="s">
        <v>6296</v>
      </c>
      <c r="AM779" s="4" t="s">
        <v>6296</v>
      </c>
      <c r="AN779" s="4" t="s">
        <v>6296</v>
      </c>
      <c r="AO779" s="4" t="s">
        <v>6296</v>
      </c>
      <c r="AP779" s="4" t="s">
        <v>1395</v>
      </c>
      <c r="AQ779" s="4" t="s">
        <v>47</v>
      </c>
    </row>
    <row r="780" spans="1:43" ht="12.6" customHeight="1" x14ac:dyDescent="0.25">
      <c r="A780" s="8" t="s">
        <v>1133</v>
      </c>
      <c r="B780" s="9">
        <v>20151231</v>
      </c>
      <c r="C780" s="12">
        <f>_xll.FDS("SPX","FG_PRICE(12/30/2015)")</f>
        <v>2063.36</v>
      </c>
      <c r="D780" s="12">
        <f>_xll.FDS("SPX","FG_PRICE(12/30/2017)")</f>
        <v>2673.61</v>
      </c>
      <c r="E780" s="15">
        <f>D780/C780-1</f>
        <v>0.2957554668114144</v>
      </c>
      <c r="F780" s="8" t="s">
        <v>1134</v>
      </c>
      <c r="G780" s="8" t="s">
        <v>1135</v>
      </c>
      <c r="H780" s="13">
        <f>_xll.FDS(G780,"FG_PRICE(12/30/2015)")</f>
        <v>33.119999999999997</v>
      </c>
      <c r="I780" s="13">
        <f>_xll.FDS(G780,"FG_PRICE(12/31/2017)")</f>
        <v>94.9</v>
      </c>
      <c r="J780" s="13">
        <f>I780/H780-1</f>
        <v>1.8653381642512081</v>
      </c>
      <c r="K780" s="13">
        <f>J780-E780</f>
        <v>1.5695826974397937</v>
      </c>
      <c r="L780" s="13">
        <f>_xll.FDS(G780,"FF_ROE(ANN_R,12/30/2015)")</f>
        <v>-6.0437956204379564</v>
      </c>
      <c r="M780" s="8" t="s">
        <v>1136</v>
      </c>
      <c r="N780" s="4" t="s">
        <v>1137</v>
      </c>
      <c r="O780" s="4" t="s">
        <v>1138</v>
      </c>
      <c r="P780" s="4" t="s">
        <v>96</v>
      </c>
      <c r="Q780" s="4" t="s">
        <v>65</v>
      </c>
      <c r="R780" s="4" t="s">
        <v>61</v>
      </c>
      <c r="S780" s="4" t="s">
        <v>62</v>
      </c>
      <c r="T780" s="6" t="e">
        <v>#N/A</v>
      </c>
      <c r="U780" s="5">
        <v>61</v>
      </c>
      <c r="V780" s="5">
        <v>56</v>
      </c>
      <c r="W780" s="5">
        <v>62</v>
      </c>
      <c r="X780" s="5">
        <v>67</v>
      </c>
      <c r="Y780" s="5">
        <v>76.8</v>
      </c>
      <c r="Z780" s="5">
        <v>70.17</v>
      </c>
      <c r="AA780" s="5">
        <v>79.56</v>
      </c>
      <c r="AB780" s="5">
        <v>65.75</v>
      </c>
      <c r="AC780" s="6">
        <v>0.3</v>
      </c>
      <c r="AD780" s="6">
        <v>0.45</v>
      </c>
      <c r="AE780" s="6">
        <v>0.25</v>
      </c>
      <c r="AF780" s="4" t="s">
        <v>6296</v>
      </c>
      <c r="AG780" s="4" t="s">
        <v>6296</v>
      </c>
      <c r="AH780" s="4" t="s">
        <v>6296</v>
      </c>
      <c r="AI780" s="4" t="s">
        <v>42</v>
      </c>
      <c r="AJ780" s="4" t="s">
        <v>6296</v>
      </c>
      <c r="AK780" s="4" t="s">
        <v>6296</v>
      </c>
      <c r="AL780" s="4" t="s">
        <v>6296</v>
      </c>
      <c r="AM780" s="4" t="s">
        <v>37</v>
      </c>
      <c r="AN780" s="4" t="s">
        <v>6296</v>
      </c>
      <c r="AO780" s="4" t="s">
        <v>6296</v>
      </c>
      <c r="AP780" s="4" t="s">
        <v>1139</v>
      </c>
      <c r="AQ780" s="4" t="s">
        <v>47</v>
      </c>
    </row>
    <row r="781" spans="1:43" ht="12.6" customHeight="1" x14ac:dyDescent="0.25">
      <c r="A781" s="8" t="s">
        <v>1484</v>
      </c>
      <c r="B781" s="9">
        <v>20151231</v>
      </c>
      <c r="C781" s="12">
        <f>_xll.FDS("SPX","FG_PRICE(12/30/2015)")</f>
        <v>2063.36</v>
      </c>
      <c r="D781" s="12">
        <f>_xll.FDS("SPX","FG_PRICE(12/30/2017)")</f>
        <v>2673.61</v>
      </c>
      <c r="E781" s="15">
        <f>D781/C781-1</f>
        <v>0.2957554668114144</v>
      </c>
      <c r="F781" s="8" t="s">
        <v>1485</v>
      </c>
      <c r="G781" s="8" t="s">
        <v>1486</v>
      </c>
      <c r="H781" s="13">
        <f>_xll.FDS(G781,"FG_PRICE(12/30/2015)")</f>
        <v>69.650000000000006</v>
      </c>
      <c r="I781" s="13">
        <f>_xll.FDS(G781,"FG_PRICE(12/31/2017)")</f>
        <v>105.06</v>
      </c>
      <c r="J781" s="13">
        <f>I781/H781-1</f>
        <v>0.50839913854989227</v>
      </c>
      <c r="K781" s="13">
        <f>J781-E781</f>
        <v>0.21264367173847787</v>
      </c>
      <c r="L781" s="13">
        <f>_xll.FDS(G781,"FF_ROE(ANN_R,12/30/2015)")</f>
        <v>32.063026749725182</v>
      </c>
      <c r="M781" s="8" t="s">
        <v>1487</v>
      </c>
      <c r="N781" s="4" t="s">
        <v>1487</v>
      </c>
      <c r="O781" s="4" t="s">
        <v>1488</v>
      </c>
      <c r="P781" s="4" t="s">
        <v>106</v>
      </c>
      <c r="Q781" s="4" t="s">
        <v>65</v>
      </c>
      <c r="R781" s="4" t="s">
        <v>61</v>
      </c>
      <c r="S781" s="4" t="s">
        <v>62</v>
      </c>
      <c r="T781" s="6" t="e">
        <v>#N/A</v>
      </c>
      <c r="U781" s="5">
        <v>47</v>
      </c>
      <c r="V781" s="5">
        <v>40</v>
      </c>
      <c r="W781" s="5">
        <v>45</v>
      </c>
      <c r="X781" s="5">
        <v>60</v>
      </c>
      <c r="Y781" s="5">
        <v>18.23</v>
      </c>
      <c r="Z781" s="5">
        <v>14.92</v>
      </c>
      <c r="AA781" s="5">
        <v>25.97</v>
      </c>
      <c r="AB781" s="5">
        <v>33.700000000000003</v>
      </c>
      <c r="AC781" s="6">
        <v>0.3</v>
      </c>
      <c r="AD781" s="6">
        <v>0.45</v>
      </c>
      <c r="AE781" s="6">
        <v>0.25</v>
      </c>
      <c r="AF781" s="4" t="s">
        <v>6296</v>
      </c>
      <c r="AG781" s="4" t="s">
        <v>6296</v>
      </c>
      <c r="AH781" s="4" t="s">
        <v>6296</v>
      </c>
      <c r="AI781" s="4" t="s">
        <v>6296</v>
      </c>
      <c r="AJ781" s="4" t="s">
        <v>6296</v>
      </c>
      <c r="AK781" s="4" t="s">
        <v>42</v>
      </c>
      <c r="AL781" s="4" t="s">
        <v>6296</v>
      </c>
      <c r="AM781" s="4" t="s">
        <v>37</v>
      </c>
      <c r="AN781" s="4" t="s">
        <v>6296</v>
      </c>
      <c r="AO781" s="4" t="s">
        <v>6296</v>
      </c>
      <c r="AP781" s="4" t="s">
        <v>1489</v>
      </c>
      <c r="AQ781" s="4" t="s">
        <v>47</v>
      </c>
    </row>
    <row r="782" spans="1:43" ht="12.6" customHeight="1" x14ac:dyDescent="0.25">
      <c r="A782" s="8" t="s">
        <v>1420</v>
      </c>
      <c r="B782" s="9">
        <v>20151231</v>
      </c>
      <c r="C782" s="12">
        <f>_xll.FDS("SPX","FG_PRICE(12/30/2015)")</f>
        <v>2063.36</v>
      </c>
      <c r="D782" s="12">
        <f>_xll.FDS("SPX","FG_PRICE(12/30/2017)")</f>
        <v>2673.61</v>
      </c>
      <c r="E782" s="15">
        <f>D782/C782-1</f>
        <v>0.2957554668114144</v>
      </c>
      <c r="F782" s="8" t="s">
        <v>1421</v>
      </c>
      <c r="G782" s="8" t="s">
        <v>1422</v>
      </c>
      <c r="H782" s="13">
        <f>_xll.FDS(G782,"FG_PRICE(12/30/2015)")</f>
        <v>27.75</v>
      </c>
      <c r="I782" s="13">
        <f>_xll.FDS(G782,"FG_PRICE(12/31/2017)")</f>
        <v>37.74</v>
      </c>
      <c r="J782" s="13">
        <f>I782/H782-1</f>
        <v>0.3600000000000001</v>
      </c>
      <c r="K782" s="13">
        <f>J782-E782</f>
        <v>6.4244533188585695E-2</v>
      </c>
      <c r="L782" s="13">
        <f>_xll.FDS(G782,"FF_ROE(ANN_R,12/30/2015)")</f>
        <v>-3.972171836612862</v>
      </c>
      <c r="M782" s="8" t="s">
        <v>1423</v>
      </c>
      <c r="N782" s="4" t="s">
        <v>1424</v>
      </c>
      <c r="O782" s="4" t="s">
        <v>1425</v>
      </c>
      <c r="P782" s="4" t="s">
        <v>106</v>
      </c>
      <c r="Q782" s="4" t="s">
        <v>65</v>
      </c>
      <c r="R782" s="4" t="s">
        <v>61</v>
      </c>
      <c r="S782" s="4" t="s">
        <v>62</v>
      </c>
      <c r="T782" s="6" t="e">
        <v>#N/A</v>
      </c>
      <c r="U782" s="5">
        <v>64</v>
      </c>
      <c r="V782" s="5">
        <v>63</v>
      </c>
      <c r="W782" s="5">
        <v>63</v>
      </c>
      <c r="X782" s="5">
        <v>68</v>
      </c>
      <c r="Y782" s="5">
        <v>84.53</v>
      </c>
      <c r="Z782" s="5">
        <v>80.66</v>
      </c>
      <c r="AA782" s="5">
        <v>81.77</v>
      </c>
      <c r="AB782" s="5">
        <v>69.61</v>
      </c>
      <c r="AC782" s="6">
        <v>0.3</v>
      </c>
      <c r="AD782" s="6">
        <v>0.45</v>
      </c>
      <c r="AE782" s="6">
        <v>0.25</v>
      </c>
      <c r="AF782" s="4" t="s">
        <v>6296</v>
      </c>
      <c r="AG782" s="4" t="s">
        <v>6296</v>
      </c>
      <c r="AH782" s="4" t="s">
        <v>6296</v>
      </c>
      <c r="AI782" s="4" t="s">
        <v>6296</v>
      </c>
      <c r="AJ782" s="4" t="s">
        <v>6296</v>
      </c>
      <c r="AK782" s="4" t="s">
        <v>37</v>
      </c>
      <c r="AL782" s="4" t="s">
        <v>42</v>
      </c>
      <c r="AM782" s="4" t="s">
        <v>42</v>
      </c>
      <c r="AN782" s="4" t="s">
        <v>42</v>
      </c>
      <c r="AO782" s="4" t="s">
        <v>6296</v>
      </c>
      <c r="AP782" s="4" t="s">
        <v>1426</v>
      </c>
      <c r="AQ782" s="4" t="s">
        <v>47</v>
      </c>
    </row>
    <row r="783" spans="1:43" ht="12.6" customHeight="1" x14ac:dyDescent="0.25">
      <c r="A783" s="8" t="s">
        <v>6073</v>
      </c>
      <c r="B783" s="9">
        <v>20151231</v>
      </c>
      <c r="C783" s="12">
        <f>_xll.FDS("SPX","FG_PRICE(12/30/2015)")</f>
        <v>2063.36</v>
      </c>
      <c r="D783" s="12">
        <f>_xll.FDS("SPX","FG_PRICE(12/30/2017)")</f>
        <v>2673.61</v>
      </c>
      <c r="E783" s="15">
        <f>D783/C783-1</f>
        <v>0.2957554668114144</v>
      </c>
      <c r="F783" s="8" t="s">
        <v>6074</v>
      </c>
      <c r="G783" s="8" t="s">
        <v>6075</v>
      </c>
      <c r="H783" s="13">
        <f>_xll.FDS(G783,"FG_PRICE(12/30/2015)")</f>
        <v>302.69</v>
      </c>
      <c r="I783" s="13">
        <f>_xll.FDS(G783,"FG_PRICE(12/31/2017)")</f>
        <v>453.22</v>
      </c>
      <c r="J783" s="13">
        <f>I783/H783-1</f>
        <v>0.49730747629588046</v>
      </c>
      <c r="K783" s="13">
        <f>J783-E783</f>
        <v>0.20155200948446605</v>
      </c>
      <c r="L783" s="13">
        <f>_xll.FDS(G783,"FF_ROE(ANN_R,12/30/2015)")</f>
        <v>-10.97637124288595</v>
      </c>
      <c r="M783" s="8" t="s">
        <v>6076</v>
      </c>
      <c r="N783" s="4" t="s">
        <v>6077</v>
      </c>
      <c r="O783" s="4" t="s">
        <v>6078</v>
      </c>
      <c r="P783" s="4" t="s">
        <v>106</v>
      </c>
      <c r="Q783" s="4" t="s">
        <v>65</v>
      </c>
      <c r="R783" s="4" t="s">
        <v>61</v>
      </c>
      <c r="S783" s="4" t="s">
        <v>62</v>
      </c>
      <c r="T783" s="6" t="e">
        <v>#N/A</v>
      </c>
      <c r="U783" s="5">
        <v>53</v>
      </c>
      <c r="V783" s="5">
        <v>54</v>
      </c>
      <c r="W783" s="5">
        <v>52</v>
      </c>
      <c r="X783" s="5">
        <v>57</v>
      </c>
      <c r="Y783" s="5">
        <v>48.62</v>
      </c>
      <c r="Z783" s="5">
        <v>68.510000000000005</v>
      </c>
      <c r="AA783" s="5">
        <v>57.46</v>
      </c>
      <c r="AB783" s="5">
        <v>23.2</v>
      </c>
      <c r="AC783" s="6">
        <v>0.3</v>
      </c>
      <c r="AD783" s="6">
        <v>0.45</v>
      </c>
      <c r="AE783" s="6">
        <v>0.25</v>
      </c>
      <c r="AF783" s="4" t="s">
        <v>6296</v>
      </c>
      <c r="AG783" s="4" t="s">
        <v>6296</v>
      </c>
      <c r="AH783" s="4" t="s">
        <v>6296</v>
      </c>
      <c r="AI783" s="4" t="s">
        <v>6296</v>
      </c>
      <c r="AJ783" s="4" t="s">
        <v>6296</v>
      </c>
      <c r="AK783" s="4" t="s">
        <v>6296</v>
      </c>
      <c r="AL783" s="4" t="s">
        <v>6296</v>
      </c>
      <c r="AM783" s="4" t="s">
        <v>6296</v>
      </c>
      <c r="AN783" s="4" t="s">
        <v>6296</v>
      </c>
      <c r="AO783" s="4" t="s">
        <v>6296</v>
      </c>
      <c r="AP783" s="4" t="s">
        <v>6079</v>
      </c>
      <c r="AQ783" s="4" t="s">
        <v>47</v>
      </c>
    </row>
    <row r="784" spans="1:43" ht="12.6" customHeight="1" x14ac:dyDescent="0.25">
      <c r="A784" s="8" t="s">
        <v>5517</v>
      </c>
      <c r="B784" s="9">
        <v>20151231</v>
      </c>
      <c r="C784" s="12">
        <f>_xll.FDS("SPX","FG_PRICE(12/30/2015)")</f>
        <v>2063.36</v>
      </c>
      <c r="D784" s="12">
        <f>_xll.FDS("SPX","FG_PRICE(12/30/2017)")</f>
        <v>2673.61</v>
      </c>
      <c r="E784" s="15">
        <f>D784/C784-1</f>
        <v>0.2957554668114144</v>
      </c>
      <c r="F784" s="8" t="s">
        <v>5518</v>
      </c>
      <c r="G784" s="8" t="s">
        <v>5519</v>
      </c>
      <c r="H784" s="13">
        <f>_xll.FDS(G784,"FG_PRICE(12/30/2015)")</f>
        <v>106.22</v>
      </c>
      <c r="I784" s="13">
        <f>_xll.FDS(G784,"FG_PRICE(12/31/2017)")</f>
        <v>176.46</v>
      </c>
      <c r="J784" s="13">
        <f>I784/H784-1</f>
        <v>0.66126906420636433</v>
      </c>
      <c r="K784" s="13">
        <f>J784-E784</f>
        <v>0.36551359739494993</v>
      </c>
      <c r="L784" s="13">
        <f>_xll.FDS(G784,"FF_ROE(ANN_R,12/30/2015)")</f>
        <v>11.344684482023039</v>
      </c>
      <c r="M784" s="8" t="s">
        <v>5520</v>
      </c>
      <c r="N784" s="4" t="s">
        <v>5521</v>
      </c>
      <c r="O784" s="4" t="s">
        <v>5522</v>
      </c>
      <c r="P784" s="4" t="s">
        <v>106</v>
      </c>
      <c r="Q784" s="4" t="s">
        <v>65</v>
      </c>
      <c r="R784" s="4" t="s">
        <v>61</v>
      </c>
      <c r="S784" s="4" t="s">
        <v>62</v>
      </c>
      <c r="T784" s="6" t="e">
        <v>#N/A</v>
      </c>
      <c r="U784" s="5">
        <v>46</v>
      </c>
      <c r="V784" s="5">
        <v>53</v>
      </c>
      <c r="W784" s="5">
        <v>39</v>
      </c>
      <c r="X784" s="5">
        <v>51</v>
      </c>
      <c r="Y784" s="5">
        <v>15.47</v>
      </c>
      <c r="Z784" s="5">
        <v>66.849999999999994</v>
      </c>
      <c r="AA784" s="6">
        <v>2.76</v>
      </c>
      <c r="AB784" s="6">
        <v>9.39</v>
      </c>
      <c r="AC784" s="6">
        <v>0.3</v>
      </c>
      <c r="AD784" s="6">
        <v>0.45</v>
      </c>
      <c r="AE784" s="6">
        <v>0.25</v>
      </c>
      <c r="AF784" s="4" t="s">
        <v>6296</v>
      </c>
      <c r="AG784" s="4" t="s">
        <v>6296</v>
      </c>
      <c r="AH784" s="4" t="s">
        <v>6296</v>
      </c>
      <c r="AI784" s="4" t="s">
        <v>42</v>
      </c>
      <c r="AJ784" s="4" t="s">
        <v>6296</v>
      </c>
      <c r="AK784" s="4" t="s">
        <v>46</v>
      </c>
      <c r="AL784" s="4" t="s">
        <v>6296</v>
      </c>
      <c r="AM784" s="4" t="s">
        <v>46</v>
      </c>
      <c r="AN784" s="4" t="s">
        <v>6296</v>
      </c>
      <c r="AO784" s="4" t="s">
        <v>6296</v>
      </c>
      <c r="AP784" s="4" t="s">
        <v>5523</v>
      </c>
      <c r="AQ784" s="4" t="s">
        <v>47</v>
      </c>
    </row>
    <row r="785" spans="1:43" ht="12.6" customHeight="1" x14ac:dyDescent="0.25">
      <c r="A785" s="8" t="s">
        <v>1587</v>
      </c>
      <c r="B785" s="9">
        <v>20151231</v>
      </c>
      <c r="C785" s="12">
        <f>_xll.FDS("SPX","FG_PRICE(12/30/2015)")</f>
        <v>2063.36</v>
      </c>
      <c r="D785" s="12">
        <f>_xll.FDS("SPX","FG_PRICE(12/30/2017)")</f>
        <v>2673.61</v>
      </c>
      <c r="E785" s="15">
        <f>D785/C785-1</f>
        <v>0.2957554668114144</v>
      </c>
      <c r="F785" s="8" t="s">
        <v>1588</v>
      </c>
      <c r="G785" s="8" t="s">
        <v>1589</v>
      </c>
      <c r="H785" s="13">
        <f>_xll.FDS(G785,"FG_PRICE(12/30/2015)")</f>
        <v>162.49</v>
      </c>
      <c r="I785" s="13">
        <f>_xll.FDS(G785,"FG_PRICE(12/31/2017)")</f>
        <v>192.76</v>
      </c>
      <c r="J785" s="13">
        <f>I785/H785-1</f>
        <v>0.18628838697766015</v>
      </c>
      <c r="K785" s="13">
        <f>J785-E785</f>
        <v>-0.10946707983375425</v>
      </c>
      <c r="L785" s="13">
        <f>_xll.FDS(G785,"FF_ROE(ANN_R,12/30/2015)")</f>
        <v>46.237433655648118</v>
      </c>
      <c r="M785" s="8" t="s">
        <v>1590</v>
      </c>
      <c r="N785" s="4" t="s">
        <v>1590</v>
      </c>
      <c r="O785" s="4" t="s">
        <v>1591</v>
      </c>
      <c r="P785" s="4" t="s">
        <v>96</v>
      </c>
      <c r="Q785" s="4" t="s">
        <v>65</v>
      </c>
      <c r="R785" s="4" t="s">
        <v>61</v>
      </c>
      <c r="S785" s="4" t="s">
        <v>62</v>
      </c>
      <c r="T785" s="6" t="e">
        <v>#N/A</v>
      </c>
      <c r="U785" s="5">
        <v>47</v>
      </c>
      <c r="V785" s="5">
        <v>37</v>
      </c>
      <c r="W785" s="5">
        <v>45</v>
      </c>
      <c r="X785" s="5">
        <v>64</v>
      </c>
      <c r="Y785" s="5">
        <v>18.23</v>
      </c>
      <c r="Z785" s="6">
        <v>1.1000000000000001</v>
      </c>
      <c r="AA785" s="5">
        <v>25.97</v>
      </c>
      <c r="AB785" s="5">
        <v>48.07</v>
      </c>
      <c r="AC785" s="6">
        <v>0.3</v>
      </c>
      <c r="AD785" s="6">
        <v>0.45</v>
      </c>
      <c r="AE785" s="6">
        <v>0.25</v>
      </c>
      <c r="AF785" s="4" t="s">
        <v>6296</v>
      </c>
      <c r="AG785" s="4" t="s">
        <v>6296</v>
      </c>
      <c r="AH785" s="4" t="s">
        <v>6296</v>
      </c>
      <c r="AI785" s="4" t="s">
        <v>6296</v>
      </c>
      <c r="AJ785" s="4" t="s">
        <v>6296</v>
      </c>
      <c r="AK785" s="4" t="s">
        <v>6296</v>
      </c>
      <c r="AL785" s="4" t="s">
        <v>6296</v>
      </c>
      <c r="AM785" s="4" t="s">
        <v>6296</v>
      </c>
      <c r="AN785" s="4" t="s">
        <v>6296</v>
      </c>
      <c r="AO785" s="4" t="s">
        <v>6296</v>
      </c>
      <c r="AP785" s="4" t="s">
        <v>1592</v>
      </c>
      <c r="AQ785" s="4" t="s">
        <v>47</v>
      </c>
    </row>
    <row r="786" spans="1:43" ht="12.6" customHeight="1" x14ac:dyDescent="0.25">
      <c r="A786" s="8" t="s">
        <v>5742</v>
      </c>
      <c r="B786" s="9">
        <v>20151231</v>
      </c>
      <c r="C786" s="12">
        <f>_xll.FDS("SPX","FG_PRICE(12/30/2015)")</f>
        <v>2063.36</v>
      </c>
      <c r="D786" s="12">
        <f>_xll.FDS("SPX","FG_PRICE(12/30/2017)")</f>
        <v>2673.61</v>
      </c>
      <c r="E786" s="15">
        <f>D786/C786-1</f>
        <v>0.2957554668114144</v>
      </c>
      <c r="F786" s="8" t="s">
        <v>5743</v>
      </c>
      <c r="G786" s="8" t="s">
        <v>5744</v>
      </c>
      <c r="H786" s="13">
        <f>_xll.FDS(G786,"FG_PRICE(12/30/2015)")</f>
        <v>20.97</v>
      </c>
      <c r="I786" s="13">
        <f>_xll.FDS(G786,"FG_PRICE(12/31/2017)")</f>
        <v>14.2</v>
      </c>
      <c r="J786" s="13">
        <f>I786/H786-1</f>
        <v>-0.32284215546018125</v>
      </c>
      <c r="K786" s="13">
        <f>J786-E786</f>
        <v>-0.61859762227159565</v>
      </c>
      <c r="L786" s="13">
        <f>_xll.FDS(G786,"FF_ROE(ANN_R,12/30/2015)")</f>
        <v>-38.608396079915437</v>
      </c>
      <c r="M786" s="8" t="s">
        <v>5745</v>
      </c>
      <c r="N786" s="4" t="s">
        <v>5746</v>
      </c>
      <c r="O786" s="4" t="s">
        <v>5747</v>
      </c>
      <c r="P786" s="4" t="s">
        <v>106</v>
      </c>
      <c r="Q786" s="4" t="s">
        <v>65</v>
      </c>
      <c r="R786" s="4" t="s">
        <v>61</v>
      </c>
      <c r="S786" s="4" t="s">
        <v>62</v>
      </c>
      <c r="T786" s="6" t="e">
        <v>#N/A</v>
      </c>
      <c r="U786" s="5">
        <v>44</v>
      </c>
      <c r="V786" s="5">
        <v>40</v>
      </c>
      <c r="W786" s="5">
        <v>40</v>
      </c>
      <c r="X786" s="5">
        <v>57</v>
      </c>
      <c r="Y786" s="6">
        <v>6.63</v>
      </c>
      <c r="Z786" s="5">
        <v>14.92</v>
      </c>
      <c r="AA786" s="6">
        <v>7.18</v>
      </c>
      <c r="AB786" s="5">
        <v>23.2</v>
      </c>
      <c r="AC786" s="6">
        <v>0.3</v>
      </c>
      <c r="AD786" s="6">
        <v>0.45</v>
      </c>
      <c r="AE786" s="6">
        <v>0.25</v>
      </c>
      <c r="AF786" s="4" t="s">
        <v>6296</v>
      </c>
      <c r="AG786" s="4" t="s">
        <v>6296</v>
      </c>
      <c r="AH786" s="4" t="s">
        <v>6296</v>
      </c>
      <c r="AI786" s="4" t="s">
        <v>6296</v>
      </c>
      <c r="AJ786" s="4" t="s">
        <v>6296</v>
      </c>
      <c r="AK786" s="4" t="s">
        <v>6296</v>
      </c>
      <c r="AL786" s="4" t="s">
        <v>6296</v>
      </c>
      <c r="AM786" s="4" t="s">
        <v>6296</v>
      </c>
      <c r="AN786" s="4" t="s">
        <v>42</v>
      </c>
      <c r="AO786" s="4" t="s">
        <v>6296</v>
      </c>
      <c r="AP786" s="4" t="s">
        <v>5748</v>
      </c>
      <c r="AQ786" s="4" t="s">
        <v>47</v>
      </c>
    </row>
    <row r="787" spans="1:43" ht="12.6" customHeight="1" x14ac:dyDescent="0.25">
      <c r="A787" s="8" t="s">
        <v>3534</v>
      </c>
      <c r="B787" s="9">
        <v>20151231</v>
      </c>
      <c r="C787" s="12">
        <f>_xll.FDS("SPX","FG_PRICE(12/30/2015)")</f>
        <v>2063.36</v>
      </c>
      <c r="D787" s="12">
        <f>_xll.FDS("SPX","FG_PRICE(12/30/2017)")</f>
        <v>2673.61</v>
      </c>
      <c r="E787" s="15">
        <f>D787/C787-1</f>
        <v>0.2957554668114144</v>
      </c>
      <c r="F787" s="8" t="s">
        <v>3535</v>
      </c>
      <c r="G787" s="8" t="s">
        <v>3536</v>
      </c>
      <c r="H787" s="13">
        <f>_xll.FDS(G787,"FG_PRICE(12/30/2015)")</f>
        <v>60.99</v>
      </c>
      <c r="I787" s="13">
        <f>_xll.FDS(G787,"FG_PRICE(12/31/2017)")</f>
        <v>94.09</v>
      </c>
      <c r="J787" s="13">
        <f>I787/H787-1</f>
        <v>0.54271191998688306</v>
      </c>
      <c r="K787" s="13">
        <f>J787-E787</f>
        <v>0.24695645317546866</v>
      </c>
      <c r="L787" s="13">
        <f>_xll.FDS(G787,"FF_ROE(ANN_R,12/30/2015)")</f>
        <v>10.512133483542909</v>
      </c>
      <c r="M787" s="8" t="s">
        <v>3537</v>
      </c>
      <c r="N787" s="4" t="s">
        <v>3538</v>
      </c>
      <c r="O787" s="4" t="s">
        <v>3539</v>
      </c>
      <c r="P787" s="4" t="s">
        <v>96</v>
      </c>
      <c r="Q787" s="4" t="s">
        <v>65</v>
      </c>
      <c r="R787" s="4" t="s">
        <v>61</v>
      </c>
      <c r="S787" s="4" t="s">
        <v>62</v>
      </c>
      <c r="T787" s="6" t="e">
        <v>#N/A</v>
      </c>
      <c r="U787" s="5">
        <v>48</v>
      </c>
      <c r="V787" s="5">
        <v>42</v>
      </c>
      <c r="W787" s="5">
        <v>44</v>
      </c>
      <c r="X787" s="5">
        <v>64</v>
      </c>
      <c r="Y787" s="5">
        <v>23.2</v>
      </c>
      <c r="Z787" s="5">
        <v>33.15</v>
      </c>
      <c r="AA787" s="5">
        <v>21.55</v>
      </c>
      <c r="AB787" s="5">
        <v>48.07</v>
      </c>
      <c r="AC787" s="6">
        <v>0.3</v>
      </c>
      <c r="AD787" s="6">
        <v>0.45</v>
      </c>
      <c r="AE787" s="6">
        <v>0.25</v>
      </c>
      <c r="AF787" s="4" t="s">
        <v>6296</v>
      </c>
      <c r="AG787" s="4" t="s">
        <v>6296</v>
      </c>
      <c r="AH787" s="4" t="s">
        <v>6296</v>
      </c>
      <c r="AI787" s="4" t="s">
        <v>6296</v>
      </c>
      <c r="AJ787" s="4" t="s">
        <v>6296</v>
      </c>
      <c r="AK787" s="4" t="s">
        <v>6296</v>
      </c>
      <c r="AL787" s="4" t="s">
        <v>6296</v>
      </c>
      <c r="AM787" s="4" t="s">
        <v>42</v>
      </c>
      <c r="AN787" s="4" t="s">
        <v>6296</v>
      </c>
      <c r="AO787" s="4" t="s">
        <v>6296</v>
      </c>
      <c r="AP787" s="4" t="s">
        <v>3540</v>
      </c>
      <c r="AQ787" s="4" t="s">
        <v>47</v>
      </c>
    </row>
    <row r="788" spans="1:43" ht="12.6" customHeight="1" x14ac:dyDescent="0.25">
      <c r="A788" s="8" t="s">
        <v>1643</v>
      </c>
      <c r="B788" s="9">
        <v>20151231</v>
      </c>
      <c r="C788" s="12">
        <f>_xll.FDS("SPX","FG_PRICE(12/30/2015)")</f>
        <v>2063.36</v>
      </c>
      <c r="D788" s="12">
        <f>_xll.FDS("SPX","FG_PRICE(12/30/2017)")</f>
        <v>2673.61</v>
      </c>
      <c r="E788" s="15">
        <f>D788/C788-1</f>
        <v>0.2957554668114144</v>
      </c>
      <c r="F788" s="8" t="s">
        <v>1644</v>
      </c>
      <c r="G788" s="8" t="s">
        <v>1645</v>
      </c>
      <c r="H788" s="13">
        <f>_xll.FDS(G788,"FG_PRICE(12/30/2015)")</f>
        <v>46.48</v>
      </c>
      <c r="I788" s="13">
        <f>_xll.FDS(G788,"FG_PRICE(12/31/2017)")</f>
        <v>65.564999999999998</v>
      </c>
      <c r="J788" s="13">
        <f>I788/H788-1</f>
        <v>0.41060671256454384</v>
      </c>
      <c r="K788" s="13">
        <f>J788-E788</f>
        <v>0.11485124575312944</v>
      </c>
      <c r="L788" s="13">
        <f>_xll.FDS(G788,"FF_ROE(ANN_R,12/30/2015)")</f>
        <v>21.918604651162791</v>
      </c>
      <c r="M788" s="8" t="s">
        <v>1646</v>
      </c>
      <c r="N788" s="4" t="s">
        <v>1647</v>
      </c>
      <c r="O788" s="4" t="s">
        <v>1648</v>
      </c>
      <c r="P788" s="4" t="s">
        <v>106</v>
      </c>
      <c r="Q788" s="4" t="s">
        <v>65</v>
      </c>
      <c r="R788" s="4" t="s">
        <v>61</v>
      </c>
      <c r="S788" s="4" t="s">
        <v>62</v>
      </c>
      <c r="T788" s="6" t="e">
        <v>#N/A</v>
      </c>
      <c r="U788" s="5">
        <v>49</v>
      </c>
      <c r="V788" s="5">
        <v>42</v>
      </c>
      <c r="W788" s="5">
        <v>45</v>
      </c>
      <c r="X788" s="5">
        <v>65</v>
      </c>
      <c r="Y788" s="5">
        <v>32.04</v>
      </c>
      <c r="Z788" s="5">
        <v>33.15</v>
      </c>
      <c r="AA788" s="5">
        <v>25.97</v>
      </c>
      <c r="AB788" s="5">
        <v>54.14</v>
      </c>
      <c r="AC788" s="6">
        <v>0.3</v>
      </c>
      <c r="AD788" s="6">
        <v>0.45</v>
      </c>
      <c r="AE788" s="6">
        <v>0.25</v>
      </c>
      <c r="AF788" s="4" t="s">
        <v>6296</v>
      </c>
      <c r="AG788" s="4" t="s">
        <v>6296</v>
      </c>
      <c r="AH788" s="4" t="s">
        <v>6296</v>
      </c>
      <c r="AI788" s="4" t="s">
        <v>6296</v>
      </c>
      <c r="AJ788" s="4" t="s">
        <v>6296</v>
      </c>
      <c r="AK788" s="4" t="s">
        <v>6296</v>
      </c>
      <c r="AL788" s="4" t="s">
        <v>6296</v>
      </c>
      <c r="AM788" s="4" t="s">
        <v>6296</v>
      </c>
      <c r="AN788" s="4" t="s">
        <v>6296</v>
      </c>
      <c r="AO788" s="4" t="s">
        <v>6296</v>
      </c>
      <c r="AP788" s="4" t="s">
        <v>1649</v>
      </c>
      <c r="AQ788" s="4" t="s">
        <v>47</v>
      </c>
    </row>
    <row r="789" spans="1:43" ht="12.6" customHeight="1" x14ac:dyDescent="0.25">
      <c r="A789" s="8" t="s">
        <v>5215</v>
      </c>
      <c r="B789" s="9">
        <v>20151231</v>
      </c>
      <c r="C789" s="12">
        <f>_xll.FDS("SPX","FG_PRICE(12/30/2015)")</f>
        <v>2063.36</v>
      </c>
      <c r="D789" s="12">
        <f>_xll.FDS("SPX","FG_PRICE(12/30/2017)")</f>
        <v>2673.61</v>
      </c>
      <c r="E789" s="15">
        <f>D789/C789-1</f>
        <v>0.2957554668114144</v>
      </c>
      <c r="F789" s="8" t="s">
        <v>5216</v>
      </c>
      <c r="G789" s="8" t="s">
        <v>5217</v>
      </c>
      <c r="H789" s="13">
        <f>_xll.FDS(G789,"FG_PRICE(12/30/2015)")</f>
        <v>143.12</v>
      </c>
      <c r="I789" s="13">
        <f>_xll.FDS(G789,"FG_PRICE(12/31/2017)")</f>
        <v>192.43</v>
      </c>
      <c r="J789" s="13">
        <f>I789/H789-1</f>
        <v>0.34453605366126339</v>
      </c>
      <c r="K789" s="13">
        <f>J789-E789</f>
        <v>4.8780586849848984E-2</v>
      </c>
      <c r="L789" s="13">
        <f>_xll.FDS(G789,"FF_ROE(ANN_R,12/30/2015)")</f>
        <v>18.449048418450701</v>
      </c>
      <c r="M789" s="8" t="s">
        <v>5218</v>
      </c>
      <c r="N789" s="4" t="s">
        <v>5219</v>
      </c>
      <c r="O789" s="4" t="s">
        <v>4522</v>
      </c>
      <c r="P789" s="4" t="s">
        <v>96</v>
      </c>
      <c r="Q789" s="4" t="s">
        <v>65</v>
      </c>
      <c r="R789" s="4" t="s">
        <v>61</v>
      </c>
      <c r="S789" s="4" t="s">
        <v>62</v>
      </c>
      <c r="T789" s="6" t="e">
        <v>#N/A</v>
      </c>
      <c r="U789" s="5">
        <v>45</v>
      </c>
      <c r="V789" s="5">
        <v>40</v>
      </c>
      <c r="W789" s="5">
        <v>40</v>
      </c>
      <c r="X789" s="5">
        <v>61</v>
      </c>
      <c r="Y789" s="5">
        <v>11.05</v>
      </c>
      <c r="Z789" s="5">
        <v>14.92</v>
      </c>
      <c r="AA789" s="6">
        <v>7.18</v>
      </c>
      <c r="AB789" s="5">
        <v>35.909999999999997</v>
      </c>
      <c r="AC789" s="6">
        <v>0.3</v>
      </c>
      <c r="AD789" s="6">
        <v>0.45</v>
      </c>
      <c r="AE789" s="6">
        <v>0.25</v>
      </c>
      <c r="AF789" s="4" t="s">
        <v>6296</v>
      </c>
      <c r="AG789" s="4" t="s">
        <v>6296</v>
      </c>
      <c r="AH789" s="4" t="s">
        <v>6296</v>
      </c>
      <c r="AI789" s="4" t="s">
        <v>6296</v>
      </c>
      <c r="AJ789" s="4" t="s">
        <v>6296</v>
      </c>
      <c r="AK789" s="4" t="s">
        <v>6296</v>
      </c>
      <c r="AL789" s="4" t="s">
        <v>6296</v>
      </c>
      <c r="AM789" s="4" t="s">
        <v>6296</v>
      </c>
      <c r="AN789" s="4" t="s">
        <v>6296</v>
      </c>
      <c r="AO789" s="4" t="s">
        <v>6296</v>
      </c>
      <c r="AP789" s="4" t="s">
        <v>5220</v>
      </c>
      <c r="AQ789" s="4" t="s">
        <v>47</v>
      </c>
    </row>
    <row r="790" spans="1:43" ht="12.6" customHeight="1" x14ac:dyDescent="0.25">
      <c r="A790" s="8" t="s">
        <v>5294</v>
      </c>
      <c r="B790" s="9">
        <v>20151231</v>
      </c>
      <c r="C790" s="12">
        <f>_xll.FDS("SPX","FG_PRICE(12/30/2015)")</f>
        <v>2063.36</v>
      </c>
      <c r="D790" s="12">
        <f>_xll.FDS("SPX","FG_PRICE(12/30/2017)")</f>
        <v>2673.61</v>
      </c>
      <c r="E790" s="15">
        <f>D790/C790-1</f>
        <v>0.2957554668114144</v>
      </c>
      <c r="F790" s="8" t="s">
        <v>5295</v>
      </c>
      <c r="G790" s="8" t="s">
        <v>5296</v>
      </c>
      <c r="H790" s="13">
        <f>_xll.FDS(G790,"FG_PRICE(12/30/2015)")</f>
        <v>31.45</v>
      </c>
      <c r="I790" s="13">
        <f>_xll.FDS(G790,"FG_PRICE(12/31/2017)")</f>
        <v>43.69</v>
      </c>
      <c r="J790" s="13">
        <f>I790/H790-1</f>
        <v>0.38918918918918921</v>
      </c>
      <c r="K790" s="13">
        <f>J790-E790</f>
        <v>9.3433722377774808E-2</v>
      </c>
      <c r="L790" s="13">
        <f>_xll.FDS(G790,"FF_ROE(ANN_R,12/30/2015)")</f>
        <v>4.017195492523733</v>
      </c>
      <c r="M790" s="8" t="s">
        <v>5297</v>
      </c>
      <c r="N790" s="4" t="s">
        <v>5298</v>
      </c>
      <c r="O790" s="4" t="s">
        <v>5299</v>
      </c>
      <c r="P790" s="4" t="s">
        <v>106</v>
      </c>
      <c r="Q790" s="4" t="s">
        <v>65</v>
      </c>
      <c r="R790" s="4" t="s">
        <v>61</v>
      </c>
      <c r="S790" s="4" t="s">
        <v>62</v>
      </c>
      <c r="T790" s="6" t="e">
        <v>#N/A</v>
      </c>
      <c r="U790" s="5">
        <v>48</v>
      </c>
      <c r="V790" s="5">
        <v>39</v>
      </c>
      <c r="W790" s="5">
        <v>46</v>
      </c>
      <c r="X790" s="5">
        <v>64</v>
      </c>
      <c r="Y790" s="5">
        <v>23.2</v>
      </c>
      <c r="Z790" s="5">
        <v>11.6</v>
      </c>
      <c r="AA790" s="5">
        <v>31.49</v>
      </c>
      <c r="AB790" s="5">
        <v>48.07</v>
      </c>
      <c r="AC790" s="6">
        <v>0.3</v>
      </c>
      <c r="AD790" s="6">
        <v>0.45</v>
      </c>
      <c r="AE790" s="6">
        <v>0.25</v>
      </c>
      <c r="AF790" s="4" t="s">
        <v>6296</v>
      </c>
      <c r="AG790" s="4" t="s">
        <v>6296</v>
      </c>
      <c r="AH790" s="4" t="s">
        <v>6296</v>
      </c>
      <c r="AI790" s="4" t="s">
        <v>6296</v>
      </c>
      <c r="AJ790" s="4" t="s">
        <v>6296</v>
      </c>
      <c r="AK790" s="4" t="s">
        <v>6296</v>
      </c>
      <c r="AL790" s="4" t="s">
        <v>6296</v>
      </c>
      <c r="AM790" s="4" t="s">
        <v>6296</v>
      </c>
      <c r="AN790" s="4" t="s">
        <v>6296</v>
      </c>
      <c r="AO790" s="4" t="s">
        <v>6296</v>
      </c>
      <c r="AP790" s="4" t="s">
        <v>5300</v>
      </c>
      <c r="AQ790" s="4" t="s">
        <v>47</v>
      </c>
    </row>
    <row r="791" spans="1:43" ht="12.6" customHeight="1" x14ac:dyDescent="0.25">
      <c r="A791" s="8" t="s">
        <v>6185</v>
      </c>
      <c r="B791" s="9">
        <v>20151231</v>
      </c>
      <c r="C791" s="12">
        <f>_xll.FDS("SPX","FG_PRICE(12/30/2015)")</f>
        <v>2063.36</v>
      </c>
      <c r="D791" s="12">
        <f>_xll.FDS("SPX","FG_PRICE(12/30/2017)")</f>
        <v>2673.61</v>
      </c>
      <c r="E791" s="15">
        <f>D791/C791-1</f>
        <v>0.2957554668114144</v>
      </c>
      <c r="F791" s="8" t="s">
        <v>6186</v>
      </c>
      <c r="G791" s="8" t="s">
        <v>6187</v>
      </c>
      <c r="H791" s="13">
        <f>_xll.FDS(G791,"FG_PRICE(12/30/2015)")</f>
        <v>790.3</v>
      </c>
      <c r="I791" s="13">
        <f>_xll.FDS(G791,"FG_PRICE(12/31/2017)")</f>
        <v>1053.4000000000001</v>
      </c>
      <c r="J791" s="13">
        <f>I791/H791-1</f>
        <v>0.33291155257497174</v>
      </c>
      <c r="K791" s="13">
        <f>J791-E791</f>
        <v>3.7156085763557334E-2</v>
      </c>
      <c r="L791" s="13">
        <f>_xll.FDS(G791,"FF_ROE(ANN_R,12/30/2015)")</f>
        <v>14.24917219842129</v>
      </c>
      <c r="M791" s="8" t="s">
        <v>6188</v>
      </c>
      <c r="N791" s="4" t="s">
        <v>6189</v>
      </c>
      <c r="O791" s="4" t="s">
        <v>6190</v>
      </c>
      <c r="P791" s="4" t="s">
        <v>106</v>
      </c>
      <c r="Q791" s="4" t="s">
        <v>65</v>
      </c>
      <c r="R791" s="4" t="s">
        <v>61</v>
      </c>
      <c r="S791" s="4" t="s">
        <v>62</v>
      </c>
      <c r="T791" s="6" t="e">
        <v>#N/A</v>
      </c>
      <c r="U791" s="5">
        <v>63</v>
      </c>
      <c r="V791" s="5">
        <v>76</v>
      </c>
      <c r="W791" s="5">
        <v>62</v>
      </c>
      <c r="X791" s="5">
        <v>52</v>
      </c>
      <c r="Y791" s="5">
        <v>82.87</v>
      </c>
      <c r="Z791" s="5">
        <v>88.4</v>
      </c>
      <c r="AA791" s="5">
        <v>79.56</v>
      </c>
      <c r="AB791" s="5">
        <v>11.6</v>
      </c>
      <c r="AC791" s="6">
        <v>0.3</v>
      </c>
      <c r="AD791" s="6">
        <v>0.45</v>
      </c>
      <c r="AE791" s="6">
        <v>0.25</v>
      </c>
      <c r="AF791" s="4" t="s">
        <v>6296</v>
      </c>
      <c r="AG791" s="4" t="s">
        <v>6296</v>
      </c>
      <c r="AH791" s="4" t="s">
        <v>6296</v>
      </c>
      <c r="AI791" s="4" t="s">
        <v>42</v>
      </c>
      <c r="AJ791" s="4" t="s">
        <v>42</v>
      </c>
      <c r="AK791" s="4" t="s">
        <v>46</v>
      </c>
      <c r="AL791" s="4" t="s">
        <v>42</v>
      </c>
      <c r="AM791" s="4" t="s">
        <v>46</v>
      </c>
      <c r="AN791" s="4" t="s">
        <v>37</v>
      </c>
      <c r="AO791" s="4" t="s">
        <v>42</v>
      </c>
      <c r="AP791" s="4" t="s">
        <v>6191</v>
      </c>
      <c r="AQ791" s="4" t="s">
        <v>47</v>
      </c>
    </row>
    <row r="792" spans="1:43" ht="12.6" customHeight="1" x14ac:dyDescent="0.25">
      <c r="A792" s="8" t="s">
        <v>3285</v>
      </c>
      <c r="B792" s="9">
        <v>20151231</v>
      </c>
      <c r="C792" s="12">
        <f>_xll.FDS("SPX","FG_PRICE(12/30/2015)")</f>
        <v>2063.36</v>
      </c>
      <c r="D792" s="12">
        <f>_xll.FDS("SPX","FG_PRICE(12/30/2017)")</f>
        <v>2673.61</v>
      </c>
      <c r="E792" s="15">
        <f>D792/C792-1</f>
        <v>0.2957554668114144</v>
      </c>
      <c r="F792" s="8" t="s">
        <v>3286</v>
      </c>
      <c r="G792" s="8" t="s">
        <v>3287</v>
      </c>
      <c r="H792" s="13">
        <f>_xll.FDS(G792,"FG_PRICE(12/30/2015)")</f>
        <v>65.260000000000005</v>
      </c>
      <c r="I792" s="13">
        <f>_xll.FDS(G792,"FG_PRICE(12/31/2017)")</f>
        <v>100.24</v>
      </c>
      <c r="J792" s="13">
        <f>I792/H792-1</f>
        <v>0.53600980692614142</v>
      </c>
      <c r="K792" s="13">
        <f>J792-E792</f>
        <v>0.24025434011472702</v>
      </c>
      <c r="L792" s="13">
        <f>_xll.FDS(G792,"FF_ROE(ANN_R,12/30/2015)")</f>
        <v>31.681805466376261</v>
      </c>
      <c r="M792" s="8" t="s">
        <v>3288</v>
      </c>
      <c r="N792" s="4" t="s">
        <v>3288</v>
      </c>
      <c r="O792" s="4" t="s">
        <v>3289</v>
      </c>
      <c r="P792" s="4" t="s">
        <v>96</v>
      </c>
      <c r="Q792" s="4" t="s">
        <v>65</v>
      </c>
      <c r="R792" s="4" t="s">
        <v>61</v>
      </c>
      <c r="S792" s="4" t="s">
        <v>62</v>
      </c>
      <c r="T792" s="6" t="e">
        <v>#N/A</v>
      </c>
      <c r="U792" s="5">
        <v>49</v>
      </c>
      <c r="V792" s="5">
        <v>37</v>
      </c>
      <c r="W792" s="5">
        <v>47</v>
      </c>
      <c r="X792" s="5">
        <v>68</v>
      </c>
      <c r="Y792" s="5">
        <v>32.04</v>
      </c>
      <c r="Z792" s="6">
        <v>1.1000000000000001</v>
      </c>
      <c r="AA792" s="5">
        <v>35.909999999999997</v>
      </c>
      <c r="AB792" s="5">
        <v>69.61</v>
      </c>
      <c r="AC792" s="6">
        <v>0.3</v>
      </c>
      <c r="AD792" s="6">
        <v>0.45</v>
      </c>
      <c r="AE792" s="6">
        <v>0.25</v>
      </c>
      <c r="AF792" s="4" t="s">
        <v>6296</v>
      </c>
      <c r="AG792" s="4" t="s">
        <v>6296</v>
      </c>
      <c r="AH792" s="4" t="s">
        <v>6296</v>
      </c>
      <c r="AI792" s="4" t="s">
        <v>6296</v>
      </c>
      <c r="AJ792" s="4" t="s">
        <v>6296</v>
      </c>
      <c r="AK792" s="4" t="s">
        <v>37</v>
      </c>
      <c r="AL792" s="4" t="s">
        <v>6296</v>
      </c>
      <c r="AM792" s="4" t="s">
        <v>6296</v>
      </c>
      <c r="AN792" s="4" t="s">
        <v>6296</v>
      </c>
      <c r="AO792" s="4" t="s">
        <v>6296</v>
      </c>
      <c r="AP792" s="4" t="s">
        <v>3290</v>
      </c>
      <c r="AQ792" s="4" t="s">
        <v>47</v>
      </c>
    </row>
    <row r="793" spans="1:43" ht="12.6" customHeight="1" x14ac:dyDescent="0.25">
      <c r="A793" s="8" t="s">
        <v>5673</v>
      </c>
      <c r="B793" s="9">
        <v>20151231</v>
      </c>
      <c r="C793" s="12">
        <f>_xll.FDS("SPX","FG_PRICE(12/30/2015)")</f>
        <v>2063.36</v>
      </c>
      <c r="D793" s="12">
        <f>_xll.FDS("SPX","FG_PRICE(12/30/2017)")</f>
        <v>2673.61</v>
      </c>
      <c r="E793" s="15">
        <f>D793/C793-1</f>
        <v>0.2957554668114144</v>
      </c>
      <c r="F793" s="8" t="s">
        <v>5674</v>
      </c>
      <c r="G793" s="8" t="s">
        <v>5675</v>
      </c>
      <c r="H793" s="13">
        <f>_xll.FDS(G793,"FG_PRICE(12/30/2015)")</f>
        <v>45.25</v>
      </c>
      <c r="I793" s="13">
        <f>_xll.FDS(G793,"FG_PRICE(12/31/2017)")</f>
        <v>35.65</v>
      </c>
      <c r="J793" s="13">
        <f>I793/H793-1</f>
        <v>-0.21215469613259674</v>
      </c>
      <c r="K793" s="13">
        <f>J793-E793</f>
        <v>-0.50791016294401115</v>
      </c>
      <c r="L793" s="13">
        <f>_xll.FDS(G793,"FF_ROE(ANN_R,12/30/2015)")</f>
        <v>18.049937563109051</v>
      </c>
      <c r="M793" s="8" t="s">
        <v>5676</v>
      </c>
      <c r="N793" s="4" t="s">
        <v>5677</v>
      </c>
      <c r="O793" s="4" t="s">
        <v>5678</v>
      </c>
      <c r="P793" s="4" t="s">
        <v>106</v>
      </c>
      <c r="Q793" s="4" t="s">
        <v>65</v>
      </c>
      <c r="R793" s="4" t="s">
        <v>61</v>
      </c>
      <c r="S793" s="4" t="s">
        <v>62</v>
      </c>
      <c r="T793" s="6" t="e">
        <v>#N/A</v>
      </c>
      <c r="U793" s="5">
        <v>49</v>
      </c>
      <c r="V793" s="5">
        <v>41</v>
      </c>
      <c r="W793" s="5">
        <v>48</v>
      </c>
      <c r="X793" s="5">
        <v>60</v>
      </c>
      <c r="Y793" s="5">
        <v>32.04</v>
      </c>
      <c r="Z793" s="5">
        <v>29.83</v>
      </c>
      <c r="AA793" s="5">
        <v>39.229999999999997</v>
      </c>
      <c r="AB793" s="5">
        <v>33.700000000000003</v>
      </c>
      <c r="AC793" s="6">
        <v>0.3</v>
      </c>
      <c r="AD793" s="6">
        <v>0.45</v>
      </c>
      <c r="AE793" s="6">
        <v>0.25</v>
      </c>
      <c r="AF793" s="4" t="s">
        <v>6296</v>
      </c>
      <c r="AG793" s="4" t="s">
        <v>6296</v>
      </c>
      <c r="AH793" s="4" t="s">
        <v>6296</v>
      </c>
      <c r="AI793" s="4" t="s">
        <v>6296</v>
      </c>
      <c r="AJ793" s="4" t="s">
        <v>6296</v>
      </c>
      <c r="AK793" s="4" t="s">
        <v>6296</v>
      </c>
      <c r="AL793" s="4" t="s">
        <v>6296</v>
      </c>
      <c r="AM793" s="4" t="s">
        <v>6296</v>
      </c>
      <c r="AN793" s="4" t="s">
        <v>6296</v>
      </c>
      <c r="AO793" s="4" t="s">
        <v>6296</v>
      </c>
      <c r="AP793" s="4" t="s">
        <v>5679</v>
      </c>
      <c r="AQ793" s="4" t="s">
        <v>47</v>
      </c>
    </row>
    <row r="794" spans="1:43" ht="12.6" customHeight="1" x14ac:dyDescent="0.25">
      <c r="A794" s="8" t="s">
        <v>4662</v>
      </c>
      <c r="B794" s="9">
        <v>20151231</v>
      </c>
      <c r="C794" s="12">
        <f>_xll.FDS("SPX","FG_PRICE(12/30/2015)")</f>
        <v>2063.36</v>
      </c>
      <c r="D794" s="12">
        <f>_xll.FDS("SPX","FG_PRICE(12/30/2017)")</f>
        <v>2673.61</v>
      </c>
      <c r="E794" s="15">
        <f>D794/C794-1</f>
        <v>0.2957554668114144</v>
      </c>
      <c r="F794" s="8" t="s">
        <v>4663</v>
      </c>
      <c r="G794" s="8" t="s">
        <v>4664</v>
      </c>
      <c r="H794" s="13">
        <f>_xll.FDS(G794,"FG_PRICE(12/30/2015)")</f>
        <v>60.66</v>
      </c>
      <c r="I794" s="13">
        <f>_xll.FDS(G794,"FG_PRICE(12/31/2017)")</f>
        <v>122.28</v>
      </c>
      <c r="J794" s="13">
        <f>I794/H794-1</f>
        <v>1.0158259149357072</v>
      </c>
      <c r="K794" s="13">
        <f>J794-E794</f>
        <v>0.72007044812429277</v>
      </c>
      <c r="L794" s="13">
        <f>_xll.FDS(G794,"FF_ROE(ANN_R,12/30/2015)")</f>
        <v>13.059000094870751</v>
      </c>
      <c r="M794" s="8" t="s">
        <v>4665</v>
      </c>
      <c r="N794" s="4" t="s">
        <v>4665</v>
      </c>
      <c r="O794" s="4" t="s">
        <v>4666</v>
      </c>
      <c r="P794" s="4" t="s">
        <v>106</v>
      </c>
      <c r="Q794" s="4" t="s">
        <v>65</v>
      </c>
      <c r="R794" s="4" t="s">
        <v>61</v>
      </c>
      <c r="S794" s="4" t="s">
        <v>62</v>
      </c>
      <c r="T794" s="6" t="e">
        <v>#N/A</v>
      </c>
      <c r="U794" s="5">
        <v>46</v>
      </c>
      <c r="V794" s="5">
        <v>40</v>
      </c>
      <c r="W794" s="5">
        <v>42</v>
      </c>
      <c r="X794" s="5">
        <v>62</v>
      </c>
      <c r="Y794" s="5">
        <v>15.47</v>
      </c>
      <c r="Z794" s="5">
        <v>14.92</v>
      </c>
      <c r="AA794" s="5">
        <v>13.26</v>
      </c>
      <c r="AB794" s="5">
        <v>40.33</v>
      </c>
      <c r="AC794" s="6">
        <v>0.3</v>
      </c>
      <c r="AD794" s="6">
        <v>0.45</v>
      </c>
      <c r="AE794" s="6">
        <v>0.25</v>
      </c>
      <c r="AF794" s="4" t="s">
        <v>6296</v>
      </c>
      <c r="AG794" s="4" t="s">
        <v>6296</v>
      </c>
      <c r="AH794" s="4" t="s">
        <v>6296</v>
      </c>
      <c r="AI794" s="4" t="s">
        <v>6296</v>
      </c>
      <c r="AJ794" s="4" t="s">
        <v>6296</v>
      </c>
      <c r="AK794" s="4" t="s">
        <v>6296</v>
      </c>
      <c r="AL794" s="4" t="s">
        <v>6296</v>
      </c>
      <c r="AM794" s="4" t="s">
        <v>6296</v>
      </c>
      <c r="AN794" s="4" t="s">
        <v>6296</v>
      </c>
      <c r="AO794" s="4" t="s">
        <v>6296</v>
      </c>
      <c r="AP794" s="4" t="s">
        <v>4667</v>
      </c>
      <c r="AQ794" s="4" t="s">
        <v>47</v>
      </c>
    </row>
    <row r="795" spans="1:43" ht="12.6" customHeight="1" x14ac:dyDescent="0.25">
      <c r="A795" s="8" t="s">
        <v>138</v>
      </c>
      <c r="B795" s="9">
        <v>20151231</v>
      </c>
      <c r="C795" s="12">
        <f>_xll.FDS("SPX","FG_PRICE(12/30/2015)")</f>
        <v>2063.36</v>
      </c>
      <c r="D795" s="12">
        <f>_xll.FDS("SPX","FG_PRICE(12/30/2017)")</f>
        <v>2673.61</v>
      </c>
      <c r="E795" s="15">
        <f>D795/C795-1</f>
        <v>0.2957554668114144</v>
      </c>
      <c r="F795" s="8" t="s">
        <v>139</v>
      </c>
      <c r="G795" s="8" t="s">
        <v>140</v>
      </c>
      <c r="H795" s="13">
        <f>_xll.FDS(G795,"FG_PRICE(12/30/2015)")</f>
        <v>139.34</v>
      </c>
      <c r="I795" s="13">
        <f>_xll.FDS(G795,"FG_PRICE(12/31/2017)")</f>
        <v>153.41999999999999</v>
      </c>
      <c r="J795" s="13">
        <f>I795/H795-1</f>
        <v>0.10104779675613584</v>
      </c>
      <c r="K795" s="13">
        <f>J795-E795</f>
        <v>-0.19470767005527856</v>
      </c>
      <c r="L795" s="13">
        <f>_xll.FDS(G795,"FF_ROE(ANN_R,12/30/2015)")</f>
        <v>90.888632429313333</v>
      </c>
      <c r="M795" s="8" t="s">
        <v>141</v>
      </c>
      <c r="N795" s="4" t="s">
        <v>142</v>
      </c>
      <c r="O795" s="4" t="s">
        <v>143</v>
      </c>
      <c r="P795" s="4" t="s">
        <v>96</v>
      </c>
      <c r="Q795" s="4" t="s">
        <v>65</v>
      </c>
      <c r="R795" s="4" t="s">
        <v>61</v>
      </c>
      <c r="S795" s="4" t="s">
        <v>62</v>
      </c>
      <c r="T795" s="6" t="e">
        <v>#N/A</v>
      </c>
      <c r="U795" s="5">
        <v>75</v>
      </c>
      <c r="V795" s="5">
        <v>84</v>
      </c>
      <c r="W795" s="5">
        <v>79</v>
      </c>
      <c r="X795" s="5">
        <v>58</v>
      </c>
      <c r="Y795" s="5">
        <v>93.37</v>
      </c>
      <c r="Z795" s="5">
        <v>96.13</v>
      </c>
      <c r="AA795" s="5">
        <v>96.69</v>
      </c>
      <c r="AB795" s="5">
        <v>26.52</v>
      </c>
      <c r="AC795" s="6">
        <v>0.3</v>
      </c>
      <c r="AD795" s="6">
        <v>0.45</v>
      </c>
      <c r="AE795" s="6">
        <v>0.25</v>
      </c>
      <c r="AF795" s="4" t="s">
        <v>6296</v>
      </c>
      <c r="AG795" s="4" t="s">
        <v>6296</v>
      </c>
      <c r="AH795" s="4" t="s">
        <v>6296</v>
      </c>
      <c r="AI795" s="4" t="s">
        <v>42</v>
      </c>
      <c r="AJ795" s="4" t="s">
        <v>6296</v>
      </c>
      <c r="AK795" s="4" t="s">
        <v>37</v>
      </c>
      <c r="AL795" s="4" t="s">
        <v>37</v>
      </c>
      <c r="AM795" s="4" t="s">
        <v>46</v>
      </c>
      <c r="AN795" s="4" t="s">
        <v>37</v>
      </c>
      <c r="AO795" s="4" t="s">
        <v>6296</v>
      </c>
      <c r="AP795" s="4" t="s">
        <v>144</v>
      </c>
      <c r="AQ795" s="4" t="s">
        <v>47</v>
      </c>
    </row>
    <row r="796" spans="1:43" ht="12.6" customHeight="1" x14ac:dyDescent="0.25">
      <c r="A796" s="8" t="s">
        <v>2123</v>
      </c>
      <c r="B796" s="9">
        <v>20151231</v>
      </c>
      <c r="C796" s="12">
        <f>_xll.FDS("SPX","FG_PRICE(12/30/2015)")</f>
        <v>2063.36</v>
      </c>
      <c r="D796" s="12">
        <f>_xll.FDS("SPX","FG_PRICE(12/30/2017)")</f>
        <v>2673.61</v>
      </c>
      <c r="E796" s="15">
        <f>D796/C796-1</f>
        <v>0.2957554668114144</v>
      </c>
      <c r="F796" s="8" t="s">
        <v>2124</v>
      </c>
      <c r="G796" s="8" t="s">
        <v>2125</v>
      </c>
      <c r="H796" s="13">
        <f>_xll.FDS(G796,"FG_PRICE(12/30/2015)")</f>
        <v>98.28</v>
      </c>
      <c r="I796" s="13">
        <f>_xll.FDS(G796,"FG_PRICE(12/31/2017)")</f>
        <v>157.78</v>
      </c>
      <c r="J796" s="13">
        <f>I796/H796-1</f>
        <v>0.60541310541310533</v>
      </c>
      <c r="K796" s="13">
        <f>J796-E796</f>
        <v>0.30965763860169093</v>
      </c>
      <c r="L796" s="13">
        <f>_xll.FDS(G796,"FF_ROE(ANN_R,12/30/2015)")</f>
        <v>15.26802218114603</v>
      </c>
      <c r="M796" s="8" t="s">
        <v>2126</v>
      </c>
      <c r="N796" s="4" t="s">
        <v>2126</v>
      </c>
      <c r="O796" s="4" t="s">
        <v>86</v>
      </c>
      <c r="P796" s="4" t="s">
        <v>106</v>
      </c>
      <c r="Q796" s="4" t="s">
        <v>65</v>
      </c>
      <c r="R796" s="4" t="s">
        <v>61</v>
      </c>
      <c r="S796" s="4" t="s">
        <v>62</v>
      </c>
      <c r="T796" s="6" t="e">
        <v>#N/A</v>
      </c>
      <c r="U796" s="5">
        <v>65</v>
      </c>
      <c r="V796" s="5">
        <v>66</v>
      </c>
      <c r="W796" s="5">
        <v>65</v>
      </c>
      <c r="X796" s="5">
        <v>65</v>
      </c>
      <c r="Y796" s="5">
        <v>85.64</v>
      </c>
      <c r="Z796" s="5">
        <v>82.32</v>
      </c>
      <c r="AA796" s="5">
        <v>85.08</v>
      </c>
      <c r="AB796" s="5">
        <v>54.14</v>
      </c>
      <c r="AC796" s="6">
        <v>0.3</v>
      </c>
      <c r="AD796" s="6">
        <v>0.45</v>
      </c>
      <c r="AE796" s="6">
        <v>0.25</v>
      </c>
      <c r="AF796" s="4" t="s">
        <v>6296</v>
      </c>
      <c r="AG796" s="4" t="s">
        <v>6296</v>
      </c>
      <c r="AH796" s="4" t="s">
        <v>6296</v>
      </c>
      <c r="AI796" s="4" t="s">
        <v>6296</v>
      </c>
      <c r="AJ796" s="4" t="s">
        <v>6296</v>
      </c>
      <c r="AK796" s="4" t="s">
        <v>37</v>
      </c>
      <c r="AL796" s="4" t="s">
        <v>6296</v>
      </c>
      <c r="AM796" s="4" t="s">
        <v>37</v>
      </c>
      <c r="AN796" s="4" t="s">
        <v>6296</v>
      </c>
      <c r="AO796" s="4" t="s">
        <v>6296</v>
      </c>
      <c r="AP796" s="4" t="s">
        <v>2127</v>
      </c>
      <c r="AQ796" s="4" t="s">
        <v>47</v>
      </c>
    </row>
    <row r="797" spans="1:43" ht="12.6" customHeight="1" x14ac:dyDescent="0.25">
      <c r="A797" s="8" t="s">
        <v>1762</v>
      </c>
      <c r="B797" s="9">
        <v>20151231</v>
      </c>
      <c r="C797" s="12">
        <f>_xll.FDS("SPX","FG_PRICE(12/30/2015)")</f>
        <v>2063.36</v>
      </c>
      <c r="D797" s="12">
        <f>_xll.FDS("SPX","FG_PRICE(12/30/2017)")</f>
        <v>2673.61</v>
      </c>
      <c r="E797" s="15">
        <f>D797/C797-1</f>
        <v>0.2957554668114144</v>
      </c>
      <c r="F797" s="8" t="s">
        <v>1763</v>
      </c>
      <c r="G797" s="8" t="s">
        <v>1764</v>
      </c>
      <c r="H797" s="13">
        <f>_xll.FDS(G797,"FG_PRICE(12/30/2015)")</f>
        <v>91.6</v>
      </c>
      <c r="I797" s="13">
        <f>_xll.FDS(G797,"FG_PRICE(12/31/2017)")</f>
        <v>123.15</v>
      </c>
      <c r="J797" s="13">
        <f>I797/H797-1</f>
        <v>0.34443231441048039</v>
      </c>
      <c r="K797" s="13">
        <f>J797-E797</f>
        <v>4.8676847599065987E-2</v>
      </c>
      <c r="L797" s="13">
        <f>_xll.FDS(G797,"FF_ROE(ANN_R,12/30/2015)")</f>
        <v>70.342802787437776</v>
      </c>
      <c r="M797" s="8" t="s">
        <v>1765</v>
      </c>
      <c r="N797" s="4" t="s">
        <v>1766</v>
      </c>
      <c r="O797" s="4" t="s">
        <v>1767</v>
      </c>
      <c r="P797" s="4" t="s">
        <v>96</v>
      </c>
      <c r="Q797" s="4" t="s">
        <v>65</v>
      </c>
      <c r="R797" s="4" t="s">
        <v>61</v>
      </c>
      <c r="S797" s="4" t="s">
        <v>62</v>
      </c>
      <c r="T797" s="6" t="e">
        <v>#N/A</v>
      </c>
      <c r="U797" s="5">
        <v>50</v>
      </c>
      <c r="V797" s="5">
        <v>45</v>
      </c>
      <c r="W797" s="5">
        <v>45</v>
      </c>
      <c r="X797" s="5">
        <v>65</v>
      </c>
      <c r="Y797" s="5">
        <v>36.46</v>
      </c>
      <c r="Z797" s="5">
        <v>48.07</v>
      </c>
      <c r="AA797" s="5">
        <v>25.97</v>
      </c>
      <c r="AB797" s="5">
        <v>54.14</v>
      </c>
      <c r="AC797" s="6">
        <v>0.3</v>
      </c>
      <c r="AD797" s="6">
        <v>0.45</v>
      </c>
      <c r="AE797" s="6">
        <v>0.25</v>
      </c>
      <c r="AF797" s="4" t="s">
        <v>6296</v>
      </c>
      <c r="AG797" s="4" t="s">
        <v>6296</v>
      </c>
      <c r="AH797" s="4" t="s">
        <v>6296</v>
      </c>
      <c r="AI797" s="4" t="s">
        <v>6296</v>
      </c>
      <c r="AJ797" s="4" t="s">
        <v>6296</v>
      </c>
      <c r="AK797" s="4" t="s">
        <v>6296</v>
      </c>
      <c r="AL797" s="4" t="s">
        <v>6296</v>
      </c>
      <c r="AM797" s="4" t="s">
        <v>6296</v>
      </c>
      <c r="AN797" s="4" t="s">
        <v>6296</v>
      </c>
      <c r="AO797" s="4" t="s">
        <v>6296</v>
      </c>
      <c r="AP797" s="4" t="s">
        <v>1768</v>
      </c>
      <c r="AQ797" s="4" t="s">
        <v>47</v>
      </c>
    </row>
    <row r="798" spans="1:43" ht="12.6" customHeight="1" x14ac:dyDescent="0.25">
      <c r="A798" s="8" t="s">
        <v>5794</v>
      </c>
      <c r="B798" s="9">
        <v>20151231</v>
      </c>
      <c r="C798" s="12">
        <f>_xll.FDS("SPX","FG_PRICE(12/30/2015)")</f>
        <v>2063.36</v>
      </c>
      <c r="D798" s="12">
        <f>_xll.FDS("SPX","FG_PRICE(12/30/2017)")</f>
        <v>2673.61</v>
      </c>
      <c r="E798" s="15">
        <f>D798/C798-1</f>
        <v>0.2957554668114144</v>
      </c>
      <c r="F798" s="8" t="s">
        <v>5795</v>
      </c>
      <c r="G798" s="8" t="s">
        <v>5796</v>
      </c>
      <c r="H798" s="13">
        <f>_xll.FDS(G798,"FG_PRICE(12/30/2015)")</f>
        <v>57.24</v>
      </c>
      <c r="I798" s="13">
        <f>_xll.FDS(G798,"FG_PRICE(12/31/2017)")</f>
        <v>64.569999999999993</v>
      </c>
      <c r="J798" s="13">
        <f>I798/H798-1</f>
        <v>0.12805730258560422</v>
      </c>
      <c r="K798" s="13">
        <f>J798-E798</f>
        <v>-0.16769816422581019</v>
      </c>
      <c r="L798" s="13">
        <f>_xll.FDS(G798,"FF_ROE(ANN_R,12/30/2015)")</f>
        <v>-25.45314307751639</v>
      </c>
      <c r="M798" s="8" t="s">
        <v>5797</v>
      </c>
      <c r="N798" s="4" t="s">
        <v>5798</v>
      </c>
      <c r="O798" s="4" t="s">
        <v>5799</v>
      </c>
      <c r="P798" s="4" t="s">
        <v>96</v>
      </c>
      <c r="Q798" s="4" t="s">
        <v>65</v>
      </c>
      <c r="R798" s="4" t="s">
        <v>61</v>
      </c>
      <c r="S798" s="4" t="s">
        <v>62</v>
      </c>
      <c r="T798" s="6" t="e">
        <v>#N/A</v>
      </c>
      <c r="U798" s="5">
        <v>62</v>
      </c>
      <c r="V798" s="5">
        <v>57</v>
      </c>
      <c r="W798" s="5">
        <v>59</v>
      </c>
      <c r="X798" s="5">
        <v>77</v>
      </c>
      <c r="Y798" s="5">
        <v>79.010000000000005</v>
      </c>
      <c r="Z798" s="5">
        <v>73.48</v>
      </c>
      <c r="AA798" s="5">
        <v>74.59</v>
      </c>
      <c r="AB798" s="5">
        <v>90.06</v>
      </c>
      <c r="AC798" s="6">
        <v>0.3</v>
      </c>
      <c r="AD798" s="6">
        <v>0.45</v>
      </c>
      <c r="AE798" s="6">
        <v>0.25</v>
      </c>
      <c r="AF798" s="4" t="s">
        <v>6296</v>
      </c>
      <c r="AG798" s="4" t="s">
        <v>6296</v>
      </c>
      <c r="AH798" s="4" t="s">
        <v>6296</v>
      </c>
      <c r="AI798" s="4" t="s">
        <v>42</v>
      </c>
      <c r="AJ798" s="4" t="s">
        <v>6296</v>
      </c>
      <c r="AK798" s="4" t="s">
        <v>6296</v>
      </c>
      <c r="AL798" s="4" t="s">
        <v>6296</v>
      </c>
      <c r="AM798" s="4" t="s">
        <v>37</v>
      </c>
      <c r="AN798" s="4" t="s">
        <v>42</v>
      </c>
      <c r="AO798" s="4" t="s">
        <v>6296</v>
      </c>
      <c r="AP798" s="4" t="s">
        <v>5800</v>
      </c>
      <c r="AQ798" s="4" t="s">
        <v>47</v>
      </c>
    </row>
    <row r="799" spans="1:43" ht="12.6" customHeight="1" x14ac:dyDescent="0.25">
      <c r="A799" s="8" t="s">
        <v>5139</v>
      </c>
      <c r="B799" s="9">
        <v>20151231</v>
      </c>
      <c r="C799" s="12">
        <f>_xll.FDS("SPX","FG_PRICE(12/30/2015)")</f>
        <v>2063.36</v>
      </c>
      <c r="D799" s="12">
        <f>_xll.FDS("SPX","FG_PRICE(12/30/2017)")</f>
        <v>2673.61</v>
      </c>
      <c r="E799" s="15">
        <f>D799/C799-1</f>
        <v>0.2957554668114144</v>
      </c>
      <c r="F799" s="8" t="s">
        <v>5140</v>
      </c>
      <c r="G799" s="8" t="s">
        <v>5141</v>
      </c>
      <c r="H799" s="13">
        <f>_xll.FDS(G799,"FG_PRICE(12/30/2015)")</f>
        <v>227.53</v>
      </c>
      <c r="I799" s="13" t="e">
        <f>_xll.FDS(G799,"FG_PRICE(12/31/2017)")</f>
        <v>#N/A</v>
      </c>
      <c r="J799" s="13" t="e">
        <f>I799/H799-1</f>
        <v>#N/A</v>
      </c>
      <c r="K799" s="13" t="e">
        <f>J799-E799</f>
        <v>#N/A</v>
      </c>
      <c r="L799" s="13">
        <f>_xll.FDS(G799,"FF_ROE(ANN_R,12/30/2015)")</f>
        <v>-0.52888550486952846</v>
      </c>
      <c r="M799" s="8" t="s">
        <v>5142</v>
      </c>
      <c r="N799" s="4" t="s">
        <v>5143</v>
      </c>
      <c r="O799" s="4" t="s">
        <v>47</v>
      </c>
      <c r="P799" s="4" t="s">
        <v>96</v>
      </c>
      <c r="Q799" s="4" t="s">
        <v>65</v>
      </c>
      <c r="R799" s="4" t="s">
        <v>61</v>
      </c>
      <c r="S799" s="4" t="s">
        <v>62</v>
      </c>
      <c r="T799" s="6" t="e">
        <v>#N/A</v>
      </c>
      <c r="U799" s="5">
        <v>47</v>
      </c>
      <c r="V799" s="5">
        <v>40</v>
      </c>
      <c r="W799" s="5">
        <v>43</v>
      </c>
      <c r="X799" s="5">
        <v>61</v>
      </c>
      <c r="Y799" s="5">
        <v>18.23</v>
      </c>
      <c r="Z799" s="5">
        <v>14.92</v>
      </c>
      <c r="AA799" s="5">
        <v>16.57</v>
      </c>
      <c r="AB799" s="5">
        <v>35.909999999999997</v>
      </c>
      <c r="AC799" s="6">
        <v>0.3</v>
      </c>
      <c r="AD799" s="6">
        <v>0.45</v>
      </c>
      <c r="AE799" s="6">
        <v>0.25</v>
      </c>
      <c r="AF799" s="4" t="s">
        <v>6296</v>
      </c>
      <c r="AG799" s="4" t="s">
        <v>6296</v>
      </c>
      <c r="AH799" s="4" t="s">
        <v>6296</v>
      </c>
      <c r="AI799" s="4" t="s">
        <v>42</v>
      </c>
      <c r="AJ799" s="4" t="s">
        <v>6296</v>
      </c>
      <c r="AK799" s="4" t="s">
        <v>37</v>
      </c>
      <c r="AL799" s="4" t="s">
        <v>6296</v>
      </c>
      <c r="AM799" s="4" t="s">
        <v>42</v>
      </c>
      <c r="AN799" s="4" t="s">
        <v>6296</v>
      </c>
      <c r="AO799" s="4" t="s">
        <v>6296</v>
      </c>
      <c r="AP799" s="4" t="s">
        <v>5144</v>
      </c>
      <c r="AQ799" s="4" t="s">
        <v>47</v>
      </c>
    </row>
    <row r="800" spans="1:43" ht="12.6" customHeight="1" x14ac:dyDescent="0.25">
      <c r="A800" s="8" t="s">
        <v>4753</v>
      </c>
      <c r="B800" s="9">
        <v>20151231</v>
      </c>
      <c r="C800" s="12">
        <f>_xll.FDS("SPX","FG_PRICE(12/30/2015)")</f>
        <v>2063.36</v>
      </c>
      <c r="D800" s="12">
        <f>_xll.FDS("SPX","FG_PRICE(12/30/2017)")</f>
        <v>2673.61</v>
      </c>
      <c r="E800" s="15">
        <f>D800/C800-1</f>
        <v>0.2957554668114144</v>
      </c>
      <c r="F800" s="8" t="s">
        <v>4754</v>
      </c>
      <c r="G800" s="8" t="s">
        <v>4755</v>
      </c>
      <c r="H800" s="13">
        <f>_xll.FDS(G800,"FG_PRICE(12/30/2015)")</f>
        <v>98.87</v>
      </c>
      <c r="I800" s="13">
        <f>_xll.FDS(G800,"FG_PRICE(12/31/2017)")</f>
        <v>151.36000000000001</v>
      </c>
      <c r="J800" s="13">
        <f>I800/H800-1</f>
        <v>0.53089916051380603</v>
      </c>
      <c r="K800" s="13">
        <f>J800-E800</f>
        <v>0.23514369370239163</v>
      </c>
      <c r="L800" s="13">
        <f>_xll.FDS(G800,"FF_ROE(ANN_R,12/30/2015)")</f>
        <v>50.679557236934279</v>
      </c>
      <c r="M800" s="8" t="s">
        <v>4756</v>
      </c>
      <c r="N800" s="4" t="s">
        <v>4757</v>
      </c>
      <c r="O800" s="4" t="s">
        <v>4758</v>
      </c>
      <c r="P800" s="4" t="s">
        <v>96</v>
      </c>
      <c r="Q800" s="4" t="s">
        <v>65</v>
      </c>
      <c r="R800" s="4" t="s">
        <v>61</v>
      </c>
      <c r="S800" s="4" t="s">
        <v>62</v>
      </c>
      <c r="T800" s="6" t="e">
        <v>#N/A</v>
      </c>
      <c r="U800" s="5">
        <v>59</v>
      </c>
      <c r="V800" s="5">
        <v>56</v>
      </c>
      <c r="W800" s="5">
        <v>58</v>
      </c>
      <c r="X800" s="5">
        <v>65</v>
      </c>
      <c r="Y800" s="5">
        <v>72.930000000000007</v>
      </c>
      <c r="Z800" s="5">
        <v>70.17</v>
      </c>
      <c r="AA800" s="5">
        <v>72.930000000000007</v>
      </c>
      <c r="AB800" s="5">
        <v>54.14</v>
      </c>
      <c r="AC800" s="6">
        <v>0.3</v>
      </c>
      <c r="AD800" s="6">
        <v>0.45</v>
      </c>
      <c r="AE800" s="6">
        <v>0.25</v>
      </c>
      <c r="AF800" s="4" t="s">
        <v>6296</v>
      </c>
      <c r="AG800" s="4" t="s">
        <v>6296</v>
      </c>
      <c r="AH800" s="4" t="s">
        <v>6296</v>
      </c>
      <c r="AI800" s="4" t="s">
        <v>6296</v>
      </c>
      <c r="AJ800" s="4" t="s">
        <v>42</v>
      </c>
      <c r="AK800" s="4" t="s">
        <v>46</v>
      </c>
      <c r="AL800" s="4" t="s">
        <v>6296</v>
      </c>
      <c r="AM800" s="4" t="s">
        <v>42</v>
      </c>
      <c r="AN800" s="4" t="s">
        <v>6296</v>
      </c>
      <c r="AO800" s="4" t="s">
        <v>6296</v>
      </c>
      <c r="AP800" s="4" t="s">
        <v>4759</v>
      </c>
      <c r="AQ800" s="4" t="s">
        <v>47</v>
      </c>
    </row>
    <row r="801" spans="1:43" ht="12.6" customHeight="1" x14ac:dyDescent="0.25">
      <c r="A801" s="8" t="s">
        <v>2701</v>
      </c>
      <c r="B801" s="9">
        <v>20151231</v>
      </c>
      <c r="C801" s="12">
        <f>_xll.FDS("SPX","FG_PRICE(12/30/2015)")</f>
        <v>2063.36</v>
      </c>
      <c r="D801" s="12">
        <f>_xll.FDS("SPX","FG_PRICE(12/30/2017)")</f>
        <v>2673.61</v>
      </c>
      <c r="E801" s="15">
        <f>D801/C801-1</f>
        <v>0.2957554668114144</v>
      </c>
      <c r="F801" s="8" t="s">
        <v>2702</v>
      </c>
      <c r="G801" s="8" t="s">
        <v>2703</v>
      </c>
      <c r="H801" s="13">
        <f>_xll.FDS(G801,"FG_PRICE(12/30/2015)")</f>
        <v>56.31</v>
      </c>
      <c r="I801" s="13">
        <f>_xll.FDS(G801,"FG_PRICE(12/31/2017)")</f>
        <v>85.54</v>
      </c>
      <c r="J801" s="13">
        <f>I801/H801-1</f>
        <v>0.5190907476469544</v>
      </c>
      <c r="K801" s="13">
        <f>J801-E801</f>
        <v>0.22333528083554</v>
      </c>
      <c r="L801" s="13">
        <f>_xll.FDS(G801,"FF_ROE(ANN_R,12/30/2015)")</f>
        <v>14.355937292116771</v>
      </c>
      <c r="M801" s="8" t="s">
        <v>2704</v>
      </c>
      <c r="N801" s="4" t="s">
        <v>2704</v>
      </c>
      <c r="O801" s="4" t="s">
        <v>2705</v>
      </c>
      <c r="P801" s="4" t="s">
        <v>106</v>
      </c>
      <c r="Q801" s="4" t="s">
        <v>65</v>
      </c>
      <c r="R801" s="4" t="s">
        <v>61</v>
      </c>
      <c r="S801" s="4" t="s">
        <v>62</v>
      </c>
      <c r="T801" s="6" t="e">
        <v>#N/A</v>
      </c>
      <c r="U801" s="5">
        <v>73</v>
      </c>
      <c r="V801" s="5">
        <v>84</v>
      </c>
      <c r="W801" s="5">
        <v>70</v>
      </c>
      <c r="X801" s="5">
        <v>66</v>
      </c>
      <c r="Y801" s="5">
        <v>92.27</v>
      </c>
      <c r="Z801" s="5">
        <v>96.13</v>
      </c>
      <c r="AA801" s="5">
        <v>90.61</v>
      </c>
      <c r="AB801" s="5">
        <v>62.43</v>
      </c>
      <c r="AC801" s="6">
        <v>0.3</v>
      </c>
      <c r="AD801" s="6">
        <v>0.45</v>
      </c>
      <c r="AE801" s="6">
        <v>0.25</v>
      </c>
      <c r="AF801" s="4" t="s">
        <v>42</v>
      </c>
      <c r="AG801" s="4" t="s">
        <v>6296</v>
      </c>
      <c r="AH801" s="4" t="s">
        <v>6296</v>
      </c>
      <c r="AI801" s="4" t="s">
        <v>37</v>
      </c>
      <c r="AJ801" s="4" t="s">
        <v>37</v>
      </c>
      <c r="AK801" s="4" t="s">
        <v>46</v>
      </c>
      <c r="AL801" s="4" t="s">
        <v>42</v>
      </c>
      <c r="AM801" s="4" t="s">
        <v>46</v>
      </c>
      <c r="AN801" s="4" t="s">
        <v>6296</v>
      </c>
      <c r="AO801" s="4" t="s">
        <v>6296</v>
      </c>
      <c r="AP801" s="4" t="s">
        <v>2706</v>
      </c>
      <c r="AQ801" s="4" t="s">
        <v>47</v>
      </c>
    </row>
    <row r="802" spans="1:43" ht="12.6" customHeight="1" x14ac:dyDescent="0.25">
      <c r="A802" s="8" t="s">
        <v>6404</v>
      </c>
      <c r="B802" s="9">
        <v>20151231</v>
      </c>
      <c r="C802" s="12">
        <f>_xll.FDS("SPX","FG_PRICE(12/30/2015)")</f>
        <v>2063.36</v>
      </c>
      <c r="D802" s="12">
        <f>_xll.FDS("SPX","FG_PRICE(12/30/2017)")</f>
        <v>2673.61</v>
      </c>
      <c r="E802" s="15">
        <f>D802/C802-1</f>
        <v>0.2957554668114144</v>
      </c>
      <c r="F802" s="8" t="s">
        <v>6405</v>
      </c>
      <c r="G802" s="8" t="s">
        <v>6406</v>
      </c>
      <c r="H802" s="13">
        <f>_xll.FDS(G802,"FG_PRICE(12/30/2015)")</f>
        <v>5.89</v>
      </c>
      <c r="I802" s="13" t="e">
        <f>_xll.FDS(G802,"FG_PRICE(12/31/2017)")</f>
        <v>#N/A</v>
      </c>
      <c r="J802" s="13" t="e">
        <f>I802/H802-1</f>
        <v>#N/A</v>
      </c>
      <c r="K802" s="13" t="e">
        <f>J802-E802</f>
        <v>#N/A</v>
      </c>
      <c r="L802" s="13">
        <f>_xll.FDS(G802,"FF_ROE(ANN_R,12/30/2015)")</f>
        <v>-47.809686085166611</v>
      </c>
      <c r="M802" s="8" t="s">
        <v>6407</v>
      </c>
      <c r="N802" s="4" t="s">
        <v>6408</v>
      </c>
      <c r="O802" s="4" t="s">
        <v>47</v>
      </c>
      <c r="P802" s="4" t="s">
        <v>96</v>
      </c>
      <c r="Q802" s="4" t="s">
        <v>65</v>
      </c>
      <c r="R802" s="4" t="s">
        <v>61</v>
      </c>
      <c r="S802" s="4" t="s">
        <v>62</v>
      </c>
      <c r="T802" s="6" t="e">
        <v>#N/A</v>
      </c>
      <c r="U802" s="5">
        <v>47</v>
      </c>
      <c r="V802" s="5">
        <v>40</v>
      </c>
      <c r="W802" s="5">
        <v>45</v>
      </c>
      <c r="X802" s="5">
        <v>59</v>
      </c>
      <c r="Y802" s="5">
        <v>18.23</v>
      </c>
      <c r="Z802" s="5">
        <v>14.92</v>
      </c>
      <c r="AA802" s="5">
        <v>25.97</v>
      </c>
      <c r="AB802" s="5">
        <v>30.39</v>
      </c>
      <c r="AC802" s="6">
        <v>0.3</v>
      </c>
      <c r="AD802" s="6">
        <v>0.45</v>
      </c>
      <c r="AE802" s="6">
        <v>0.25</v>
      </c>
      <c r="AF802" s="4" t="s">
        <v>6296</v>
      </c>
      <c r="AG802" s="4" t="s">
        <v>6296</v>
      </c>
      <c r="AH802" s="4" t="s">
        <v>6296</v>
      </c>
      <c r="AI802" s="4" t="s">
        <v>6296</v>
      </c>
      <c r="AJ802" s="4" t="s">
        <v>6296</v>
      </c>
      <c r="AK802" s="4" t="s">
        <v>6296</v>
      </c>
      <c r="AL802" s="4" t="s">
        <v>6296</v>
      </c>
      <c r="AM802" s="4" t="s">
        <v>6296</v>
      </c>
      <c r="AN802" s="4" t="s">
        <v>6296</v>
      </c>
      <c r="AO802" s="4" t="s">
        <v>6296</v>
      </c>
      <c r="AP802" s="4" t="s">
        <v>6409</v>
      </c>
      <c r="AQ802" s="4" t="s">
        <v>47</v>
      </c>
    </row>
    <row r="803" spans="1:43" ht="12.6" customHeight="1" x14ac:dyDescent="0.25">
      <c r="A803" s="8" t="s">
        <v>5537</v>
      </c>
      <c r="B803" s="9">
        <v>20151231</v>
      </c>
      <c r="C803" s="12">
        <f>_xll.FDS("SPX","FG_PRICE(12/30/2015)")</f>
        <v>2063.36</v>
      </c>
      <c r="D803" s="12">
        <f>_xll.FDS("SPX","FG_PRICE(12/30/2017)")</f>
        <v>2673.61</v>
      </c>
      <c r="E803" s="15">
        <f>D803/C803-1</f>
        <v>0.2957554668114144</v>
      </c>
      <c r="F803" s="8" t="s">
        <v>5538</v>
      </c>
      <c r="G803" s="8" t="s">
        <v>5539</v>
      </c>
      <c r="H803" s="13">
        <f>_xll.FDS(G803,"FG_PRICE(12/30/2015)")</f>
        <v>87.38</v>
      </c>
      <c r="I803" s="13">
        <f>_xll.FDS(G803,"FG_PRICE(12/31/2017)")</f>
        <v>130.38999999999999</v>
      </c>
      <c r="J803" s="13">
        <f>I803/H803-1</f>
        <v>0.49221789883268485</v>
      </c>
      <c r="K803" s="13">
        <f>J803-E803</f>
        <v>0.19646243202127045</v>
      </c>
      <c r="L803" s="13">
        <f>_xll.FDS(G803,"FF_ROE(ANN_R,12/30/2015)")</f>
        <v>-43.596934869625017</v>
      </c>
      <c r="M803" s="8" t="s">
        <v>5540</v>
      </c>
      <c r="N803" s="4" t="s">
        <v>5541</v>
      </c>
      <c r="O803" s="4" t="s">
        <v>5542</v>
      </c>
      <c r="P803" s="4" t="s">
        <v>96</v>
      </c>
      <c r="Q803" s="4" t="s">
        <v>65</v>
      </c>
      <c r="R803" s="4" t="s">
        <v>61</v>
      </c>
      <c r="S803" s="4" t="s">
        <v>62</v>
      </c>
      <c r="T803" s="6" t="e">
        <v>#N/A</v>
      </c>
      <c r="U803" s="5">
        <v>48</v>
      </c>
      <c r="V803" s="5">
        <v>41</v>
      </c>
      <c r="W803" s="5">
        <v>44</v>
      </c>
      <c r="X803" s="5">
        <v>64</v>
      </c>
      <c r="Y803" s="5">
        <v>23.2</v>
      </c>
      <c r="Z803" s="5">
        <v>29.83</v>
      </c>
      <c r="AA803" s="5">
        <v>21.55</v>
      </c>
      <c r="AB803" s="5">
        <v>48.07</v>
      </c>
      <c r="AC803" s="6">
        <v>0.3</v>
      </c>
      <c r="AD803" s="6">
        <v>0.45</v>
      </c>
      <c r="AE803" s="6">
        <v>0.25</v>
      </c>
      <c r="AF803" s="4" t="s">
        <v>6296</v>
      </c>
      <c r="AG803" s="4" t="s">
        <v>6296</v>
      </c>
      <c r="AH803" s="4" t="s">
        <v>6296</v>
      </c>
      <c r="AI803" s="4" t="s">
        <v>6296</v>
      </c>
      <c r="AJ803" s="4" t="s">
        <v>6296</v>
      </c>
      <c r="AK803" s="4" t="s">
        <v>6296</v>
      </c>
      <c r="AL803" s="4" t="s">
        <v>6296</v>
      </c>
      <c r="AM803" s="4" t="s">
        <v>42</v>
      </c>
      <c r="AN803" s="4" t="s">
        <v>6296</v>
      </c>
      <c r="AO803" s="4" t="s">
        <v>6296</v>
      </c>
      <c r="AP803" s="4" t="s">
        <v>5543</v>
      </c>
      <c r="AQ803" s="4" t="s">
        <v>47</v>
      </c>
    </row>
    <row r="804" spans="1:43" ht="12.6" customHeight="1" x14ac:dyDescent="0.25">
      <c r="A804" s="8" t="s">
        <v>4655</v>
      </c>
      <c r="B804" s="9">
        <v>20151231</v>
      </c>
      <c r="C804" s="12">
        <f>_xll.FDS("SPX","FG_PRICE(12/30/2015)")</f>
        <v>2063.36</v>
      </c>
      <c r="D804" s="12">
        <f>_xll.FDS("SPX","FG_PRICE(12/30/2017)")</f>
        <v>2673.61</v>
      </c>
      <c r="E804" s="15">
        <f>D804/C804-1</f>
        <v>0.2957554668114144</v>
      </c>
      <c r="F804" s="8" t="s">
        <v>4656</v>
      </c>
      <c r="G804" s="8" t="s">
        <v>4657</v>
      </c>
      <c r="H804" s="13">
        <f>_xll.FDS(G804,"FG_PRICE(12/30/2015)")</f>
        <v>25</v>
      </c>
      <c r="I804" s="13" t="e">
        <f>_xll.FDS(G804,"FG_PRICE(12/31/2017)")</f>
        <v>#N/A</v>
      </c>
      <c r="J804" s="13" t="e">
        <f>I804/H804-1</f>
        <v>#N/A</v>
      </c>
      <c r="K804" s="13" t="e">
        <f>J804-E804</f>
        <v>#N/A</v>
      </c>
      <c r="L804" s="13">
        <f>_xll.FDS(G804,"FF_ROE(ANN_R,12/30/2015)")</f>
        <v>27.090891036674169</v>
      </c>
      <c r="M804" s="8" t="s">
        <v>4658</v>
      </c>
      <c r="N804" s="4" t="s">
        <v>4659</v>
      </c>
      <c r="O804" s="4" t="s">
        <v>4660</v>
      </c>
      <c r="P804" s="4" t="s">
        <v>96</v>
      </c>
      <c r="Q804" s="4" t="s">
        <v>65</v>
      </c>
      <c r="R804" s="4" t="s">
        <v>61</v>
      </c>
      <c r="S804" s="4" t="s">
        <v>62</v>
      </c>
      <c r="T804" s="6" t="e">
        <v>#N/A</v>
      </c>
      <c r="U804" s="5">
        <v>51</v>
      </c>
      <c r="V804" s="5">
        <v>38</v>
      </c>
      <c r="W804" s="5">
        <v>43</v>
      </c>
      <c r="X804" s="5">
        <v>80</v>
      </c>
      <c r="Y804" s="5">
        <v>40.880000000000003</v>
      </c>
      <c r="Z804" s="5">
        <v>10.5</v>
      </c>
      <c r="AA804" s="5">
        <v>16.57</v>
      </c>
      <c r="AB804" s="5">
        <v>93.92</v>
      </c>
      <c r="AC804" s="6">
        <v>0.3</v>
      </c>
      <c r="AD804" s="6">
        <v>0.45</v>
      </c>
      <c r="AE804" s="6">
        <v>0.25</v>
      </c>
      <c r="AF804" s="4" t="s">
        <v>6296</v>
      </c>
      <c r="AG804" s="4" t="s">
        <v>6296</v>
      </c>
      <c r="AH804" s="4" t="s">
        <v>6296</v>
      </c>
      <c r="AI804" s="4" t="s">
        <v>6296</v>
      </c>
      <c r="AJ804" s="4" t="s">
        <v>6296</v>
      </c>
      <c r="AK804" s="4" t="s">
        <v>6296</v>
      </c>
      <c r="AL804" s="4" t="s">
        <v>6296</v>
      </c>
      <c r="AM804" s="4" t="s">
        <v>6296</v>
      </c>
      <c r="AN804" s="4" t="s">
        <v>6296</v>
      </c>
      <c r="AO804" s="4" t="s">
        <v>6296</v>
      </c>
      <c r="AP804" s="4" t="s">
        <v>4661</v>
      </c>
      <c r="AQ804" s="4" t="s">
        <v>47</v>
      </c>
    </row>
    <row r="805" spans="1:43" ht="12.6" customHeight="1" x14ac:dyDescent="0.25">
      <c r="A805" s="8" t="s">
        <v>1822</v>
      </c>
      <c r="B805" s="9">
        <v>20151231</v>
      </c>
      <c r="C805" s="12">
        <f>_xll.FDS("SPX","FG_PRICE(12/30/2015)")</f>
        <v>2063.36</v>
      </c>
      <c r="D805" s="12">
        <f>_xll.FDS("SPX","FG_PRICE(12/30/2017)")</f>
        <v>2673.61</v>
      </c>
      <c r="E805" s="15">
        <f>D805/C805-1</f>
        <v>0.2957554668114144</v>
      </c>
      <c r="F805" s="8" t="s">
        <v>1823</v>
      </c>
      <c r="G805" s="8" t="s">
        <v>1824</v>
      </c>
      <c r="H805" s="13">
        <f>_xll.FDS(G805,"FG_PRICE(12/30/2015)")</f>
        <v>20.18</v>
      </c>
      <c r="I805" s="13">
        <f>_xll.FDS(G805,"FG_PRICE(12/31/2017)")</f>
        <v>16.350000000000001</v>
      </c>
      <c r="J805" s="13">
        <f>I805/H805-1</f>
        <v>-0.18979187314172441</v>
      </c>
      <c r="K805" s="13">
        <f>J805-E805</f>
        <v>-0.48554733995313881</v>
      </c>
      <c r="L805" s="13">
        <f>_xll.FDS(G805,"FF_ROE(ANN_R,12/30/2015)")</f>
        <v>-4.7453769605986409</v>
      </c>
      <c r="M805" s="8" t="s">
        <v>1825</v>
      </c>
      <c r="N805" s="4" t="s">
        <v>1826</v>
      </c>
      <c r="O805" s="4" t="s">
        <v>1827</v>
      </c>
      <c r="P805" s="4" t="s">
        <v>106</v>
      </c>
      <c r="Q805" s="4" t="s">
        <v>65</v>
      </c>
      <c r="R805" s="4" t="s">
        <v>61</v>
      </c>
      <c r="S805" s="4" t="s">
        <v>62</v>
      </c>
      <c r="T805" s="6" t="e">
        <v>#N/A</v>
      </c>
      <c r="U805" s="5">
        <v>53</v>
      </c>
      <c r="V805" s="5">
        <v>49</v>
      </c>
      <c r="W805" s="5">
        <v>52</v>
      </c>
      <c r="X805" s="5">
        <v>59</v>
      </c>
      <c r="Y805" s="5">
        <v>48.62</v>
      </c>
      <c r="Z805" s="5">
        <v>58.56</v>
      </c>
      <c r="AA805" s="5">
        <v>57.46</v>
      </c>
      <c r="AB805" s="5">
        <v>30.39</v>
      </c>
      <c r="AC805" s="6">
        <v>0.3</v>
      </c>
      <c r="AD805" s="6">
        <v>0.45</v>
      </c>
      <c r="AE805" s="6">
        <v>0.25</v>
      </c>
      <c r="AF805" s="4" t="s">
        <v>6296</v>
      </c>
      <c r="AG805" s="4" t="s">
        <v>6296</v>
      </c>
      <c r="AH805" s="4" t="s">
        <v>6296</v>
      </c>
      <c r="AI805" s="4" t="s">
        <v>6296</v>
      </c>
      <c r="AJ805" s="4" t="s">
        <v>6296</v>
      </c>
      <c r="AK805" s="4" t="s">
        <v>6296</v>
      </c>
      <c r="AL805" s="4" t="s">
        <v>6296</v>
      </c>
      <c r="AM805" s="4" t="s">
        <v>6296</v>
      </c>
      <c r="AN805" s="4" t="s">
        <v>6296</v>
      </c>
      <c r="AO805" s="4" t="s">
        <v>6296</v>
      </c>
      <c r="AP805" s="4" t="s">
        <v>1828</v>
      </c>
      <c r="AQ805" s="4" t="s">
        <v>47</v>
      </c>
    </row>
    <row r="806" spans="1:43" ht="12.6" customHeight="1" x14ac:dyDescent="0.25">
      <c r="A806" s="8" t="s">
        <v>6468</v>
      </c>
      <c r="B806" s="9">
        <v>20151231</v>
      </c>
      <c r="C806" s="12">
        <f>_xll.FDS("SPX","FG_PRICE(12/30/2015)")</f>
        <v>2063.36</v>
      </c>
      <c r="D806" s="12">
        <f>_xll.FDS("SPX","FG_PRICE(12/30/2017)")</f>
        <v>2673.61</v>
      </c>
      <c r="E806" s="15">
        <f>D806/C806-1</f>
        <v>0.2957554668114144</v>
      </c>
      <c r="F806" s="8" t="s">
        <v>6469</v>
      </c>
      <c r="G806" s="8" t="s">
        <v>6470</v>
      </c>
      <c r="H806" s="13">
        <f>_xll.FDS(G806,"FG_PRICE(12/30/2015)")</f>
        <v>85.62</v>
      </c>
      <c r="I806" s="13" t="e">
        <f>_xll.FDS(G806,"FG_PRICE(12/31/2017)")</f>
        <v>#N/A</v>
      </c>
      <c r="J806" s="13" t="e">
        <f>I806/H806-1</f>
        <v>#N/A</v>
      </c>
      <c r="K806" s="13" t="e">
        <f>J806-E806</f>
        <v>#N/A</v>
      </c>
      <c r="L806" s="13">
        <f>_xll.FDS(G806,"FF_ROE(ANN_R,12/30/2015)")</f>
        <v>-45.032704159032697</v>
      </c>
      <c r="M806" s="8" t="s">
        <v>6471</v>
      </c>
      <c r="N806" s="4" t="s">
        <v>6471</v>
      </c>
      <c r="O806" s="4" t="s">
        <v>47</v>
      </c>
      <c r="P806" s="4" t="s">
        <v>96</v>
      </c>
      <c r="Q806" s="4" t="s">
        <v>65</v>
      </c>
      <c r="R806" s="4" t="s">
        <v>61</v>
      </c>
      <c r="S806" s="4" t="s">
        <v>62</v>
      </c>
      <c r="T806" s="6" t="e">
        <v>#N/A</v>
      </c>
      <c r="U806" s="5">
        <v>47</v>
      </c>
      <c r="V806" s="5">
        <v>40</v>
      </c>
      <c r="W806" s="5">
        <v>43</v>
      </c>
      <c r="X806" s="5">
        <v>62</v>
      </c>
      <c r="Y806" s="5">
        <v>18.23</v>
      </c>
      <c r="Z806" s="5">
        <v>14.92</v>
      </c>
      <c r="AA806" s="5">
        <v>16.57</v>
      </c>
      <c r="AB806" s="5">
        <v>40.33</v>
      </c>
      <c r="AC806" s="6">
        <v>0.3</v>
      </c>
      <c r="AD806" s="6">
        <v>0.45</v>
      </c>
      <c r="AE806" s="6">
        <v>0.25</v>
      </c>
      <c r="AF806" s="4" t="s">
        <v>6296</v>
      </c>
      <c r="AG806" s="4" t="s">
        <v>6296</v>
      </c>
      <c r="AH806" s="4" t="s">
        <v>6296</v>
      </c>
      <c r="AI806" s="4" t="s">
        <v>6296</v>
      </c>
      <c r="AJ806" s="4" t="s">
        <v>6296</v>
      </c>
      <c r="AK806" s="4" t="s">
        <v>6296</v>
      </c>
      <c r="AL806" s="4" t="s">
        <v>6296</v>
      </c>
      <c r="AM806" s="4" t="s">
        <v>6296</v>
      </c>
      <c r="AN806" s="4" t="s">
        <v>6296</v>
      </c>
      <c r="AO806" s="4" t="s">
        <v>6296</v>
      </c>
      <c r="AP806" s="4" t="s">
        <v>6472</v>
      </c>
      <c r="AQ806" s="4" t="s">
        <v>47</v>
      </c>
    </row>
    <row r="807" spans="1:43" ht="12.6" customHeight="1" x14ac:dyDescent="0.25">
      <c r="A807" s="8" t="s">
        <v>3022</v>
      </c>
      <c r="B807" s="9">
        <v>20151231</v>
      </c>
      <c r="C807" s="12">
        <f>_xll.FDS("SPX","FG_PRICE(12/30/2015)")</f>
        <v>2063.36</v>
      </c>
      <c r="D807" s="12">
        <f>_xll.FDS("SPX","FG_PRICE(12/30/2017)")</f>
        <v>2673.61</v>
      </c>
      <c r="E807" s="15">
        <f>D807/C807-1</f>
        <v>0.2957554668114144</v>
      </c>
      <c r="F807" s="8" t="s">
        <v>3023</v>
      </c>
      <c r="G807" s="8" t="s">
        <v>3024</v>
      </c>
      <c r="H807" s="13">
        <f>_xll.FDS(G807,"FG_PRICE(12/30/2015)")</f>
        <v>36.92</v>
      </c>
      <c r="I807" s="13">
        <f>_xll.FDS(G807,"FG_PRICE(12/31/2017)")</f>
        <v>47.28</v>
      </c>
      <c r="J807" s="13">
        <f>I807/H807-1</f>
        <v>0.28060671722643549</v>
      </c>
      <c r="K807" s="13">
        <f>J807-E807</f>
        <v>-1.5148749584978916E-2</v>
      </c>
      <c r="L807" s="13">
        <f>_xll.FDS(G807,"FF_ROE(ANN_R,12/30/2015)")</f>
        <v>20.803634041929641</v>
      </c>
      <c r="M807" s="8" t="s">
        <v>3025</v>
      </c>
      <c r="N807" s="4" t="s">
        <v>3025</v>
      </c>
      <c r="O807" s="4" t="s">
        <v>3026</v>
      </c>
      <c r="P807" s="4" t="s">
        <v>96</v>
      </c>
      <c r="Q807" s="4" t="s">
        <v>65</v>
      </c>
      <c r="R807" s="4" t="s">
        <v>61</v>
      </c>
      <c r="S807" s="4" t="s">
        <v>62</v>
      </c>
      <c r="T807" s="6" t="e">
        <v>#N/A</v>
      </c>
      <c r="U807" s="5">
        <v>72</v>
      </c>
      <c r="V807" s="5">
        <v>82</v>
      </c>
      <c r="W807" s="5">
        <v>74</v>
      </c>
      <c r="X807" s="5">
        <v>55</v>
      </c>
      <c r="Y807" s="5">
        <v>89.5</v>
      </c>
      <c r="Z807" s="5">
        <v>93.92</v>
      </c>
      <c r="AA807" s="5">
        <v>92.82</v>
      </c>
      <c r="AB807" s="5">
        <v>17.13</v>
      </c>
      <c r="AC807" s="6">
        <v>0.3</v>
      </c>
      <c r="AD807" s="6">
        <v>0.45</v>
      </c>
      <c r="AE807" s="6">
        <v>0.25</v>
      </c>
      <c r="AF807" s="4" t="s">
        <v>6296</v>
      </c>
      <c r="AG807" s="4" t="s">
        <v>6296</v>
      </c>
      <c r="AH807" s="4" t="s">
        <v>6296</v>
      </c>
      <c r="AI807" s="4" t="s">
        <v>42</v>
      </c>
      <c r="AJ807" s="4" t="s">
        <v>6296</v>
      </c>
      <c r="AK807" s="4" t="s">
        <v>42</v>
      </c>
      <c r="AL807" s="4" t="s">
        <v>6296</v>
      </c>
      <c r="AM807" s="4" t="s">
        <v>37</v>
      </c>
      <c r="AN807" s="4" t="s">
        <v>37</v>
      </c>
      <c r="AO807" s="4" t="s">
        <v>6296</v>
      </c>
      <c r="AP807" s="4" t="s">
        <v>3027</v>
      </c>
      <c r="AQ807" s="4" t="s">
        <v>47</v>
      </c>
    </row>
    <row r="808" spans="1:43" ht="12.6" customHeight="1" x14ac:dyDescent="0.25">
      <c r="A808" s="8" t="s">
        <v>4635</v>
      </c>
      <c r="B808" s="9">
        <v>20151231</v>
      </c>
      <c r="C808" s="12">
        <f>_xll.FDS("SPX","FG_PRICE(12/30/2015)")</f>
        <v>2063.36</v>
      </c>
      <c r="D808" s="12">
        <f>_xll.FDS("SPX","FG_PRICE(12/30/2017)")</f>
        <v>2673.61</v>
      </c>
      <c r="E808" s="15">
        <f>D808/C808-1</f>
        <v>0.2957554668114144</v>
      </c>
      <c r="F808" s="8" t="s">
        <v>4636</v>
      </c>
      <c r="G808" s="8" t="s">
        <v>4637</v>
      </c>
      <c r="H808" s="13">
        <f>_xll.FDS(G808,"FG_PRICE(12/30/2015)")</f>
        <v>28.5</v>
      </c>
      <c r="I808" s="13">
        <f>_xll.FDS(G808,"FG_PRICE(12/31/2017)")</f>
        <v>17.71</v>
      </c>
      <c r="J808" s="13">
        <f>I808/H808-1</f>
        <v>-0.37859649122807015</v>
      </c>
      <c r="K808" s="13">
        <f>J808-E808</f>
        <v>-0.67435195803948456</v>
      </c>
      <c r="L808" s="13">
        <f>_xll.FDS(G808,"FF_ROE(ANN_R,12/30/2015)")</f>
        <v>8.1826147497483568</v>
      </c>
      <c r="M808" s="8" t="s">
        <v>4638</v>
      </c>
      <c r="N808" s="4" t="s">
        <v>4639</v>
      </c>
      <c r="O808" s="4" t="s">
        <v>4576</v>
      </c>
      <c r="P808" s="4" t="s">
        <v>96</v>
      </c>
      <c r="Q808" s="4" t="s">
        <v>65</v>
      </c>
      <c r="R808" s="4" t="s">
        <v>61</v>
      </c>
      <c r="S808" s="4" t="s">
        <v>62</v>
      </c>
      <c r="T808" s="6" t="e">
        <v>#N/A</v>
      </c>
      <c r="U808" s="5">
        <v>45</v>
      </c>
      <c r="V808" s="5">
        <v>43</v>
      </c>
      <c r="W808" s="5">
        <v>41</v>
      </c>
      <c r="X808" s="5">
        <v>55</v>
      </c>
      <c r="Y808" s="5">
        <v>11.05</v>
      </c>
      <c r="Z808" s="5">
        <v>40.880000000000003</v>
      </c>
      <c r="AA808" s="6">
        <v>9.94</v>
      </c>
      <c r="AB808" s="5">
        <v>17.13</v>
      </c>
      <c r="AC808" s="6">
        <v>0.3</v>
      </c>
      <c r="AD808" s="6">
        <v>0.45</v>
      </c>
      <c r="AE808" s="6">
        <v>0.25</v>
      </c>
      <c r="AF808" s="4" t="s">
        <v>6296</v>
      </c>
      <c r="AG808" s="4" t="s">
        <v>6296</v>
      </c>
      <c r="AH808" s="4" t="s">
        <v>6296</v>
      </c>
      <c r="AI808" s="4" t="s">
        <v>6296</v>
      </c>
      <c r="AJ808" s="4" t="s">
        <v>6296</v>
      </c>
      <c r="AK808" s="4" t="s">
        <v>6296</v>
      </c>
      <c r="AL808" s="4" t="s">
        <v>6296</v>
      </c>
      <c r="AM808" s="4" t="s">
        <v>46</v>
      </c>
      <c r="AN808" s="4" t="s">
        <v>6296</v>
      </c>
      <c r="AO808" s="4" t="s">
        <v>6296</v>
      </c>
      <c r="AP808" s="4" t="s">
        <v>4640</v>
      </c>
      <c r="AQ808" s="4" t="s">
        <v>47</v>
      </c>
    </row>
    <row r="809" spans="1:43" ht="12.6" customHeight="1" x14ac:dyDescent="0.25">
      <c r="A809" s="8" t="s">
        <v>3075</v>
      </c>
      <c r="B809" s="9">
        <v>20151231</v>
      </c>
      <c r="C809" s="12">
        <f>_xll.FDS("SPX","FG_PRICE(12/30/2015)")</f>
        <v>2063.36</v>
      </c>
      <c r="D809" s="12">
        <f>_xll.FDS("SPX","FG_PRICE(12/30/2017)")</f>
        <v>2673.61</v>
      </c>
      <c r="E809" s="15">
        <f>D809/C809-1</f>
        <v>0.2957554668114144</v>
      </c>
      <c r="F809" s="8" t="s">
        <v>3076</v>
      </c>
      <c r="G809" s="8" t="s">
        <v>3077</v>
      </c>
      <c r="H809" s="13">
        <f>_xll.FDS(G809,"FG_PRICE(12/30/2015)")</f>
        <v>53.78</v>
      </c>
      <c r="I809" s="13">
        <f>_xll.FDS(G809,"FG_PRICE(12/31/2017)")</f>
        <v>68.08</v>
      </c>
      <c r="J809" s="13">
        <f>I809/H809-1</f>
        <v>0.26589810338415765</v>
      </c>
      <c r="K809" s="13">
        <f>J809-E809</f>
        <v>-2.9857363427256756E-2</v>
      </c>
      <c r="L809" s="13">
        <f>_xll.FDS(G809,"FF_ROE(ANN_R,12/30/2015)")</f>
        <v>37.889122807017543</v>
      </c>
      <c r="M809" s="8" t="s">
        <v>3078</v>
      </c>
      <c r="N809" s="4" t="s">
        <v>3079</v>
      </c>
      <c r="O809" s="4" t="s">
        <v>3080</v>
      </c>
      <c r="P809" s="4" t="s">
        <v>106</v>
      </c>
      <c r="Q809" s="4" t="s">
        <v>65</v>
      </c>
      <c r="R809" s="4" t="s">
        <v>61</v>
      </c>
      <c r="S809" s="4" t="s">
        <v>62</v>
      </c>
      <c r="T809" s="6" t="e">
        <v>#N/A</v>
      </c>
      <c r="U809" s="5">
        <v>52</v>
      </c>
      <c r="V809" s="5">
        <v>40</v>
      </c>
      <c r="W809" s="5">
        <v>50</v>
      </c>
      <c r="X809" s="5">
        <v>70</v>
      </c>
      <c r="Y809" s="5">
        <v>44.75</v>
      </c>
      <c r="Z809" s="5">
        <v>14.92</v>
      </c>
      <c r="AA809" s="5">
        <v>48.07</v>
      </c>
      <c r="AB809" s="5">
        <v>75.69</v>
      </c>
      <c r="AC809" s="6">
        <v>0.3</v>
      </c>
      <c r="AD809" s="6">
        <v>0.45</v>
      </c>
      <c r="AE809" s="6">
        <v>0.25</v>
      </c>
      <c r="AF809" s="4" t="s">
        <v>6296</v>
      </c>
      <c r="AG809" s="4" t="s">
        <v>6296</v>
      </c>
      <c r="AH809" s="4" t="s">
        <v>6296</v>
      </c>
      <c r="AI809" s="4" t="s">
        <v>6296</v>
      </c>
      <c r="AJ809" s="4" t="s">
        <v>6296</v>
      </c>
      <c r="AK809" s="4" t="s">
        <v>6296</v>
      </c>
      <c r="AL809" s="4" t="s">
        <v>6296</v>
      </c>
      <c r="AM809" s="4" t="s">
        <v>6296</v>
      </c>
      <c r="AN809" s="4" t="s">
        <v>6296</v>
      </c>
      <c r="AO809" s="4" t="s">
        <v>6296</v>
      </c>
      <c r="AP809" s="4" t="s">
        <v>3081</v>
      </c>
      <c r="AQ809" s="4" t="s">
        <v>47</v>
      </c>
    </row>
    <row r="810" spans="1:43" ht="12.6" customHeight="1" x14ac:dyDescent="0.25">
      <c r="A810" s="8" t="s">
        <v>5655</v>
      </c>
      <c r="B810" s="9">
        <v>20151231</v>
      </c>
      <c r="C810" s="12">
        <f>_xll.FDS("SPX","FG_PRICE(12/30/2015)")</f>
        <v>2063.36</v>
      </c>
      <c r="D810" s="12">
        <f>_xll.FDS("SPX","FG_PRICE(12/30/2017)")</f>
        <v>2673.61</v>
      </c>
      <c r="E810" s="15">
        <f>D810/C810-1</f>
        <v>0.2957554668114144</v>
      </c>
      <c r="F810" s="8" t="s">
        <v>5656</v>
      </c>
      <c r="G810" s="8" t="s">
        <v>5657</v>
      </c>
      <c r="H810" s="13">
        <f>_xll.FDS(G810,"FG_PRICE(12/30/2015)")</f>
        <v>35.04</v>
      </c>
      <c r="I810" s="13">
        <f>_xll.FDS(G810,"FG_PRICE(12/31/2017)")</f>
        <v>60.77</v>
      </c>
      <c r="J810" s="13">
        <f>I810/H810-1</f>
        <v>0.73430365296803668</v>
      </c>
      <c r="K810" s="13">
        <f>J810-E810</f>
        <v>0.43854818615662228</v>
      </c>
      <c r="L810" s="13">
        <f>_xll.FDS(G810,"FF_ROE(ANN_R,12/30/2015)")</f>
        <v>5.5490472912266791</v>
      </c>
      <c r="M810" s="8" t="s">
        <v>5658</v>
      </c>
      <c r="N810" s="4" t="s">
        <v>5658</v>
      </c>
      <c r="O810" s="4" t="s">
        <v>4524</v>
      </c>
      <c r="P810" s="4" t="s">
        <v>106</v>
      </c>
      <c r="Q810" s="4" t="s">
        <v>65</v>
      </c>
      <c r="R810" s="4" t="s">
        <v>61</v>
      </c>
      <c r="S810" s="4" t="s">
        <v>62</v>
      </c>
      <c r="T810" s="6" t="e">
        <v>#N/A</v>
      </c>
      <c r="U810" s="5">
        <v>56</v>
      </c>
      <c r="V810" s="5">
        <v>44</v>
      </c>
      <c r="W810" s="5">
        <v>51</v>
      </c>
      <c r="X810" s="5">
        <v>79</v>
      </c>
      <c r="Y810" s="5">
        <v>65.19</v>
      </c>
      <c r="Z810" s="5">
        <v>46.41</v>
      </c>
      <c r="AA810" s="5">
        <v>53.04</v>
      </c>
      <c r="AB810" s="5">
        <v>92.82</v>
      </c>
      <c r="AC810" s="6">
        <v>0.3</v>
      </c>
      <c r="AD810" s="6">
        <v>0.45</v>
      </c>
      <c r="AE810" s="6">
        <v>0.25</v>
      </c>
      <c r="AF810" s="4" t="s">
        <v>6296</v>
      </c>
      <c r="AG810" s="4" t="s">
        <v>6296</v>
      </c>
      <c r="AH810" s="4" t="s">
        <v>6296</v>
      </c>
      <c r="AI810" s="4" t="s">
        <v>6296</v>
      </c>
      <c r="AJ810" s="4" t="s">
        <v>6296</v>
      </c>
      <c r="AK810" s="4" t="s">
        <v>6296</v>
      </c>
      <c r="AL810" s="4" t="s">
        <v>6296</v>
      </c>
      <c r="AM810" s="4" t="s">
        <v>42</v>
      </c>
      <c r="AN810" s="4" t="s">
        <v>6296</v>
      </c>
      <c r="AO810" s="4" t="s">
        <v>6296</v>
      </c>
      <c r="AP810" s="4" t="s">
        <v>5659</v>
      </c>
      <c r="AQ810" s="4" t="s">
        <v>47</v>
      </c>
    </row>
    <row r="811" spans="1:43" ht="12.6" customHeight="1" x14ac:dyDescent="0.25">
      <c r="A811" s="8" t="s">
        <v>6199</v>
      </c>
      <c r="B811" s="9">
        <v>20151231</v>
      </c>
      <c r="C811" s="12">
        <f>_xll.FDS("SPX","FG_PRICE(12/30/2015)")</f>
        <v>2063.36</v>
      </c>
      <c r="D811" s="12">
        <f>_xll.FDS("SPX","FG_PRICE(12/30/2017)")</f>
        <v>2673.61</v>
      </c>
      <c r="E811" s="15">
        <f>D811/C811-1</f>
        <v>0.2957554668114144</v>
      </c>
      <c r="F811" s="8" t="s">
        <v>6200</v>
      </c>
      <c r="G811" s="8" t="s">
        <v>6201</v>
      </c>
      <c r="H811" s="13">
        <f>_xll.FDS(G811,"FG_PRICE(12/30/2015)")</f>
        <v>36.479999999999997</v>
      </c>
      <c r="I811" s="13">
        <f>_xll.FDS(G811,"FG_PRICE(12/31/2017)")</f>
        <v>73.62</v>
      </c>
      <c r="J811" s="13">
        <f>I811/H811-1</f>
        <v>1.0180921052631584</v>
      </c>
      <c r="K811" s="13">
        <f>J811-E811</f>
        <v>0.72233663845174401</v>
      </c>
      <c r="L811" s="13">
        <f>_xll.FDS(G811,"FF_ROE(ANN_R,12/30/2015)")</f>
        <v>5.3587415270494949</v>
      </c>
      <c r="M811" s="8" t="s">
        <v>6202</v>
      </c>
      <c r="N811" s="4" t="s">
        <v>6203</v>
      </c>
      <c r="O811" s="4" t="s">
        <v>6204</v>
      </c>
      <c r="P811" s="4" t="s">
        <v>106</v>
      </c>
      <c r="Q811" s="4" t="s">
        <v>65</v>
      </c>
      <c r="R811" s="4" t="s">
        <v>61</v>
      </c>
      <c r="S811" s="4" t="s">
        <v>62</v>
      </c>
      <c r="T811" s="6" t="e">
        <v>#N/A</v>
      </c>
      <c r="U811" s="5">
        <v>53</v>
      </c>
      <c r="V811" s="5">
        <v>48</v>
      </c>
      <c r="W811" s="5">
        <v>52</v>
      </c>
      <c r="X811" s="5">
        <v>61</v>
      </c>
      <c r="Y811" s="5">
        <v>48.62</v>
      </c>
      <c r="Z811" s="5">
        <v>55.25</v>
      </c>
      <c r="AA811" s="5">
        <v>57.46</v>
      </c>
      <c r="AB811" s="5">
        <v>35.909999999999997</v>
      </c>
      <c r="AC811" s="6">
        <v>0.3</v>
      </c>
      <c r="AD811" s="6">
        <v>0.45</v>
      </c>
      <c r="AE811" s="6">
        <v>0.25</v>
      </c>
      <c r="AF811" s="4" t="s">
        <v>6296</v>
      </c>
      <c r="AG811" s="4" t="s">
        <v>6296</v>
      </c>
      <c r="AH811" s="4" t="s">
        <v>6296</v>
      </c>
      <c r="AI811" s="4" t="s">
        <v>6296</v>
      </c>
      <c r="AJ811" s="4" t="s">
        <v>6296</v>
      </c>
      <c r="AK811" s="4" t="s">
        <v>37</v>
      </c>
      <c r="AL811" s="4" t="s">
        <v>42</v>
      </c>
      <c r="AM811" s="4" t="s">
        <v>42</v>
      </c>
      <c r="AN811" s="4" t="s">
        <v>6296</v>
      </c>
      <c r="AO811" s="4" t="s">
        <v>6296</v>
      </c>
      <c r="AP811" s="4" t="s">
        <v>6205</v>
      </c>
      <c r="AQ811" s="4" t="s">
        <v>47</v>
      </c>
    </row>
    <row r="812" spans="1:43" ht="12.6" customHeight="1" x14ac:dyDescent="0.25">
      <c r="A812" s="8" t="s">
        <v>6371</v>
      </c>
      <c r="B812" s="9">
        <v>20151231</v>
      </c>
      <c r="C812" s="12">
        <f>_xll.FDS("SPX","FG_PRICE(12/30/2015)")</f>
        <v>2063.36</v>
      </c>
      <c r="D812" s="12">
        <f>_xll.FDS("SPX","FG_PRICE(12/30/2017)")</f>
        <v>2673.61</v>
      </c>
      <c r="E812" s="15">
        <f>D812/C812-1</f>
        <v>0.2957554668114144</v>
      </c>
      <c r="F812" s="8" t="s">
        <v>6372</v>
      </c>
      <c r="G812" s="8" t="s">
        <v>6373</v>
      </c>
      <c r="H812" s="13">
        <f>_xll.FDS(G812,"FG_PRICE(12/30/2015)")</f>
        <v>25.24</v>
      </c>
      <c r="I812" s="13" t="e">
        <f>_xll.FDS(G812,"FG_PRICE(12/31/2017)")</f>
        <v>#N/A</v>
      </c>
      <c r="J812" s="13" t="e">
        <f>I812/H812-1</f>
        <v>#N/A</v>
      </c>
      <c r="K812" s="13" t="e">
        <f>J812-E812</f>
        <v>#N/A</v>
      </c>
      <c r="L812" s="13">
        <f>_xll.FDS(G812,"FF_ROE(ANN_R,12/30/2015)")</f>
        <v>10.384434385400001</v>
      </c>
      <c r="M812" s="8" t="s">
        <v>6374</v>
      </c>
      <c r="N812" s="4" t="s">
        <v>6375</v>
      </c>
      <c r="O812" s="4" t="s">
        <v>47</v>
      </c>
      <c r="P812" s="4" t="s">
        <v>96</v>
      </c>
      <c r="Q812" s="4" t="s">
        <v>65</v>
      </c>
      <c r="R812" s="4" t="s">
        <v>61</v>
      </c>
      <c r="S812" s="4" t="s">
        <v>62</v>
      </c>
      <c r="T812" s="6" t="e">
        <v>#N/A</v>
      </c>
      <c r="U812" s="5">
        <v>57</v>
      </c>
      <c r="V812" s="5">
        <v>51</v>
      </c>
      <c r="W812" s="5">
        <v>63</v>
      </c>
      <c r="X812" s="5">
        <v>56</v>
      </c>
      <c r="Y812" s="5">
        <v>67.959999999999994</v>
      </c>
      <c r="Z812" s="5">
        <v>62.98</v>
      </c>
      <c r="AA812" s="5">
        <v>81.77</v>
      </c>
      <c r="AB812" s="5">
        <v>19.34</v>
      </c>
      <c r="AC812" s="6">
        <v>0.3</v>
      </c>
      <c r="AD812" s="6">
        <v>0.45</v>
      </c>
      <c r="AE812" s="6">
        <v>0.25</v>
      </c>
      <c r="AF812" s="4" t="s">
        <v>6296</v>
      </c>
      <c r="AG812" s="4" t="s">
        <v>6296</v>
      </c>
      <c r="AH812" s="4" t="s">
        <v>6296</v>
      </c>
      <c r="AI812" s="4" t="s">
        <v>6296</v>
      </c>
      <c r="AJ812" s="4" t="s">
        <v>6296</v>
      </c>
      <c r="AK812" s="4" t="s">
        <v>6296</v>
      </c>
      <c r="AL812" s="4" t="s">
        <v>6296</v>
      </c>
      <c r="AM812" s="4" t="s">
        <v>6296</v>
      </c>
      <c r="AN812" s="4" t="s">
        <v>6296</v>
      </c>
      <c r="AO812" s="4" t="s">
        <v>6296</v>
      </c>
      <c r="AP812" s="4" t="s">
        <v>6376</v>
      </c>
      <c r="AQ812" s="4" t="s">
        <v>47</v>
      </c>
    </row>
    <row r="813" spans="1:43" ht="12.6" customHeight="1" x14ac:dyDescent="0.25">
      <c r="A813" s="8" t="s">
        <v>2084</v>
      </c>
      <c r="B813" s="9">
        <v>20151231</v>
      </c>
      <c r="C813" s="12">
        <f>_xll.FDS("SPX","FG_PRICE(12/30/2015)")</f>
        <v>2063.36</v>
      </c>
      <c r="D813" s="12">
        <f>_xll.FDS("SPX","FG_PRICE(12/30/2017)")</f>
        <v>2673.61</v>
      </c>
      <c r="E813" s="15">
        <f>D813/C813-1</f>
        <v>0.2957554668114144</v>
      </c>
      <c r="F813" s="8" t="s">
        <v>2085</v>
      </c>
      <c r="G813" s="8" t="s">
        <v>2086</v>
      </c>
      <c r="H813" s="13">
        <f>_xll.FDS(G813,"FG_PRICE(12/30/2015)")</f>
        <v>83.65</v>
      </c>
      <c r="I813" s="13">
        <f>_xll.FDS(G813,"FG_PRICE(12/31/2017)")</f>
        <v>120.1</v>
      </c>
      <c r="J813" s="13">
        <f>I813/H813-1</f>
        <v>0.43574417214584571</v>
      </c>
      <c r="K813" s="13">
        <f>J813-E813</f>
        <v>0.13998870533443131</v>
      </c>
      <c r="L813" s="13">
        <f>_xll.FDS(G813,"FF_ROE(ANN_R,12/30/2015)")</f>
        <v>12.692432443283209</v>
      </c>
      <c r="M813" s="8" t="s">
        <v>2087</v>
      </c>
      <c r="N813" s="4" t="s">
        <v>2088</v>
      </c>
      <c r="O813" s="4" t="s">
        <v>2089</v>
      </c>
      <c r="P813" s="4" t="s">
        <v>96</v>
      </c>
      <c r="Q813" s="4" t="s">
        <v>65</v>
      </c>
      <c r="R813" s="4" t="s">
        <v>61</v>
      </c>
      <c r="S813" s="4" t="s">
        <v>62</v>
      </c>
      <c r="T813" s="6" t="e">
        <v>#N/A</v>
      </c>
      <c r="U813" s="5">
        <v>51</v>
      </c>
      <c r="V813" s="5">
        <v>42</v>
      </c>
      <c r="W813" s="5">
        <v>50</v>
      </c>
      <c r="X813" s="5">
        <v>63</v>
      </c>
      <c r="Y813" s="5">
        <v>40.880000000000003</v>
      </c>
      <c r="Z813" s="5">
        <v>33.15</v>
      </c>
      <c r="AA813" s="5">
        <v>48.07</v>
      </c>
      <c r="AB813" s="5">
        <v>44.75</v>
      </c>
      <c r="AC813" s="6">
        <v>0.3</v>
      </c>
      <c r="AD813" s="6">
        <v>0.45</v>
      </c>
      <c r="AE813" s="6">
        <v>0.25</v>
      </c>
      <c r="AF813" s="4" t="s">
        <v>6296</v>
      </c>
      <c r="AG813" s="4" t="s">
        <v>6296</v>
      </c>
      <c r="AH813" s="4" t="s">
        <v>6296</v>
      </c>
      <c r="AI813" s="4" t="s">
        <v>6296</v>
      </c>
      <c r="AJ813" s="4" t="s">
        <v>6296</v>
      </c>
      <c r="AK813" s="4" t="s">
        <v>6296</v>
      </c>
      <c r="AL813" s="4" t="s">
        <v>6296</v>
      </c>
      <c r="AM813" s="4" t="s">
        <v>6296</v>
      </c>
      <c r="AN813" s="4" t="s">
        <v>6296</v>
      </c>
      <c r="AO813" s="4" t="s">
        <v>6296</v>
      </c>
      <c r="AP813" s="4" t="s">
        <v>2090</v>
      </c>
      <c r="AQ813" s="4" t="s">
        <v>47</v>
      </c>
    </row>
    <row r="814" spans="1:43" ht="12.6" customHeight="1" x14ac:dyDescent="0.25">
      <c r="A814" s="8" t="s">
        <v>4902</v>
      </c>
      <c r="B814" s="9">
        <v>20151231</v>
      </c>
      <c r="C814" s="12">
        <f>_xll.FDS("SPX","FG_PRICE(12/30/2015)")</f>
        <v>2063.36</v>
      </c>
      <c r="D814" s="12">
        <f>_xll.FDS("SPX","FG_PRICE(12/30/2017)")</f>
        <v>2673.61</v>
      </c>
      <c r="E814" s="15">
        <f>D814/C814-1</f>
        <v>0.2957554668114144</v>
      </c>
      <c r="F814" s="8" t="s">
        <v>4903</v>
      </c>
      <c r="G814" s="8" t="s">
        <v>4904</v>
      </c>
      <c r="H814" s="13">
        <f>_xll.FDS(G814,"FG_PRICE(12/30/2015)")</f>
        <v>54.66</v>
      </c>
      <c r="I814" s="13" t="e">
        <f>_xll.FDS(G814,"FG_PRICE(12/31/2017)")</f>
        <v>#N/A</v>
      </c>
      <c r="J814" s="13" t="e">
        <f>I814/H814-1</f>
        <v>#N/A</v>
      </c>
      <c r="K814" s="13" t="e">
        <f>J814-E814</f>
        <v>#N/A</v>
      </c>
      <c r="L814" s="13">
        <f>_xll.FDS(G814,"FF_ROE(ANN_R,12/30/2015)")</f>
        <v>-22.134769747510099</v>
      </c>
      <c r="M814" s="8" t="s">
        <v>4905</v>
      </c>
      <c r="N814" s="4" t="s">
        <v>4906</v>
      </c>
      <c r="O814" s="4" t="s">
        <v>47</v>
      </c>
      <c r="P814" s="4" t="s">
        <v>96</v>
      </c>
      <c r="Q814" s="4" t="s">
        <v>65</v>
      </c>
      <c r="R814" s="4" t="s">
        <v>61</v>
      </c>
      <c r="S814" s="4" t="s">
        <v>62</v>
      </c>
      <c r="T814" s="6" t="e">
        <v>#N/A</v>
      </c>
      <c r="U814" s="5">
        <v>53</v>
      </c>
      <c r="V814" s="5">
        <v>39</v>
      </c>
      <c r="W814" s="5">
        <v>57</v>
      </c>
      <c r="X814" s="5">
        <v>64</v>
      </c>
      <c r="Y814" s="5">
        <v>48.62</v>
      </c>
      <c r="Z814" s="5">
        <v>11.6</v>
      </c>
      <c r="AA814" s="5">
        <v>71.27</v>
      </c>
      <c r="AB814" s="5">
        <v>48.07</v>
      </c>
      <c r="AC814" s="6">
        <v>0.3</v>
      </c>
      <c r="AD814" s="6">
        <v>0.45</v>
      </c>
      <c r="AE814" s="6">
        <v>0.25</v>
      </c>
      <c r="AF814" s="4" t="s">
        <v>6296</v>
      </c>
      <c r="AG814" s="4" t="s">
        <v>6296</v>
      </c>
      <c r="AH814" s="4" t="s">
        <v>6296</v>
      </c>
      <c r="AI814" s="4" t="s">
        <v>6296</v>
      </c>
      <c r="AJ814" s="4" t="s">
        <v>6296</v>
      </c>
      <c r="AK814" s="4" t="s">
        <v>6296</v>
      </c>
      <c r="AL814" s="4" t="s">
        <v>6296</v>
      </c>
      <c r="AM814" s="4" t="s">
        <v>6296</v>
      </c>
      <c r="AN814" s="4" t="s">
        <v>6296</v>
      </c>
      <c r="AO814" s="4" t="s">
        <v>6296</v>
      </c>
      <c r="AP814" s="4" t="s">
        <v>4907</v>
      </c>
      <c r="AQ814" s="4" t="s">
        <v>47</v>
      </c>
    </row>
    <row r="815" spans="1:43" ht="12.6" customHeight="1" x14ac:dyDescent="0.25">
      <c r="A815" s="8" t="s">
        <v>3893</v>
      </c>
      <c r="B815" s="9">
        <v>20151231</v>
      </c>
      <c r="C815" s="12">
        <f>_xll.FDS("SPX","FG_PRICE(12/30/2015)")</f>
        <v>2063.36</v>
      </c>
      <c r="D815" s="12">
        <f>_xll.FDS("SPX","FG_PRICE(12/30/2017)")</f>
        <v>2673.61</v>
      </c>
      <c r="E815" s="15">
        <f>D815/C815-1</f>
        <v>0.2957554668114144</v>
      </c>
      <c r="F815" s="8" t="s">
        <v>3894</v>
      </c>
      <c r="G815" s="8" t="s">
        <v>3895</v>
      </c>
      <c r="H815" s="13">
        <f>_xll.FDS(G815,"FG_PRICE(12/30/2015)")</f>
        <v>46.14</v>
      </c>
      <c r="I815" s="13">
        <f>_xll.FDS(G815,"FG_PRICE(12/31/2017)")</f>
        <v>85.24</v>
      </c>
      <c r="J815" s="13">
        <f>I815/H815-1</f>
        <v>0.84742089293454681</v>
      </c>
      <c r="K815" s="13">
        <f>J815-E815</f>
        <v>0.55166542612313241</v>
      </c>
      <c r="L815" s="13">
        <f>_xll.FDS(G815,"FF_ROE(ANN_R,12/30/2015)")</f>
        <v>7.2997801833523184</v>
      </c>
      <c r="M815" s="8" t="s">
        <v>3896</v>
      </c>
      <c r="N815" s="4" t="s">
        <v>3897</v>
      </c>
      <c r="O815" s="4" t="s">
        <v>3898</v>
      </c>
      <c r="P815" s="4" t="s">
        <v>106</v>
      </c>
      <c r="Q815" s="4" t="s">
        <v>65</v>
      </c>
      <c r="R815" s="4" t="s">
        <v>61</v>
      </c>
      <c r="S815" s="4" t="s">
        <v>62</v>
      </c>
      <c r="T815" s="6" t="e">
        <v>#N/A</v>
      </c>
      <c r="U815" s="5">
        <v>52</v>
      </c>
      <c r="V815" s="5">
        <v>46</v>
      </c>
      <c r="W815" s="5">
        <v>48</v>
      </c>
      <c r="X815" s="5">
        <v>65</v>
      </c>
      <c r="Y815" s="5">
        <v>44.75</v>
      </c>
      <c r="Z815" s="5">
        <v>51.38</v>
      </c>
      <c r="AA815" s="5">
        <v>39.229999999999997</v>
      </c>
      <c r="AB815" s="5">
        <v>54.14</v>
      </c>
      <c r="AC815" s="6">
        <v>0.3</v>
      </c>
      <c r="AD815" s="6">
        <v>0.45</v>
      </c>
      <c r="AE815" s="6">
        <v>0.25</v>
      </c>
      <c r="AF815" s="4" t="s">
        <v>6296</v>
      </c>
      <c r="AG815" s="4" t="s">
        <v>6296</v>
      </c>
      <c r="AH815" s="4" t="s">
        <v>6296</v>
      </c>
      <c r="AI815" s="4" t="s">
        <v>6296</v>
      </c>
      <c r="AJ815" s="4" t="s">
        <v>6296</v>
      </c>
      <c r="AK815" s="4" t="s">
        <v>6296</v>
      </c>
      <c r="AL815" s="4" t="s">
        <v>6296</v>
      </c>
      <c r="AM815" s="4" t="s">
        <v>42</v>
      </c>
      <c r="AN815" s="4" t="s">
        <v>6296</v>
      </c>
      <c r="AO815" s="4" t="s">
        <v>6296</v>
      </c>
      <c r="AP815" s="4" t="s">
        <v>3899</v>
      </c>
      <c r="AQ815" s="4" t="s">
        <v>47</v>
      </c>
    </row>
    <row r="816" spans="1:43" ht="12.6" customHeight="1" x14ac:dyDescent="0.25">
      <c r="A816" s="8" t="s">
        <v>5157</v>
      </c>
      <c r="B816" s="9">
        <v>20151231</v>
      </c>
      <c r="C816" s="12">
        <f>_xll.FDS("SPX","FG_PRICE(12/30/2015)")</f>
        <v>2063.36</v>
      </c>
      <c r="D816" s="12">
        <f>_xll.FDS("SPX","FG_PRICE(12/30/2017)")</f>
        <v>2673.61</v>
      </c>
      <c r="E816" s="15">
        <f>D816/C816-1</f>
        <v>0.2957554668114144</v>
      </c>
      <c r="F816" s="8" t="s">
        <v>5158</v>
      </c>
      <c r="G816" s="8" t="s">
        <v>5159</v>
      </c>
      <c r="H816" s="13">
        <f>_xll.FDS(G816,"FG_PRICE(12/30/2015)")</f>
        <v>58.79</v>
      </c>
      <c r="I816" s="13">
        <f>_xll.FDS(G816,"FG_PRICE(12/31/2017)")</f>
        <v>82.84</v>
      </c>
      <c r="J816" s="13">
        <f>I816/H816-1</f>
        <v>0.40908317741112432</v>
      </c>
      <c r="K816" s="13">
        <f>J816-E816</f>
        <v>0.11332771059970992</v>
      </c>
      <c r="L816" s="13">
        <f>_xll.FDS(G816,"FF_ROE(ANN_R,12/30/2015)")</f>
        <v>-27.1695733214702</v>
      </c>
      <c r="M816" s="8" t="s">
        <v>5160</v>
      </c>
      <c r="N816" s="4" t="s">
        <v>5160</v>
      </c>
      <c r="O816" s="4" t="s">
        <v>5161</v>
      </c>
      <c r="P816" s="4" t="s">
        <v>106</v>
      </c>
      <c r="Q816" s="4" t="s">
        <v>65</v>
      </c>
      <c r="R816" s="4" t="s">
        <v>61</v>
      </c>
      <c r="S816" s="4" t="s">
        <v>62</v>
      </c>
      <c r="T816" s="6" t="e">
        <v>#N/A</v>
      </c>
      <c r="U816" s="5">
        <v>51</v>
      </c>
      <c r="V816" s="5">
        <v>48</v>
      </c>
      <c r="W816" s="5">
        <v>46</v>
      </c>
      <c r="X816" s="5">
        <v>65</v>
      </c>
      <c r="Y816" s="5">
        <v>40.880000000000003</v>
      </c>
      <c r="Z816" s="5">
        <v>55.25</v>
      </c>
      <c r="AA816" s="5">
        <v>31.49</v>
      </c>
      <c r="AB816" s="5">
        <v>54.14</v>
      </c>
      <c r="AC816" s="6">
        <v>0.3</v>
      </c>
      <c r="AD816" s="6">
        <v>0.45</v>
      </c>
      <c r="AE816" s="6">
        <v>0.25</v>
      </c>
      <c r="AF816" s="4" t="s">
        <v>6296</v>
      </c>
      <c r="AG816" s="4" t="s">
        <v>6296</v>
      </c>
      <c r="AH816" s="4" t="s">
        <v>6296</v>
      </c>
      <c r="AI816" s="4" t="s">
        <v>6296</v>
      </c>
      <c r="AJ816" s="4" t="s">
        <v>6296</v>
      </c>
      <c r="AK816" s="4" t="s">
        <v>6296</v>
      </c>
      <c r="AL816" s="4" t="s">
        <v>6296</v>
      </c>
      <c r="AM816" s="4" t="s">
        <v>6296</v>
      </c>
      <c r="AN816" s="4" t="s">
        <v>6296</v>
      </c>
      <c r="AO816" s="4" t="s">
        <v>6296</v>
      </c>
      <c r="AP816" s="4" t="s">
        <v>5162</v>
      </c>
      <c r="AQ816" s="4" t="s">
        <v>47</v>
      </c>
    </row>
    <row r="817" spans="1:43" ht="12.6" customHeight="1" x14ac:dyDescent="0.25">
      <c r="A817" s="8" t="s">
        <v>5189</v>
      </c>
      <c r="B817" s="9">
        <v>20151231</v>
      </c>
      <c r="C817" s="12">
        <f>_xll.FDS("SPX","FG_PRICE(12/30/2015)")</f>
        <v>2063.36</v>
      </c>
      <c r="D817" s="12">
        <f>_xll.FDS("SPX","FG_PRICE(12/30/2017)")</f>
        <v>2673.61</v>
      </c>
      <c r="E817" s="15">
        <f>D817/C817-1</f>
        <v>0.2957554668114144</v>
      </c>
      <c r="F817" s="8" t="s">
        <v>5190</v>
      </c>
      <c r="G817" s="8" t="s">
        <v>5191</v>
      </c>
      <c r="H817" s="13">
        <f>_xll.FDS(G817,"FG_PRICE(12/30/2015)")</f>
        <v>58.84</v>
      </c>
      <c r="I817" s="13" t="e">
        <f>_xll.FDS(G817,"FG_PRICE(12/31/2017)")</f>
        <v>#N/A</v>
      </c>
      <c r="J817" s="13" t="e">
        <f>I817/H817-1</f>
        <v>#N/A</v>
      </c>
      <c r="K817" s="13" t="e">
        <f>J817-E817</f>
        <v>#N/A</v>
      </c>
      <c r="L817" s="13">
        <f>_xll.FDS(G817,"FF_ROE(ANN_R,12/30/2015)")</f>
        <v>14.563091410604301</v>
      </c>
      <c r="M817" s="8" t="s">
        <v>5192</v>
      </c>
      <c r="N817" s="4" t="s">
        <v>5193</v>
      </c>
      <c r="O817" s="4" t="s">
        <v>47</v>
      </c>
      <c r="P817" s="4" t="s">
        <v>96</v>
      </c>
      <c r="Q817" s="4" t="s">
        <v>65</v>
      </c>
      <c r="R817" s="4" t="s">
        <v>61</v>
      </c>
      <c r="S817" s="4" t="s">
        <v>62</v>
      </c>
      <c r="T817" s="6" t="e">
        <v>#N/A</v>
      </c>
      <c r="U817" s="5">
        <v>50</v>
      </c>
      <c r="V817" s="5">
        <v>37</v>
      </c>
      <c r="W817" s="5">
        <v>45</v>
      </c>
      <c r="X817" s="5">
        <v>75</v>
      </c>
      <c r="Y817" s="5">
        <v>36.46</v>
      </c>
      <c r="Z817" s="6">
        <v>1.1000000000000001</v>
      </c>
      <c r="AA817" s="5">
        <v>25.97</v>
      </c>
      <c r="AB817" s="5">
        <v>83.43</v>
      </c>
      <c r="AC817" s="6">
        <v>0.3</v>
      </c>
      <c r="AD817" s="6">
        <v>0.45</v>
      </c>
      <c r="AE817" s="6">
        <v>0.25</v>
      </c>
      <c r="AF817" s="4" t="s">
        <v>6296</v>
      </c>
      <c r="AG817" s="4" t="s">
        <v>6296</v>
      </c>
      <c r="AH817" s="4" t="s">
        <v>6296</v>
      </c>
      <c r="AI817" s="4" t="s">
        <v>6296</v>
      </c>
      <c r="AJ817" s="4" t="s">
        <v>6296</v>
      </c>
      <c r="AK817" s="4" t="s">
        <v>6296</v>
      </c>
      <c r="AL817" s="4" t="s">
        <v>6296</v>
      </c>
      <c r="AM817" s="4" t="s">
        <v>6296</v>
      </c>
      <c r="AN817" s="4" t="s">
        <v>42</v>
      </c>
      <c r="AO817" s="4" t="s">
        <v>6296</v>
      </c>
      <c r="AP817" s="4" t="s">
        <v>5194</v>
      </c>
      <c r="AQ817" s="4" t="s">
        <v>47</v>
      </c>
    </row>
    <row r="818" spans="1:43" ht="12.6" customHeight="1" x14ac:dyDescent="0.25">
      <c r="A818" s="8" t="s">
        <v>3866</v>
      </c>
      <c r="B818" s="9">
        <v>20151231</v>
      </c>
      <c r="C818" s="12">
        <f>_xll.FDS("SPX","FG_PRICE(12/30/2015)")</f>
        <v>2063.36</v>
      </c>
      <c r="D818" s="12">
        <f>_xll.FDS("SPX","FG_PRICE(12/30/2017)")</f>
        <v>2673.61</v>
      </c>
      <c r="E818" s="15">
        <f>D818/C818-1</f>
        <v>0.2957554668114144</v>
      </c>
      <c r="F818" s="8" t="s">
        <v>3867</v>
      </c>
      <c r="G818" s="8" t="s">
        <v>3868</v>
      </c>
      <c r="H818" s="13">
        <f>_xll.FDS(G818,"FG_PRICE(12/30/2015)")</f>
        <v>21.29</v>
      </c>
      <c r="I818" s="13">
        <f>_xll.FDS(G818,"FG_PRICE(12/31/2017)")</f>
        <v>28.06</v>
      </c>
      <c r="J818" s="13">
        <f>I818/H818-1</f>
        <v>0.31798966651009852</v>
      </c>
      <c r="K818" s="13">
        <f>J818-E818</f>
        <v>2.2234199698684121E-2</v>
      </c>
      <c r="L818" s="13">
        <f>_xll.FDS(G818,"FF_ROE(ANN_R,12/30/2015)")</f>
        <v>1.858165700647801</v>
      </c>
      <c r="M818" s="8" t="s">
        <v>3869</v>
      </c>
      <c r="N818" s="4" t="s">
        <v>3869</v>
      </c>
      <c r="O818" s="4" t="s">
        <v>3870</v>
      </c>
      <c r="P818" s="4" t="s">
        <v>106</v>
      </c>
      <c r="Q818" s="4" t="s">
        <v>65</v>
      </c>
      <c r="R818" s="4" t="s">
        <v>61</v>
      </c>
      <c r="S818" s="4" t="s">
        <v>62</v>
      </c>
      <c r="T818" s="6" t="e">
        <v>#N/A</v>
      </c>
      <c r="U818" s="5">
        <v>75</v>
      </c>
      <c r="V818" s="5">
        <v>69</v>
      </c>
      <c r="W818" s="5">
        <v>77</v>
      </c>
      <c r="X818" s="5">
        <v>81</v>
      </c>
      <c r="Y818" s="5">
        <v>93.37</v>
      </c>
      <c r="Z818" s="5">
        <v>85.08</v>
      </c>
      <c r="AA818" s="5">
        <v>95.58</v>
      </c>
      <c r="AB818" s="5">
        <v>95.58</v>
      </c>
      <c r="AC818" s="6">
        <v>0.3</v>
      </c>
      <c r="AD818" s="6">
        <v>0.45</v>
      </c>
      <c r="AE818" s="6">
        <v>0.25</v>
      </c>
      <c r="AF818" s="4" t="s">
        <v>6296</v>
      </c>
      <c r="AG818" s="4" t="s">
        <v>6296</v>
      </c>
      <c r="AH818" s="4" t="s">
        <v>6296</v>
      </c>
      <c r="AI818" s="4" t="s">
        <v>6296</v>
      </c>
      <c r="AJ818" s="4" t="s">
        <v>6296</v>
      </c>
      <c r="AK818" s="4" t="s">
        <v>6296</v>
      </c>
      <c r="AL818" s="4" t="s">
        <v>6296</v>
      </c>
      <c r="AM818" s="4" t="s">
        <v>42</v>
      </c>
      <c r="AN818" s="4" t="s">
        <v>6296</v>
      </c>
      <c r="AO818" s="4" t="s">
        <v>6296</v>
      </c>
      <c r="AP818" s="4" t="s">
        <v>3871</v>
      </c>
      <c r="AQ818" s="4" t="s">
        <v>47</v>
      </c>
    </row>
    <row r="819" spans="1:43" ht="12.6" customHeight="1" x14ac:dyDescent="0.25">
      <c r="A819" s="8" t="s">
        <v>4951</v>
      </c>
      <c r="B819" s="9">
        <v>20151231</v>
      </c>
      <c r="C819" s="12">
        <f>_xll.FDS("SPX","FG_PRICE(12/30/2015)")</f>
        <v>2063.36</v>
      </c>
      <c r="D819" s="12">
        <f>_xll.FDS("SPX","FG_PRICE(12/30/2017)")</f>
        <v>2673.61</v>
      </c>
      <c r="E819" s="15">
        <f>D819/C819-1</f>
        <v>0.2957554668114144</v>
      </c>
      <c r="F819" s="8" t="s">
        <v>4952</v>
      </c>
      <c r="G819" s="8" t="s">
        <v>4953</v>
      </c>
      <c r="H819" s="13">
        <f>_xll.FDS(G819,"FG_PRICE(12/30/2015)")</f>
        <v>26.82</v>
      </c>
      <c r="I819" s="13">
        <f>_xll.FDS(G819,"FG_PRICE(12/31/2017)")</f>
        <v>38.46</v>
      </c>
      <c r="J819" s="13">
        <f>I819/H819-1</f>
        <v>0.43400447427293076</v>
      </c>
      <c r="K819" s="13">
        <f>J819-E819</f>
        <v>0.13824900746151636</v>
      </c>
      <c r="L819" s="13">
        <f>_xll.FDS(G819,"FF_ROE(ANN_R,12/30/2015)")</f>
        <v>20.59483726150393</v>
      </c>
      <c r="M819" s="8" t="s">
        <v>4954</v>
      </c>
      <c r="N819" s="4" t="s">
        <v>4954</v>
      </c>
      <c r="O819" s="4" t="s">
        <v>4513</v>
      </c>
      <c r="P819" s="4" t="s">
        <v>96</v>
      </c>
      <c r="Q819" s="4" t="s">
        <v>65</v>
      </c>
      <c r="R819" s="4" t="s">
        <v>61</v>
      </c>
      <c r="S819" s="4" t="s">
        <v>62</v>
      </c>
      <c r="T819" s="6" t="e">
        <v>#N/A</v>
      </c>
      <c r="U819" s="5">
        <v>68</v>
      </c>
      <c r="V819" s="5">
        <v>68</v>
      </c>
      <c r="W819" s="5">
        <v>69</v>
      </c>
      <c r="X819" s="5">
        <v>68</v>
      </c>
      <c r="Y819" s="5">
        <v>86.74</v>
      </c>
      <c r="Z819" s="5">
        <v>83.43</v>
      </c>
      <c r="AA819" s="5">
        <v>89.5</v>
      </c>
      <c r="AB819" s="5">
        <v>69.61</v>
      </c>
      <c r="AC819" s="6">
        <v>0.3</v>
      </c>
      <c r="AD819" s="6">
        <v>0.45</v>
      </c>
      <c r="AE819" s="6">
        <v>0.25</v>
      </c>
      <c r="AF819" s="4" t="s">
        <v>6296</v>
      </c>
      <c r="AG819" s="4" t="s">
        <v>6296</v>
      </c>
      <c r="AH819" s="4" t="s">
        <v>6296</v>
      </c>
      <c r="AI819" s="4" t="s">
        <v>6296</v>
      </c>
      <c r="AJ819" s="4" t="s">
        <v>6296</v>
      </c>
      <c r="AK819" s="4" t="s">
        <v>6296</v>
      </c>
      <c r="AL819" s="4" t="s">
        <v>6296</v>
      </c>
      <c r="AM819" s="4" t="s">
        <v>6296</v>
      </c>
      <c r="AN819" s="4" t="s">
        <v>6296</v>
      </c>
      <c r="AO819" s="4" t="s">
        <v>6296</v>
      </c>
      <c r="AP819" s="4" t="s">
        <v>4955</v>
      </c>
      <c r="AQ819" s="4" t="s">
        <v>47</v>
      </c>
    </row>
    <row r="820" spans="1:43" ht="12.6" customHeight="1" x14ac:dyDescent="0.25">
      <c r="A820" s="8" t="s">
        <v>6482</v>
      </c>
      <c r="B820" s="9">
        <v>20151231</v>
      </c>
      <c r="C820" s="12">
        <f>_xll.FDS("SPX","FG_PRICE(12/30/2015)")</f>
        <v>2063.36</v>
      </c>
      <c r="D820" s="12">
        <f>_xll.FDS("SPX","FG_PRICE(12/30/2017)")</f>
        <v>2673.61</v>
      </c>
      <c r="E820" s="15">
        <f>D820/C820-1</f>
        <v>0.2957554668114144</v>
      </c>
      <c r="F820" s="8" t="s">
        <v>5767</v>
      </c>
      <c r="G820" s="8" t="s">
        <v>5768</v>
      </c>
      <c r="H820" s="13">
        <f>_xll.FDS(G820,"FG_PRICE(12/30/2015)")</f>
        <v>16.73</v>
      </c>
      <c r="I820" s="13">
        <f>_xll.FDS(G820,"FG_PRICE(12/31/2017)")</f>
        <v>15.6</v>
      </c>
      <c r="J820" s="13">
        <f>I820/H820-1</f>
        <v>-6.7543335325762177E-2</v>
      </c>
      <c r="K820" s="13">
        <f>J820-E820</f>
        <v>-0.36329880213717658</v>
      </c>
      <c r="L820" s="13">
        <f>_xll.FDS(G820,"FF_ROE(ANN_R,12/30/2015)")</f>
        <v>-1.1177608411724831</v>
      </c>
      <c r="M820" s="8" t="s">
        <v>5769</v>
      </c>
      <c r="N820" s="4" t="s">
        <v>6483</v>
      </c>
      <c r="O820" s="4" t="s">
        <v>6484</v>
      </c>
      <c r="P820" s="4" t="s">
        <v>106</v>
      </c>
      <c r="Q820" s="4" t="s">
        <v>65</v>
      </c>
      <c r="R820" s="4" t="s">
        <v>61</v>
      </c>
      <c r="S820" s="4" t="s">
        <v>62</v>
      </c>
      <c r="T820" s="6" t="e">
        <v>#N/A</v>
      </c>
      <c r="U820" s="5">
        <v>49</v>
      </c>
      <c r="V820" s="5">
        <v>37</v>
      </c>
      <c r="W820" s="5">
        <v>43</v>
      </c>
      <c r="X820" s="5">
        <v>75</v>
      </c>
      <c r="Y820" s="5">
        <v>32.04</v>
      </c>
      <c r="Z820" s="6">
        <v>1.1000000000000001</v>
      </c>
      <c r="AA820" s="5">
        <v>16.57</v>
      </c>
      <c r="AB820" s="5">
        <v>83.43</v>
      </c>
      <c r="AC820" s="6">
        <v>0.3</v>
      </c>
      <c r="AD820" s="6">
        <v>0.45</v>
      </c>
      <c r="AE820" s="6">
        <v>0.25</v>
      </c>
      <c r="AF820" s="4" t="s">
        <v>6296</v>
      </c>
      <c r="AG820" s="4" t="s">
        <v>6296</v>
      </c>
      <c r="AH820" s="4" t="s">
        <v>6296</v>
      </c>
      <c r="AI820" s="4" t="s">
        <v>6296</v>
      </c>
      <c r="AJ820" s="4" t="s">
        <v>6296</v>
      </c>
      <c r="AK820" s="4" t="s">
        <v>42</v>
      </c>
      <c r="AL820" s="4" t="s">
        <v>6296</v>
      </c>
      <c r="AM820" s="4" t="s">
        <v>42</v>
      </c>
      <c r="AN820" s="4" t="s">
        <v>6296</v>
      </c>
      <c r="AO820" s="4" t="s">
        <v>6296</v>
      </c>
      <c r="AP820" s="4" t="s">
        <v>6485</v>
      </c>
      <c r="AQ820" s="4" t="s">
        <v>47</v>
      </c>
    </row>
    <row r="821" spans="1:43" ht="12.6" customHeight="1" x14ac:dyDescent="0.25">
      <c r="A821" s="8" t="s">
        <v>4077</v>
      </c>
      <c r="B821" s="9">
        <v>20151231</v>
      </c>
      <c r="C821" s="12">
        <f>_xll.FDS("SPX","FG_PRICE(12/30/2015)")</f>
        <v>2063.36</v>
      </c>
      <c r="D821" s="12">
        <f>_xll.FDS("SPX","FG_PRICE(12/30/2017)")</f>
        <v>2673.61</v>
      </c>
      <c r="E821" s="15">
        <f>D821/C821-1</f>
        <v>0.2957554668114144</v>
      </c>
      <c r="F821" s="8" t="s">
        <v>4078</v>
      </c>
      <c r="G821" s="8" t="s">
        <v>4079</v>
      </c>
      <c r="H821" s="13">
        <f>_xll.FDS(G821,"FG_PRICE(12/30/2015)")</f>
        <v>50.15</v>
      </c>
      <c r="I821" s="13">
        <f>_xll.FDS(G821,"FG_PRICE(12/31/2017)")</f>
        <v>79.09</v>
      </c>
      <c r="J821" s="13">
        <f>I821/H821-1</f>
        <v>0.57706879361914276</v>
      </c>
      <c r="K821" s="13">
        <f>J821-E821</f>
        <v>0.28131332680772836</v>
      </c>
      <c r="L821" s="13">
        <f>_xll.FDS(G821,"FF_ROE(ANN_R,12/30/2015)")</f>
        <v>16.549928081374802</v>
      </c>
      <c r="M821" s="8" t="s">
        <v>4080</v>
      </c>
      <c r="N821" s="4" t="s">
        <v>4081</v>
      </c>
      <c r="O821" s="4" t="s">
        <v>4082</v>
      </c>
      <c r="P821" s="4" t="s">
        <v>96</v>
      </c>
      <c r="Q821" s="4" t="s">
        <v>65</v>
      </c>
      <c r="R821" s="4" t="s">
        <v>61</v>
      </c>
      <c r="S821" s="4" t="s">
        <v>62</v>
      </c>
      <c r="T821" s="6" t="e">
        <v>#N/A</v>
      </c>
      <c r="U821" s="5">
        <v>53</v>
      </c>
      <c r="V821" s="5">
        <v>48</v>
      </c>
      <c r="W821" s="5">
        <v>51</v>
      </c>
      <c r="X821" s="5">
        <v>64</v>
      </c>
      <c r="Y821" s="5">
        <v>48.62</v>
      </c>
      <c r="Z821" s="5">
        <v>55.25</v>
      </c>
      <c r="AA821" s="5">
        <v>53.04</v>
      </c>
      <c r="AB821" s="5">
        <v>48.07</v>
      </c>
      <c r="AC821" s="6">
        <v>0.3</v>
      </c>
      <c r="AD821" s="6">
        <v>0.45</v>
      </c>
      <c r="AE821" s="6">
        <v>0.25</v>
      </c>
      <c r="AF821" s="4" t="s">
        <v>6296</v>
      </c>
      <c r="AG821" s="4" t="s">
        <v>6296</v>
      </c>
      <c r="AH821" s="4" t="s">
        <v>6296</v>
      </c>
      <c r="AI821" s="4" t="s">
        <v>6296</v>
      </c>
      <c r="AJ821" s="4" t="s">
        <v>6296</v>
      </c>
      <c r="AK821" s="4" t="s">
        <v>6296</v>
      </c>
      <c r="AL821" s="4" t="s">
        <v>6296</v>
      </c>
      <c r="AM821" s="4" t="s">
        <v>6296</v>
      </c>
      <c r="AN821" s="4" t="s">
        <v>6296</v>
      </c>
      <c r="AO821" s="4" t="s">
        <v>6296</v>
      </c>
      <c r="AP821" s="4" t="s">
        <v>4083</v>
      </c>
      <c r="AQ821" s="4" t="s">
        <v>47</v>
      </c>
    </row>
    <row r="822" spans="1:43" ht="12.6" customHeight="1" x14ac:dyDescent="0.25">
      <c r="A822" s="8" t="s">
        <v>5813</v>
      </c>
      <c r="B822" s="9">
        <v>20151231</v>
      </c>
      <c r="C822" s="12">
        <f>_xll.FDS("SPX","FG_PRICE(12/30/2015)")</f>
        <v>2063.36</v>
      </c>
      <c r="D822" s="12">
        <f>_xll.FDS("SPX","FG_PRICE(12/30/2017)")</f>
        <v>2673.61</v>
      </c>
      <c r="E822" s="15">
        <f>D822/C822-1</f>
        <v>0.2957554668114144</v>
      </c>
      <c r="F822" s="8" t="s">
        <v>5814</v>
      </c>
      <c r="G822" s="8" t="s">
        <v>5815</v>
      </c>
      <c r="H822" s="13">
        <f>_xll.FDS(G822,"FG_PRICE(12/30/2015)")</f>
        <v>22.23</v>
      </c>
      <c r="I822" s="13">
        <f>_xll.FDS(G822,"FG_PRICE(12/31/2017)")</f>
        <v>24.01</v>
      </c>
      <c r="J822" s="13">
        <f>I822/H822-1</f>
        <v>8.0071974808817004E-2</v>
      </c>
      <c r="K822" s="13">
        <f>J822-E822</f>
        <v>-0.2156834920025974</v>
      </c>
      <c r="L822" s="13">
        <f>_xll.FDS(G822,"FF_ROE(ANN_R,12/30/2015)")</f>
        <v>-17.572508035920521</v>
      </c>
      <c r="M822" s="8" t="s">
        <v>5816</v>
      </c>
      <c r="N822" s="4" t="s">
        <v>5817</v>
      </c>
      <c r="O822" s="4" t="s">
        <v>5818</v>
      </c>
      <c r="P822" s="4" t="s">
        <v>96</v>
      </c>
      <c r="Q822" s="4" t="s">
        <v>65</v>
      </c>
      <c r="R822" s="4" t="s">
        <v>61</v>
      </c>
      <c r="S822" s="4" t="s">
        <v>62</v>
      </c>
      <c r="T822" s="6" t="e">
        <v>#N/A</v>
      </c>
      <c r="U822" s="5">
        <v>43</v>
      </c>
      <c r="V822" s="5">
        <v>40</v>
      </c>
      <c r="W822" s="5">
        <v>39</v>
      </c>
      <c r="X822" s="5">
        <v>56</v>
      </c>
      <c r="Y822" s="6">
        <v>3.87</v>
      </c>
      <c r="Z822" s="5">
        <v>14.92</v>
      </c>
      <c r="AA822" s="6">
        <v>2.76</v>
      </c>
      <c r="AB822" s="5">
        <v>19.34</v>
      </c>
      <c r="AC822" s="6">
        <v>0.3</v>
      </c>
      <c r="AD822" s="6">
        <v>0.45</v>
      </c>
      <c r="AE822" s="6">
        <v>0.25</v>
      </c>
      <c r="AF822" s="4" t="s">
        <v>6296</v>
      </c>
      <c r="AG822" s="4" t="s">
        <v>6296</v>
      </c>
      <c r="AH822" s="4" t="s">
        <v>6296</v>
      </c>
      <c r="AI822" s="4" t="s">
        <v>42</v>
      </c>
      <c r="AJ822" s="4" t="s">
        <v>6296</v>
      </c>
      <c r="AK822" s="4" t="s">
        <v>42</v>
      </c>
      <c r="AL822" s="4" t="s">
        <v>6296</v>
      </c>
      <c r="AM822" s="4" t="s">
        <v>42</v>
      </c>
      <c r="AN822" s="4" t="s">
        <v>6296</v>
      </c>
      <c r="AO822" s="4" t="s">
        <v>6296</v>
      </c>
      <c r="AP822" s="4" t="s">
        <v>5819</v>
      </c>
      <c r="AQ822" s="4" t="s">
        <v>47</v>
      </c>
    </row>
    <row r="823" spans="1:43" ht="12.6" customHeight="1" x14ac:dyDescent="0.25">
      <c r="A823" s="8" t="s">
        <v>4237</v>
      </c>
      <c r="B823" s="9">
        <v>20151231</v>
      </c>
      <c r="C823" s="12">
        <f>_xll.FDS("SPX","FG_PRICE(12/30/2015)")</f>
        <v>2063.36</v>
      </c>
      <c r="D823" s="12">
        <f>_xll.FDS("SPX","FG_PRICE(12/30/2017)")</f>
        <v>2673.61</v>
      </c>
      <c r="E823" s="15">
        <f>D823/C823-1</f>
        <v>0.2957554668114144</v>
      </c>
      <c r="F823" s="8" t="s">
        <v>4238</v>
      </c>
      <c r="G823" s="8" t="s">
        <v>4239</v>
      </c>
      <c r="H823" s="13">
        <f>_xll.FDS(G823,"FG_PRICE(12/30/2015)")</f>
        <v>11.33</v>
      </c>
      <c r="I823" s="13">
        <f>_xll.FDS(G823,"FG_PRICE(12/31/2017)")</f>
        <v>8.15</v>
      </c>
      <c r="J823" s="13">
        <f>I823/H823-1</f>
        <v>-0.28067078552515445</v>
      </c>
      <c r="K823" s="13">
        <f>J823-E823</f>
        <v>-0.57642625233656886</v>
      </c>
      <c r="L823" s="13" t="e">
        <f>_xll.FDS(G823,"FF_ROE(ANN_R,12/30/2015)")</f>
        <v>#N/A</v>
      </c>
      <c r="M823" s="8" t="s">
        <v>4240</v>
      </c>
      <c r="N823" s="4" t="s">
        <v>4240</v>
      </c>
      <c r="O823" s="4" t="s">
        <v>4241</v>
      </c>
      <c r="P823" s="4" t="s">
        <v>96</v>
      </c>
      <c r="Q823" s="4" t="s">
        <v>65</v>
      </c>
      <c r="R823" s="4" t="s">
        <v>61</v>
      </c>
      <c r="S823" s="4" t="s">
        <v>62</v>
      </c>
      <c r="T823" s="6" t="e">
        <v>#N/A</v>
      </c>
      <c r="U823" s="5">
        <v>53</v>
      </c>
      <c r="V823" s="5">
        <v>62</v>
      </c>
      <c r="W823" s="5">
        <v>43</v>
      </c>
      <c r="X823" s="5">
        <v>62</v>
      </c>
      <c r="Y823" s="5">
        <v>48.62</v>
      </c>
      <c r="Z823" s="5">
        <v>77.349999999999994</v>
      </c>
      <c r="AA823" s="5">
        <v>16.57</v>
      </c>
      <c r="AB823" s="5">
        <v>40.33</v>
      </c>
      <c r="AC823" s="6">
        <v>0.3</v>
      </c>
      <c r="AD823" s="6">
        <v>0.45</v>
      </c>
      <c r="AE823" s="6">
        <v>0.25</v>
      </c>
      <c r="AF823" s="4" t="s">
        <v>6296</v>
      </c>
      <c r="AG823" s="4" t="s">
        <v>6296</v>
      </c>
      <c r="AH823" s="4" t="s">
        <v>6296</v>
      </c>
      <c r="AI823" s="4" t="s">
        <v>42</v>
      </c>
      <c r="AJ823" s="4" t="s">
        <v>6296</v>
      </c>
      <c r="AK823" s="4" t="s">
        <v>42</v>
      </c>
      <c r="AL823" s="4" t="s">
        <v>6296</v>
      </c>
      <c r="AM823" s="4" t="s">
        <v>6296</v>
      </c>
      <c r="AN823" s="4" t="s">
        <v>6296</v>
      </c>
      <c r="AO823" s="4" t="s">
        <v>6296</v>
      </c>
      <c r="AP823" s="4" t="s">
        <v>4242</v>
      </c>
      <c r="AQ823" s="4" t="s">
        <v>47</v>
      </c>
    </row>
    <row r="824" spans="1:43" ht="12.6" customHeight="1" x14ac:dyDescent="0.25">
      <c r="A824" s="8" t="s">
        <v>4944</v>
      </c>
      <c r="B824" s="9">
        <v>20151231</v>
      </c>
      <c r="C824" s="12">
        <f>_xll.FDS("SPX","FG_PRICE(12/30/2015)")</f>
        <v>2063.36</v>
      </c>
      <c r="D824" s="12">
        <f>_xll.FDS("SPX","FG_PRICE(12/30/2017)")</f>
        <v>2673.61</v>
      </c>
      <c r="E824" s="15">
        <f>D824/C824-1</f>
        <v>0.2957554668114144</v>
      </c>
      <c r="F824" s="8" t="s">
        <v>4945</v>
      </c>
      <c r="G824" s="8" t="s">
        <v>4946</v>
      </c>
      <c r="H824" s="13">
        <f>_xll.FDS(G824,"FG_PRICE(12/30/2015)")</f>
        <v>57.03</v>
      </c>
      <c r="I824" s="13">
        <f>_xll.FDS(G824,"FG_PRICE(12/31/2017)")</f>
        <v>125.32</v>
      </c>
      <c r="J824" s="13">
        <f>I824/H824-1</f>
        <v>1.1974399438891812</v>
      </c>
      <c r="K824" s="13">
        <f>J824-E824</f>
        <v>0.90168447707776678</v>
      </c>
      <c r="L824" s="13">
        <f>_xll.FDS(G824,"FF_ROE(ANN_R,12/30/2015)")</f>
        <v>12.308119747169551</v>
      </c>
      <c r="M824" s="8" t="s">
        <v>4947</v>
      </c>
      <c r="N824" s="4" t="s">
        <v>4948</v>
      </c>
      <c r="O824" s="4" t="s">
        <v>4949</v>
      </c>
      <c r="P824" s="4" t="s">
        <v>96</v>
      </c>
      <c r="Q824" s="4" t="s">
        <v>65</v>
      </c>
      <c r="R824" s="4" t="s">
        <v>61</v>
      </c>
      <c r="S824" s="4" t="s">
        <v>62</v>
      </c>
      <c r="T824" s="6" t="e">
        <v>#N/A</v>
      </c>
      <c r="U824" s="5">
        <v>52</v>
      </c>
      <c r="V824" s="5">
        <v>43</v>
      </c>
      <c r="W824" s="5">
        <v>51</v>
      </c>
      <c r="X824" s="5">
        <v>62</v>
      </c>
      <c r="Y824" s="5">
        <v>44.75</v>
      </c>
      <c r="Z824" s="5">
        <v>40.880000000000003</v>
      </c>
      <c r="AA824" s="5">
        <v>53.04</v>
      </c>
      <c r="AB824" s="5">
        <v>40.33</v>
      </c>
      <c r="AC824" s="6">
        <v>0.3</v>
      </c>
      <c r="AD824" s="6">
        <v>0.45</v>
      </c>
      <c r="AE824" s="6">
        <v>0.25</v>
      </c>
      <c r="AF824" s="4" t="s">
        <v>6296</v>
      </c>
      <c r="AG824" s="4" t="s">
        <v>6296</v>
      </c>
      <c r="AH824" s="4" t="s">
        <v>6296</v>
      </c>
      <c r="AI824" s="4" t="s">
        <v>6296</v>
      </c>
      <c r="AJ824" s="4" t="s">
        <v>6296</v>
      </c>
      <c r="AK824" s="4" t="s">
        <v>6296</v>
      </c>
      <c r="AL824" s="4" t="s">
        <v>6296</v>
      </c>
      <c r="AM824" s="4" t="s">
        <v>37</v>
      </c>
      <c r="AN824" s="4" t="s">
        <v>6296</v>
      </c>
      <c r="AO824" s="4" t="s">
        <v>6296</v>
      </c>
      <c r="AP824" s="4" t="s">
        <v>4950</v>
      </c>
      <c r="AQ824" s="4" t="s">
        <v>47</v>
      </c>
    </row>
    <row r="825" spans="1:43" ht="12.6" customHeight="1" x14ac:dyDescent="0.25">
      <c r="A825" s="8" t="s">
        <v>793</v>
      </c>
      <c r="B825" s="9">
        <v>20151231</v>
      </c>
      <c r="C825" s="12">
        <f>_xll.FDS("SPX","FG_PRICE(12/30/2015)")</f>
        <v>2063.36</v>
      </c>
      <c r="D825" s="12">
        <f>_xll.FDS("SPX","FG_PRICE(12/30/2017)")</f>
        <v>2673.61</v>
      </c>
      <c r="E825" s="15">
        <f>D825/C825-1</f>
        <v>0.2957554668114144</v>
      </c>
      <c r="F825" s="8" t="s">
        <v>794</v>
      </c>
      <c r="G825" s="8" t="s">
        <v>795</v>
      </c>
      <c r="H825" s="13">
        <f>_xll.FDS(G825,"FG_PRICE(12/30/2015)")</f>
        <v>88.14</v>
      </c>
      <c r="I825" s="13">
        <f>_xll.FDS(G825,"FG_PRICE(12/31/2017)")</f>
        <v>114.44</v>
      </c>
      <c r="J825" s="13">
        <f>I825/H825-1</f>
        <v>0.29838892670751083</v>
      </c>
      <c r="K825" s="13">
        <f>J825-E825</f>
        <v>2.6334598960964239E-3</v>
      </c>
      <c r="L825" s="13" t="e">
        <f>_xll.FDS(G825,"FF_ROE(ANN_R,12/30/2015)")</f>
        <v>#N/A</v>
      </c>
      <c r="M825" s="8" t="s">
        <v>796</v>
      </c>
      <c r="N825" s="4" t="s">
        <v>797</v>
      </c>
      <c r="O825" s="4" t="s">
        <v>798</v>
      </c>
      <c r="P825" s="4" t="s">
        <v>106</v>
      </c>
      <c r="Q825" s="4" t="s">
        <v>65</v>
      </c>
      <c r="R825" s="4" t="s">
        <v>61</v>
      </c>
      <c r="S825" s="4" t="s">
        <v>62</v>
      </c>
      <c r="T825" s="6" t="e">
        <v>#N/A</v>
      </c>
      <c r="U825" s="5">
        <v>51</v>
      </c>
      <c r="V825" s="5">
        <v>45</v>
      </c>
      <c r="W825" s="5">
        <v>49</v>
      </c>
      <c r="X825" s="5">
        <v>60</v>
      </c>
      <c r="Y825" s="5">
        <v>40.880000000000003</v>
      </c>
      <c r="Z825" s="5">
        <v>48.07</v>
      </c>
      <c r="AA825" s="5">
        <v>44.2</v>
      </c>
      <c r="AB825" s="5">
        <v>33.700000000000003</v>
      </c>
      <c r="AC825" s="6">
        <v>0.3</v>
      </c>
      <c r="AD825" s="6">
        <v>0.45</v>
      </c>
      <c r="AE825" s="6">
        <v>0.25</v>
      </c>
      <c r="AF825" s="4" t="s">
        <v>6296</v>
      </c>
      <c r="AG825" s="4" t="s">
        <v>6296</v>
      </c>
      <c r="AH825" s="4" t="s">
        <v>6296</v>
      </c>
      <c r="AI825" s="4" t="s">
        <v>6296</v>
      </c>
      <c r="AJ825" s="4" t="s">
        <v>6296</v>
      </c>
      <c r="AK825" s="4" t="s">
        <v>6296</v>
      </c>
      <c r="AL825" s="4" t="s">
        <v>6296</v>
      </c>
      <c r="AM825" s="4" t="s">
        <v>6296</v>
      </c>
      <c r="AN825" s="4" t="s">
        <v>6296</v>
      </c>
      <c r="AO825" s="4" t="s">
        <v>6296</v>
      </c>
      <c r="AP825" s="4" t="s">
        <v>799</v>
      </c>
      <c r="AQ825" s="4" t="s">
        <v>47</v>
      </c>
    </row>
    <row r="826" spans="1:43" ht="12.6" customHeight="1" x14ac:dyDescent="0.25">
      <c r="A826" s="8" t="s">
        <v>5002</v>
      </c>
      <c r="B826" s="9">
        <v>20151231</v>
      </c>
      <c r="C826" s="12">
        <f>_xll.FDS("SPX","FG_PRICE(12/30/2015)")</f>
        <v>2063.36</v>
      </c>
      <c r="D826" s="12">
        <f>_xll.FDS("SPX","FG_PRICE(12/30/2017)")</f>
        <v>2673.61</v>
      </c>
      <c r="E826" s="15">
        <f>D826/C826-1</f>
        <v>0.2957554668114144</v>
      </c>
      <c r="F826" s="8" t="s">
        <v>5003</v>
      </c>
      <c r="G826" s="8" t="s">
        <v>5004</v>
      </c>
      <c r="H826" s="13">
        <f>_xll.FDS(G826,"FG_PRICE(12/30/2015)")</f>
        <v>78.349999999999994</v>
      </c>
      <c r="I826" s="13">
        <f>_xll.FDS(G826,"FG_PRICE(12/31/2017)")</f>
        <v>114.02</v>
      </c>
      <c r="J826" s="13">
        <f>I826/H826-1</f>
        <v>0.45526483726866629</v>
      </c>
      <c r="K826" s="13">
        <f>J826-E826</f>
        <v>0.15950937045725189</v>
      </c>
      <c r="L826" s="13">
        <f>_xll.FDS(G826,"FF_ROE(ANN_R,12/30/2015)")</f>
        <v>22.05222251331762</v>
      </c>
      <c r="M826" s="8" t="s">
        <v>5005</v>
      </c>
      <c r="N826" s="4" t="s">
        <v>5006</v>
      </c>
      <c r="O826" s="4" t="s">
        <v>5007</v>
      </c>
      <c r="P826" s="4" t="s">
        <v>96</v>
      </c>
      <c r="Q826" s="4" t="s">
        <v>65</v>
      </c>
      <c r="R826" s="4" t="s">
        <v>61</v>
      </c>
      <c r="S826" s="4" t="s">
        <v>62</v>
      </c>
      <c r="T826" s="6" t="e">
        <v>#N/A</v>
      </c>
      <c r="U826" s="5">
        <v>63</v>
      </c>
      <c r="V826" s="5">
        <v>57</v>
      </c>
      <c r="W826" s="5">
        <v>60</v>
      </c>
      <c r="X826" s="5">
        <v>76</v>
      </c>
      <c r="Y826" s="5">
        <v>82.87</v>
      </c>
      <c r="Z826" s="5">
        <v>73.48</v>
      </c>
      <c r="AA826" s="5">
        <v>76.8</v>
      </c>
      <c r="AB826" s="5">
        <v>89.5</v>
      </c>
      <c r="AC826" s="6">
        <v>0.3</v>
      </c>
      <c r="AD826" s="6">
        <v>0.45</v>
      </c>
      <c r="AE826" s="6">
        <v>0.25</v>
      </c>
      <c r="AF826" s="4" t="s">
        <v>6296</v>
      </c>
      <c r="AG826" s="4" t="s">
        <v>6296</v>
      </c>
      <c r="AH826" s="4" t="s">
        <v>6296</v>
      </c>
      <c r="AI826" s="4" t="s">
        <v>6296</v>
      </c>
      <c r="AJ826" s="4" t="s">
        <v>6296</v>
      </c>
      <c r="AK826" s="4" t="s">
        <v>46</v>
      </c>
      <c r="AL826" s="4" t="s">
        <v>42</v>
      </c>
      <c r="AM826" s="4" t="s">
        <v>42</v>
      </c>
      <c r="AN826" s="4" t="s">
        <v>6296</v>
      </c>
      <c r="AO826" s="4" t="s">
        <v>6296</v>
      </c>
      <c r="AP826" s="4" t="s">
        <v>5008</v>
      </c>
      <c r="AQ826" s="4" t="s">
        <v>47</v>
      </c>
    </row>
    <row r="827" spans="1:43" ht="12.6" customHeight="1" x14ac:dyDescent="0.25">
      <c r="A827" s="8" t="s">
        <v>4688</v>
      </c>
      <c r="B827" s="9">
        <v>20151231</v>
      </c>
      <c r="C827" s="12">
        <f>_xll.FDS("SPX","FG_PRICE(12/30/2015)")</f>
        <v>2063.36</v>
      </c>
      <c r="D827" s="12">
        <f>_xll.FDS("SPX","FG_PRICE(12/30/2017)")</f>
        <v>2673.61</v>
      </c>
      <c r="E827" s="15">
        <f>D827/C827-1</f>
        <v>0.2957554668114144</v>
      </c>
      <c r="F827" s="8" t="s">
        <v>4689</v>
      </c>
      <c r="G827" s="8" t="s">
        <v>4690</v>
      </c>
      <c r="H827" s="13">
        <f>_xll.FDS(G827,"FG_PRICE(12/30/2015)")</f>
        <v>49.34</v>
      </c>
      <c r="I827" s="13" t="e">
        <f>_xll.FDS(G827,"FG_PRICE(12/31/2017)")</f>
        <v>#N/A</v>
      </c>
      <c r="J827" s="13" t="e">
        <f>I827/H827-1</f>
        <v>#N/A</v>
      </c>
      <c r="K827" s="13" t="e">
        <f>J827-E827</f>
        <v>#N/A</v>
      </c>
      <c r="L827" s="13">
        <f>_xll.FDS(G827,"FF_ROE(ANN_R,12/30/2015)")</f>
        <v>32.42992764041206</v>
      </c>
      <c r="M827" s="8" t="s">
        <v>4691</v>
      </c>
      <c r="N827" s="4" t="s">
        <v>4691</v>
      </c>
      <c r="O827" s="4" t="s">
        <v>4692</v>
      </c>
      <c r="P827" s="4" t="s">
        <v>106</v>
      </c>
      <c r="Q827" s="4" t="s">
        <v>65</v>
      </c>
      <c r="R827" s="4" t="s">
        <v>61</v>
      </c>
      <c r="S827" s="4" t="s">
        <v>62</v>
      </c>
      <c r="T827" s="6" t="e">
        <v>#N/A</v>
      </c>
      <c r="U827" s="5">
        <v>46</v>
      </c>
      <c r="V827" s="5">
        <v>37</v>
      </c>
      <c r="W827" s="5">
        <v>39</v>
      </c>
      <c r="X827" s="5">
        <v>69</v>
      </c>
      <c r="Y827" s="5">
        <v>15.47</v>
      </c>
      <c r="Z827" s="6">
        <v>1.1000000000000001</v>
      </c>
      <c r="AA827" s="6">
        <v>2.76</v>
      </c>
      <c r="AB827" s="5">
        <v>71.819999999999993</v>
      </c>
      <c r="AC827" s="6">
        <v>0.3</v>
      </c>
      <c r="AD827" s="6">
        <v>0.45</v>
      </c>
      <c r="AE827" s="6">
        <v>0.25</v>
      </c>
      <c r="AF827" s="4" t="s">
        <v>6296</v>
      </c>
      <c r="AG827" s="4" t="s">
        <v>6296</v>
      </c>
      <c r="AH827" s="4" t="s">
        <v>6296</v>
      </c>
      <c r="AI827" s="4" t="s">
        <v>6296</v>
      </c>
      <c r="AJ827" s="4" t="s">
        <v>6296</v>
      </c>
      <c r="AK827" s="4" t="s">
        <v>6296</v>
      </c>
      <c r="AL827" s="4" t="s">
        <v>6296</v>
      </c>
      <c r="AM827" s="4" t="s">
        <v>6296</v>
      </c>
      <c r="AN827" s="4" t="s">
        <v>6296</v>
      </c>
      <c r="AO827" s="4" t="s">
        <v>6296</v>
      </c>
      <c r="AP827" s="4" t="s">
        <v>4693</v>
      </c>
      <c r="AQ827" s="4" t="s">
        <v>47</v>
      </c>
    </row>
    <row r="828" spans="1:43" ht="12.6" customHeight="1" x14ac:dyDescent="0.25">
      <c r="A828" s="8" t="s">
        <v>5627</v>
      </c>
      <c r="B828" s="9">
        <v>20151231</v>
      </c>
      <c r="C828" s="12">
        <f>_xll.FDS("SPX","FG_PRICE(12/30/2015)")</f>
        <v>2063.36</v>
      </c>
      <c r="D828" s="12">
        <f>_xll.FDS("SPX","FG_PRICE(12/30/2017)")</f>
        <v>2673.61</v>
      </c>
      <c r="E828" s="15">
        <f>D828/C828-1</f>
        <v>0.2957554668114144</v>
      </c>
      <c r="F828" s="8" t="s">
        <v>5628</v>
      </c>
      <c r="G828" s="8" t="s">
        <v>5629</v>
      </c>
      <c r="H828" s="13">
        <f>_xll.FDS(G828,"FG_PRICE(12/30/2015)")</f>
        <v>80.28</v>
      </c>
      <c r="I828" s="13">
        <f>_xll.FDS(G828,"FG_PRICE(12/31/2017)")</f>
        <v>101.74</v>
      </c>
      <c r="J828" s="13">
        <f>I828/H828-1</f>
        <v>0.26731439960139514</v>
      </c>
      <c r="K828" s="13">
        <f>J828-E828</f>
        <v>-2.8441067210019266E-2</v>
      </c>
      <c r="L828" s="13">
        <f>_xll.FDS(G828,"FF_ROE(ANN_R,12/30/2015)")</f>
        <v>-21.440675914493909</v>
      </c>
      <c r="M828" s="8" t="s">
        <v>5630</v>
      </c>
      <c r="N828" s="4" t="s">
        <v>5631</v>
      </c>
      <c r="O828" s="4" t="s">
        <v>5632</v>
      </c>
      <c r="P828" s="4" t="s">
        <v>96</v>
      </c>
      <c r="Q828" s="4" t="s">
        <v>65</v>
      </c>
      <c r="R828" s="4" t="s">
        <v>61</v>
      </c>
      <c r="S828" s="4" t="s">
        <v>62</v>
      </c>
      <c r="T828" s="6" t="e">
        <v>#N/A</v>
      </c>
      <c r="U828" s="5">
        <v>55</v>
      </c>
      <c r="V828" s="5">
        <v>51</v>
      </c>
      <c r="W828" s="5">
        <v>50</v>
      </c>
      <c r="X828" s="5">
        <v>69</v>
      </c>
      <c r="Y828" s="5">
        <v>59.67</v>
      </c>
      <c r="Z828" s="5">
        <v>62.98</v>
      </c>
      <c r="AA828" s="5">
        <v>48.07</v>
      </c>
      <c r="AB828" s="5">
        <v>71.819999999999993</v>
      </c>
      <c r="AC828" s="6">
        <v>0.3</v>
      </c>
      <c r="AD828" s="6">
        <v>0.45</v>
      </c>
      <c r="AE828" s="6">
        <v>0.25</v>
      </c>
      <c r="AF828" s="4" t="s">
        <v>6296</v>
      </c>
      <c r="AG828" s="4" t="s">
        <v>6296</v>
      </c>
      <c r="AH828" s="4" t="s">
        <v>6296</v>
      </c>
      <c r="AI828" s="4" t="s">
        <v>6296</v>
      </c>
      <c r="AJ828" s="4" t="s">
        <v>6296</v>
      </c>
      <c r="AK828" s="4" t="s">
        <v>6296</v>
      </c>
      <c r="AL828" s="4" t="s">
        <v>6296</v>
      </c>
      <c r="AM828" s="4" t="s">
        <v>6296</v>
      </c>
      <c r="AN828" s="4" t="s">
        <v>6296</v>
      </c>
      <c r="AO828" s="4" t="s">
        <v>6296</v>
      </c>
      <c r="AP828" s="4" t="s">
        <v>5633</v>
      </c>
      <c r="AQ828" s="4" t="s">
        <v>47</v>
      </c>
    </row>
    <row r="829" spans="1:43" ht="12.6" customHeight="1" x14ac:dyDescent="0.25">
      <c r="A829" s="8" t="s">
        <v>5414</v>
      </c>
      <c r="B829" s="9">
        <v>20151231</v>
      </c>
      <c r="C829" s="12">
        <f>_xll.FDS("SPX","FG_PRICE(12/30/2015)")</f>
        <v>2063.36</v>
      </c>
      <c r="D829" s="12">
        <f>_xll.FDS("SPX","FG_PRICE(12/30/2017)")</f>
        <v>2673.61</v>
      </c>
      <c r="E829" s="15">
        <f>D829/C829-1</f>
        <v>0.2957554668114144</v>
      </c>
      <c r="F829" s="8" t="s">
        <v>5415</v>
      </c>
      <c r="G829" s="8" t="s">
        <v>5416</v>
      </c>
      <c r="H829" s="13">
        <f>_xll.FDS(G829,"FG_PRICE(12/30/2015)")</f>
        <v>47.55</v>
      </c>
      <c r="I829" s="13">
        <f>_xll.FDS(G829,"FG_PRICE(12/31/2017)")</f>
        <v>73.55</v>
      </c>
      <c r="J829" s="13">
        <f>I829/H829-1</f>
        <v>0.54679284963196628</v>
      </c>
      <c r="K829" s="13">
        <f>J829-E829</f>
        <v>0.25103738282055188</v>
      </c>
      <c r="L829" s="13">
        <f>_xll.FDS(G829,"FF_ROE(ANN_R,12/30/2015)")</f>
        <v>14.996552846774041</v>
      </c>
      <c r="M829" s="8" t="s">
        <v>5417</v>
      </c>
      <c r="N829" s="4" t="s">
        <v>5418</v>
      </c>
      <c r="O829" s="4" t="s">
        <v>5419</v>
      </c>
      <c r="P829" s="4" t="s">
        <v>96</v>
      </c>
      <c r="Q829" s="4" t="s">
        <v>65</v>
      </c>
      <c r="R829" s="4" t="s">
        <v>61</v>
      </c>
      <c r="S829" s="4" t="s">
        <v>62</v>
      </c>
      <c r="T829" s="6" t="e">
        <v>#N/A</v>
      </c>
      <c r="U829" s="5">
        <v>44</v>
      </c>
      <c r="V829" s="5">
        <v>40</v>
      </c>
      <c r="W829" s="5">
        <v>41</v>
      </c>
      <c r="X829" s="5">
        <v>56</v>
      </c>
      <c r="Y829" s="6">
        <v>6.63</v>
      </c>
      <c r="Z829" s="5">
        <v>14.92</v>
      </c>
      <c r="AA829" s="6">
        <v>9.94</v>
      </c>
      <c r="AB829" s="5">
        <v>19.34</v>
      </c>
      <c r="AC829" s="6">
        <v>0.3</v>
      </c>
      <c r="AD829" s="6">
        <v>0.45</v>
      </c>
      <c r="AE829" s="6">
        <v>0.25</v>
      </c>
      <c r="AF829" s="4" t="s">
        <v>6296</v>
      </c>
      <c r="AG829" s="4" t="s">
        <v>6296</v>
      </c>
      <c r="AH829" s="4" t="s">
        <v>6296</v>
      </c>
      <c r="AI829" s="4" t="s">
        <v>6296</v>
      </c>
      <c r="AJ829" s="4" t="s">
        <v>6296</v>
      </c>
      <c r="AK829" s="4" t="s">
        <v>6296</v>
      </c>
      <c r="AL829" s="4" t="s">
        <v>6296</v>
      </c>
      <c r="AM829" s="4" t="s">
        <v>6296</v>
      </c>
      <c r="AN829" s="4" t="s">
        <v>6296</v>
      </c>
      <c r="AO829" s="4" t="s">
        <v>6296</v>
      </c>
      <c r="AP829" s="4" t="s">
        <v>5420</v>
      </c>
      <c r="AQ829" s="4" t="s">
        <v>47</v>
      </c>
    </row>
    <row r="830" spans="1:43" ht="12.6" customHeight="1" x14ac:dyDescent="0.25">
      <c r="A830" s="8" t="s">
        <v>4795</v>
      </c>
      <c r="B830" s="9">
        <v>20151231</v>
      </c>
      <c r="C830" s="12">
        <f>_xll.FDS("SPX","FG_PRICE(12/30/2015)")</f>
        <v>2063.36</v>
      </c>
      <c r="D830" s="12">
        <f>_xll.FDS("SPX","FG_PRICE(12/30/2017)")</f>
        <v>2673.61</v>
      </c>
      <c r="E830" s="15">
        <f>D830/C830-1</f>
        <v>0.2957554668114144</v>
      </c>
      <c r="F830" s="8" t="s">
        <v>4796</v>
      </c>
      <c r="G830" s="8" t="s">
        <v>4797</v>
      </c>
      <c r="H830" s="13">
        <f>_xll.FDS(G830,"FG_PRICE(12/30/2015)")</f>
        <v>18.239999999999998</v>
      </c>
      <c r="I830" s="13">
        <f>_xll.FDS(G830,"FG_PRICE(12/31/2017)")</f>
        <v>19.010000000000002</v>
      </c>
      <c r="J830" s="13">
        <f>I830/H830-1</f>
        <v>4.2214912280701844E-2</v>
      </c>
      <c r="K830" s="13">
        <f>J830-E830</f>
        <v>-0.25354055453071256</v>
      </c>
      <c r="L830" s="13">
        <f>_xll.FDS(G830,"FF_ROE(ANN_R,12/30/2015)")</f>
        <v>70.8827075797264</v>
      </c>
      <c r="M830" s="8" t="s">
        <v>4798</v>
      </c>
      <c r="N830" s="4" t="s">
        <v>4799</v>
      </c>
      <c r="O830" s="4" t="s">
        <v>4800</v>
      </c>
      <c r="P830" s="4" t="s">
        <v>96</v>
      </c>
      <c r="Q830" s="4" t="s">
        <v>65</v>
      </c>
      <c r="R830" s="4" t="s">
        <v>61</v>
      </c>
      <c r="S830" s="4" t="s">
        <v>62</v>
      </c>
      <c r="T830" s="6" t="e">
        <v>#N/A</v>
      </c>
      <c r="U830" s="5">
        <v>55</v>
      </c>
      <c r="V830" s="5">
        <v>50</v>
      </c>
      <c r="W830" s="5">
        <v>51</v>
      </c>
      <c r="X830" s="5">
        <v>67</v>
      </c>
      <c r="Y830" s="5">
        <v>59.67</v>
      </c>
      <c r="Z830" s="5">
        <v>61.33</v>
      </c>
      <c r="AA830" s="5">
        <v>53.04</v>
      </c>
      <c r="AB830" s="5">
        <v>65.75</v>
      </c>
      <c r="AC830" s="6">
        <v>0.3</v>
      </c>
      <c r="AD830" s="6">
        <v>0.45</v>
      </c>
      <c r="AE830" s="6">
        <v>0.25</v>
      </c>
      <c r="AF830" s="4" t="s">
        <v>6296</v>
      </c>
      <c r="AG830" s="4" t="s">
        <v>6296</v>
      </c>
      <c r="AH830" s="4" t="s">
        <v>6296</v>
      </c>
      <c r="AI830" s="4" t="s">
        <v>6296</v>
      </c>
      <c r="AJ830" s="4" t="s">
        <v>6296</v>
      </c>
      <c r="AK830" s="4" t="s">
        <v>37</v>
      </c>
      <c r="AL830" s="4" t="s">
        <v>6296</v>
      </c>
      <c r="AM830" s="4" t="s">
        <v>37</v>
      </c>
      <c r="AN830" s="4" t="s">
        <v>6296</v>
      </c>
      <c r="AO830" s="4" t="s">
        <v>6296</v>
      </c>
      <c r="AP830" s="4" t="s">
        <v>4801</v>
      </c>
      <c r="AQ830" s="4" t="s">
        <v>47</v>
      </c>
    </row>
    <row r="831" spans="1:43" ht="12.6" customHeight="1" x14ac:dyDescent="0.25">
      <c r="A831" s="8" t="s">
        <v>4442</v>
      </c>
      <c r="B831" s="9">
        <v>20151231</v>
      </c>
      <c r="C831" s="12">
        <f>_xll.FDS("SPX","FG_PRICE(12/30/2015)")</f>
        <v>2063.36</v>
      </c>
      <c r="D831" s="12">
        <f>_xll.FDS("SPX","FG_PRICE(12/30/2017)")</f>
        <v>2673.61</v>
      </c>
      <c r="E831" s="15">
        <f>D831/C831-1</f>
        <v>0.2957554668114144</v>
      </c>
      <c r="F831" s="8" t="s">
        <v>4443</v>
      </c>
      <c r="G831" s="8" t="s">
        <v>4444</v>
      </c>
      <c r="H831" s="13">
        <f>_xll.FDS(G831,"FG_PRICE(12/30/2015)")</f>
        <v>28.242840000000001</v>
      </c>
      <c r="I831" s="13">
        <f>_xll.FDS(G831,"FG_PRICE(12/31/2017)")</f>
        <v>29.15</v>
      </c>
      <c r="J831" s="13">
        <f>I831/H831-1</f>
        <v>3.2119999263530152E-2</v>
      </c>
      <c r="K831" s="13">
        <f>J831-E831</f>
        <v>-0.26363546754788425</v>
      </c>
      <c r="L831" s="13">
        <f>_xll.FDS(G831,"FF_ROE(ANN_R,12/30/2015)")</f>
        <v>9.528636594019261</v>
      </c>
      <c r="M831" s="8" t="s">
        <v>4445</v>
      </c>
      <c r="N831" s="4" t="s">
        <v>4445</v>
      </c>
      <c r="O831" s="4" t="s">
        <v>4446</v>
      </c>
      <c r="P831" s="4" t="s">
        <v>96</v>
      </c>
      <c r="Q831" s="4" t="s">
        <v>65</v>
      </c>
      <c r="R831" s="4" t="s">
        <v>61</v>
      </c>
      <c r="S831" s="4" t="s">
        <v>62</v>
      </c>
      <c r="T831" s="6" t="e">
        <v>#N/A</v>
      </c>
      <c r="U831" s="5">
        <v>71</v>
      </c>
      <c r="V831" s="5">
        <v>83</v>
      </c>
      <c r="W831" s="5">
        <v>65</v>
      </c>
      <c r="X831" s="5">
        <v>66</v>
      </c>
      <c r="Y831" s="5">
        <v>88.4</v>
      </c>
      <c r="Z831" s="5">
        <v>95.03</v>
      </c>
      <c r="AA831" s="5">
        <v>85.08</v>
      </c>
      <c r="AB831" s="5">
        <v>62.43</v>
      </c>
      <c r="AC831" s="6">
        <v>0.3</v>
      </c>
      <c r="AD831" s="6">
        <v>0.45</v>
      </c>
      <c r="AE831" s="6">
        <v>0.25</v>
      </c>
      <c r="AF831" s="4" t="s">
        <v>6296</v>
      </c>
      <c r="AG831" s="4" t="s">
        <v>6296</v>
      </c>
      <c r="AH831" s="4" t="s">
        <v>6296</v>
      </c>
      <c r="AI831" s="4" t="s">
        <v>37</v>
      </c>
      <c r="AJ831" s="4" t="s">
        <v>6296</v>
      </c>
      <c r="AK831" s="4" t="s">
        <v>6296</v>
      </c>
      <c r="AL831" s="4" t="s">
        <v>6296</v>
      </c>
      <c r="AM831" s="4" t="s">
        <v>6296</v>
      </c>
      <c r="AN831" s="4" t="s">
        <v>6296</v>
      </c>
      <c r="AO831" s="4" t="s">
        <v>6296</v>
      </c>
      <c r="AP831" s="4" t="s">
        <v>4447</v>
      </c>
      <c r="AQ831" s="4" t="s">
        <v>47</v>
      </c>
    </row>
    <row r="832" spans="1:43" ht="12.6" customHeight="1" x14ac:dyDescent="0.25">
      <c r="A832" s="8" t="s">
        <v>6086</v>
      </c>
      <c r="B832" s="9">
        <v>20151231</v>
      </c>
      <c r="C832" s="12">
        <f>_xll.FDS("SPX","FG_PRICE(12/30/2015)")</f>
        <v>2063.36</v>
      </c>
      <c r="D832" s="12">
        <f>_xll.FDS("SPX","FG_PRICE(12/30/2017)")</f>
        <v>2673.61</v>
      </c>
      <c r="E832" s="15">
        <f>D832/C832-1</f>
        <v>0.2957554668114144</v>
      </c>
      <c r="F832" s="8" t="s">
        <v>6087</v>
      </c>
      <c r="G832" s="8" t="s">
        <v>6088</v>
      </c>
      <c r="H832" s="13">
        <f>_xll.FDS(G832,"FG_PRICE(12/30/2015)")</f>
        <v>26.42</v>
      </c>
      <c r="I832" s="13">
        <f>_xll.FDS(G832,"FG_PRICE(12/31/2017)")</f>
        <v>40.74</v>
      </c>
      <c r="J832" s="13">
        <f>I832/H832-1</f>
        <v>0.5420136260408781</v>
      </c>
      <c r="K832" s="13">
        <f>J832-E832</f>
        <v>0.2462581592294637</v>
      </c>
      <c r="L832" s="13">
        <f>_xll.FDS(G832,"FF_ROE(ANN_R,12/30/2015)")</f>
        <v>-7.5412316538054167</v>
      </c>
      <c r="M832" s="8" t="s">
        <v>6089</v>
      </c>
      <c r="N832" s="4" t="s">
        <v>6090</v>
      </c>
      <c r="O832" s="4" t="s">
        <v>4496</v>
      </c>
      <c r="P832" s="4" t="s">
        <v>106</v>
      </c>
      <c r="Q832" s="4" t="s">
        <v>65</v>
      </c>
      <c r="R832" s="4" t="s">
        <v>61</v>
      </c>
      <c r="S832" s="4" t="s">
        <v>62</v>
      </c>
      <c r="T832" s="6" t="e">
        <v>#N/A</v>
      </c>
      <c r="U832" s="5">
        <v>48</v>
      </c>
      <c r="V832" s="5">
        <v>47</v>
      </c>
      <c r="W832" s="5">
        <v>42</v>
      </c>
      <c r="X832" s="5">
        <v>61</v>
      </c>
      <c r="Y832" s="5">
        <v>23.2</v>
      </c>
      <c r="Z832" s="5">
        <v>53.04</v>
      </c>
      <c r="AA832" s="5">
        <v>13.26</v>
      </c>
      <c r="AB832" s="5">
        <v>35.909999999999997</v>
      </c>
      <c r="AC832" s="6">
        <v>0.3</v>
      </c>
      <c r="AD832" s="6">
        <v>0.45</v>
      </c>
      <c r="AE832" s="6">
        <v>0.25</v>
      </c>
      <c r="AF832" s="4" t="s">
        <v>6296</v>
      </c>
      <c r="AG832" s="4" t="s">
        <v>6296</v>
      </c>
      <c r="AH832" s="4" t="s">
        <v>6296</v>
      </c>
      <c r="AI832" s="4" t="s">
        <v>6296</v>
      </c>
      <c r="AJ832" s="4" t="s">
        <v>6296</v>
      </c>
      <c r="AK832" s="4" t="s">
        <v>6296</v>
      </c>
      <c r="AL832" s="4" t="s">
        <v>6296</v>
      </c>
      <c r="AM832" s="4" t="s">
        <v>6296</v>
      </c>
      <c r="AN832" s="4" t="s">
        <v>6296</v>
      </c>
      <c r="AO832" s="4" t="s">
        <v>6296</v>
      </c>
      <c r="AP832" s="4" t="s">
        <v>6091</v>
      </c>
      <c r="AQ832" s="4" t="s">
        <v>47</v>
      </c>
    </row>
    <row r="833" spans="1:43" ht="12.6" customHeight="1" x14ac:dyDescent="0.25">
      <c r="A833" s="8" t="s">
        <v>5471</v>
      </c>
      <c r="B833" s="9">
        <v>20151231</v>
      </c>
      <c r="C833" s="12">
        <f>_xll.FDS("SPX","FG_PRICE(12/30/2015)")</f>
        <v>2063.36</v>
      </c>
      <c r="D833" s="12">
        <f>_xll.FDS("SPX","FG_PRICE(12/30/2017)")</f>
        <v>2673.61</v>
      </c>
      <c r="E833" s="15">
        <f>D833/C833-1</f>
        <v>0.2957554668114144</v>
      </c>
      <c r="F833" s="8" t="s">
        <v>5472</v>
      </c>
      <c r="G833" s="8" t="s">
        <v>5473</v>
      </c>
      <c r="H833" s="13">
        <f>_xll.FDS(G833,"FG_PRICE(12/30/2015)")</f>
        <v>2.68</v>
      </c>
      <c r="I833" s="13">
        <f>_xll.FDS(G833,"FG_PRICE(12/31/2017)")</f>
        <v>4</v>
      </c>
      <c r="J833" s="13">
        <f>I833/H833-1</f>
        <v>0.49253731343283569</v>
      </c>
      <c r="K833" s="13">
        <f>J833-E833</f>
        <v>0.19678184662142129</v>
      </c>
      <c r="L833" s="13">
        <f>_xll.FDS(G833,"FF_ROE(ANN_R,12/30/2015)")</f>
        <v>-11.974673486063869</v>
      </c>
      <c r="M833" s="8" t="s">
        <v>5474</v>
      </c>
      <c r="N833" s="4" t="s">
        <v>5475</v>
      </c>
      <c r="O833" s="4" t="s">
        <v>5476</v>
      </c>
      <c r="P833" s="4" t="s">
        <v>106</v>
      </c>
      <c r="Q833" s="4" t="s">
        <v>65</v>
      </c>
      <c r="R833" s="4" t="s">
        <v>61</v>
      </c>
      <c r="S833" s="4" t="s">
        <v>62</v>
      </c>
      <c r="T833" s="6" t="e">
        <v>#N/A</v>
      </c>
      <c r="U833" s="5">
        <v>45</v>
      </c>
      <c r="V833" s="5">
        <v>39</v>
      </c>
      <c r="W833" s="5">
        <v>44</v>
      </c>
      <c r="X833" s="5">
        <v>54</v>
      </c>
      <c r="Y833" s="5">
        <v>11.05</v>
      </c>
      <c r="Z833" s="5">
        <v>11.6</v>
      </c>
      <c r="AA833" s="5">
        <v>21.55</v>
      </c>
      <c r="AB833" s="5">
        <v>14.36</v>
      </c>
      <c r="AC833" s="6">
        <v>0.3</v>
      </c>
      <c r="AD833" s="6">
        <v>0.45</v>
      </c>
      <c r="AE833" s="6">
        <v>0.25</v>
      </c>
      <c r="AF833" s="4" t="s">
        <v>6296</v>
      </c>
      <c r="AG833" s="4" t="s">
        <v>6296</v>
      </c>
      <c r="AH833" s="4" t="s">
        <v>6296</v>
      </c>
      <c r="AI833" s="4" t="s">
        <v>6296</v>
      </c>
      <c r="AJ833" s="4" t="s">
        <v>6296</v>
      </c>
      <c r="AK833" s="4" t="s">
        <v>6296</v>
      </c>
      <c r="AL833" s="4" t="s">
        <v>6296</v>
      </c>
      <c r="AM833" s="4" t="s">
        <v>37</v>
      </c>
      <c r="AN833" s="4" t="s">
        <v>42</v>
      </c>
      <c r="AO833" s="4" t="s">
        <v>6296</v>
      </c>
      <c r="AP833" s="4" t="s">
        <v>5477</v>
      </c>
      <c r="AQ833" s="4" t="s">
        <v>47</v>
      </c>
    </row>
    <row r="834" spans="1:43" ht="12.6" customHeight="1" x14ac:dyDescent="0.25">
      <c r="A834" s="8" t="s">
        <v>514</v>
      </c>
      <c r="B834" s="9">
        <v>20151231</v>
      </c>
      <c r="C834" s="12">
        <f>_xll.FDS("SPX","FG_PRICE(12/30/2015)")</f>
        <v>2063.36</v>
      </c>
      <c r="D834" s="12">
        <f>_xll.FDS("SPX","FG_PRICE(12/30/2017)")</f>
        <v>2673.61</v>
      </c>
      <c r="E834" s="15">
        <f>D834/C834-1</f>
        <v>0.2957554668114144</v>
      </c>
      <c r="F834" s="8" t="s">
        <v>515</v>
      </c>
      <c r="G834" s="8" t="s">
        <v>516</v>
      </c>
      <c r="H834" s="13">
        <f>_xll.FDS(G834,"FG_PRICE(12/30/2015)")</f>
        <v>2.21</v>
      </c>
      <c r="I834" s="13">
        <f>_xll.FDS(G834,"FG_PRICE(12/31/2017)")</f>
        <v>5.66</v>
      </c>
      <c r="J834" s="13">
        <f>I834/H834-1</f>
        <v>1.561085972850679</v>
      </c>
      <c r="K834" s="13">
        <f>J834-E834</f>
        <v>1.2653305060392646</v>
      </c>
      <c r="L834" s="13" t="e">
        <f>_xll.FDS(G834,"FF_ROE(ANN_R,12/30/2015)")</f>
        <v>#N/A</v>
      </c>
      <c r="M834" s="8" t="s">
        <v>517</v>
      </c>
      <c r="N834" s="4" t="s">
        <v>517</v>
      </c>
      <c r="O834" s="4" t="s">
        <v>518</v>
      </c>
      <c r="P834" s="4" t="s">
        <v>96</v>
      </c>
      <c r="Q834" s="4" t="s">
        <v>280</v>
      </c>
      <c r="R834" s="4" t="s">
        <v>61</v>
      </c>
      <c r="S834" s="4" t="s">
        <v>62</v>
      </c>
      <c r="T834" s="6" t="e">
        <v>#N/A</v>
      </c>
      <c r="U834" s="5">
        <v>54</v>
      </c>
      <c r="V834" s="5">
        <v>47</v>
      </c>
      <c r="W834" s="5">
        <v>50</v>
      </c>
      <c r="X834" s="5">
        <v>70</v>
      </c>
      <c r="Y834" s="5">
        <v>40.96</v>
      </c>
      <c r="Z834" s="5">
        <v>21.69</v>
      </c>
      <c r="AA834" s="5">
        <v>33.729999999999997</v>
      </c>
      <c r="AB834" s="5">
        <v>80.72</v>
      </c>
      <c r="AC834" s="6">
        <v>0.35</v>
      </c>
      <c r="AD834" s="6">
        <v>0.4</v>
      </c>
      <c r="AE834" s="6">
        <v>0.25</v>
      </c>
      <c r="AF834" s="4" t="s">
        <v>37</v>
      </c>
      <c r="AG834" s="4" t="s">
        <v>6296</v>
      </c>
      <c r="AH834" s="4" t="s">
        <v>6296</v>
      </c>
      <c r="AI834" s="4" t="s">
        <v>37</v>
      </c>
      <c r="AJ834" s="4" t="s">
        <v>42</v>
      </c>
      <c r="AK834" s="4" t="s">
        <v>6296</v>
      </c>
      <c r="AL834" s="4" t="s">
        <v>6296</v>
      </c>
      <c r="AM834" s="4" t="s">
        <v>6296</v>
      </c>
      <c r="AN834" s="4" t="s">
        <v>6296</v>
      </c>
      <c r="AO834" s="4" t="s">
        <v>6296</v>
      </c>
      <c r="AP834" s="4" t="s">
        <v>519</v>
      </c>
      <c r="AQ834" s="4" t="s">
        <v>47</v>
      </c>
    </row>
    <row r="835" spans="1:43" ht="12.6" customHeight="1" x14ac:dyDescent="0.25">
      <c r="A835" s="8" t="s">
        <v>2486</v>
      </c>
      <c r="B835" s="9">
        <v>20151231</v>
      </c>
      <c r="C835" s="12">
        <f>_xll.FDS("SPX","FG_PRICE(12/30/2015)")</f>
        <v>2063.36</v>
      </c>
      <c r="D835" s="12">
        <f>_xll.FDS("SPX","FG_PRICE(12/30/2017)")</f>
        <v>2673.61</v>
      </c>
      <c r="E835" s="15">
        <f>D835/C835-1</f>
        <v>0.2957554668114144</v>
      </c>
      <c r="F835" s="8" t="s">
        <v>2487</v>
      </c>
      <c r="G835" s="8" t="s">
        <v>2488</v>
      </c>
      <c r="H835" s="13">
        <f>_xll.FDS(G835,"FG_PRICE(12/30/2015)")</f>
        <v>11.35</v>
      </c>
      <c r="I835" s="13">
        <f>_xll.FDS(G835,"FG_PRICE(12/31/2017)")</f>
        <v>24.14</v>
      </c>
      <c r="J835" s="13">
        <f>I835/H835-1</f>
        <v>1.1268722466960353</v>
      </c>
      <c r="K835" s="13">
        <f>J835-E835</f>
        <v>0.83111677988462085</v>
      </c>
      <c r="L835" s="13">
        <f>_xll.FDS(G835,"FF_ROE(ANN_R,12/30/2015)")</f>
        <v>-8.3749044168517625E-2</v>
      </c>
      <c r="M835" s="8" t="s">
        <v>2489</v>
      </c>
      <c r="N835" s="4" t="s">
        <v>2489</v>
      </c>
      <c r="O835" s="4" t="s">
        <v>2490</v>
      </c>
      <c r="P835" s="4" t="s">
        <v>96</v>
      </c>
      <c r="Q835" s="4" t="s">
        <v>280</v>
      </c>
      <c r="R835" s="4" t="s">
        <v>61</v>
      </c>
      <c r="S835" s="4" t="s">
        <v>62</v>
      </c>
      <c r="T835" s="6" t="e">
        <v>#N/A</v>
      </c>
      <c r="U835" s="5">
        <v>43</v>
      </c>
      <c r="V835" s="5">
        <v>31</v>
      </c>
      <c r="W835" s="5">
        <v>43</v>
      </c>
      <c r="X835" s="5">
        <v>60</v>
      </c>
      <c r="Y835" s="6">
        <v>3.61</v>
      </c>
      <c r="Z835" s="6">
        <v>1.2</v>
      </c>
      <c r="AA835" s="6">
        <v>8.43</v>
      </c>
      <c r="AB835" s="5">
        <v>61.45</v>
      </c>
      <c r="AC835" s="6">
        <v>0.35</v>
      </c>
      <c r="AD835" s="6">
        <v>0.4</v>
      </c>
      <c r="AE835" s="6">
        <v>0.25</v>
      </c>
      <c r="AF835" s="4" t="s">
        <v>46</v>
      </c>
      <c r="AG835" s="4" t="s">
        <v>6296</v>
      </c>
      <c r="AH835" s="4" t="s">
        <v>6296</v>
      </c>
      <c r="AI835" s="4" t="s">
        <v>37</v>
      </c>
      <c r="AJ835" s="4" t="s">
        <v>6296</v>
      </c>
      <c r="AK835" s="4" t="s">
        <v>6296</v>
      </c>
      <c r="AL835" s="4" t="s">
        <v>6296</v>
      </c>
      <c r="AM835" s="4" t="s">
        <v>6296</v>
      </c>
      <c r="AN835" s="4" t="s">
        <v>6296</v>
      </c>
      <c r="AO835" s="4" t="s">
        <v>6296</v>
      </c>
      <c r="AP835" s="4" t="s">
        <v>2491</v>
      </c>
      <c r="AQ835" s="4" t="s">
        <v>47</v>
      </c>
    </row>
    <row r="836" spans="1:43" ht="12.6" customHeight="1" x14ac:dyDescent="0.25">
      <c r="A836" s="8" t="s">
        <v>1045</v>
      </c>
      <c r="B836" s="9">
        <v>20151231</v>
      </c>
      <c r="C836" s="12">
        <f>_xll.FDS("SPX","FG_PRICE(12/30/2015)")</f>
        <v>2063.36</v>
      </c>
      <c r="D836" s="12">
        <f>_xll.FDS("SPX","FG_PRICE(12/30/2017)")</f>
        <v>2673.61</v>
      </c>
      <c r="E836" s="15">
        <f>D836/C836-1</f>
        <v>0.2957554668114144</v>
      </c>
      <c r="F836" s="8" t="s">
        <v>1046</v>
      </c>
      <c r="G836" s="8" t="s">
        <v>1047</v>
      </c>
      <c r="H836" s="13">
        <f>_xll.FDS(G836,"FG_PRICE(12/30/2015)")</f>
        <v>1.67</v>
      </c>
      <c r="I836" s="13">
        <f>_xll.FDS(G836,"FG_PRICE(12/31/2017)")</f>
        <v>7.21</v>
      </c>
      <c r="J836" s="13">
        <f>I836/H836-1</f>
        <v>3.317365269461078</v>
      </c>
      <c r="K836" s="13">
        <f>J836-E836</f>
        <v>3.0216098026496638</v>
      </c>
      <c r="L836" s="13">
        <f>_xll.FDS(G836,"FF_ROE(ANN_R,12/30/2015)")</f>
        <v>-311.50877495580181</v>
      </c>
      <c r="M836" s="8" t="s">
        <v>1048</v>
      </c>
      <c r="N836" s="4" t="s">
        <v>1049</v>
      </c>
      <c r="O836" s="4" t="s">
        <v>1050</v>
      </c>
      <c r="P836" s="4" t="s">
        <v>96</v>
      </c>
      <c r="Q836" s="4" t="s">
        <v>280</v>
      </c>
      <c r="R836" s="4" t="s">
        <v>61</v>
      </c>
      <c r="S836" s="4" t="s">
        <v>62</v>
      </c>
      <c r="T836" s="6" t="e">
        <v>#N/A</v>
      </c>
      <c r="U836" s="5">
        <v>58</v>
      </c>
      <c r="V836" s="5">
        <v>54</v>
      </c>
      <c r="W836" s="5">
        <v>55</v>
      </c>
      <c r="X836" s="5">
        <v>66</v>
      </c>
      <c r="Y836" s="5">
        <v>59.04</v>
      </c>
      <c r="Z836" s="5">
        <v>36.14</v>
      </c>
      <c r="AA836" s="5">
        <v>54.22</v>
      </c>
      <c r="AB836" s="5">
        <v>74.7</v>
      </c>
      <c r="AC836" s="6">
        <v>0.35</v>
      </c>
      <c r="AD836" s="6">
        <v>0.4</v>
      </c>
      <c r="AE836" s="6">
        <v>0.25</v>
      </c>
      <c r="AF836" s="4" t="s">
        <v>46</v>
      </c>
      <c r="AG836" s="4" t="s">
        <v>6296</v>
      </c>
      <c r="AH836" s="4" t="s">
        <v>6296</v>
      </c>
      <c r="AI836" s="4" t="s">
        <v>37</v>
      </c>
      <c r="AJ836" s="4" t="s">
        <v>6296</v>
      </c>
      <c r="AK836" s="4" t="s">
        <v>6296</v>
      </c>
      <c r="AL836" s="4" t="s">
        <v>46</v>
      </c>
      <c r="AM836" s="4" t="s">
        <v>6296</v>
      </c>
      <c r="AN836" s="4" t="s">
        <v>37</v>
      </c>
      <c r="AO836" s="4" t="s">
        <v>6296</v>
      </c>
      <c r="AP836" s="4" t="s">
        <v>1051</v>
      </c>
      <c r="AQ836" s="4" t="s">
        <v>47</v>
      </c>
    </row>
    <row r="837" spans="1:43" ht="12.6" customHeight="1" x14ac:dyDescent="0.25">
      <c r="A837" s="8" t="s">
        <v>1120</v>
      </c>
      <c r="B837" s="9">
        <v>20151231</v>
      </c>
      <c r="C837" s="12">
        <f>_xll.FDS("SPX","FG_PRICE(12/30/2015)")</f>
        <v>2063.36</v>
      </c>
      <c r="D837" s="12">
        <f>_xll.FDS("SPX","FG_PRICE(12/30/2017)")</f>
        <v>2673.61</v>
      </c>
      <c r="E837" s="15">
        <f>D837/C837-1</f>
        <v>0.2957554668114144</v>
      </c>
      <c r="F837" s="8" t="s">
        <v>1121</v>
      </c>
      <c r="G837" s="8" t="s">
        <v>1122</v>
      </c>
      <c r="H837" s="13">
        <f>_xll.FDS(G837,"FG_PRICE(12/30/2015)")</f>
        <v>13.92</v>
      </c>
      <c r="I837" s="13">
        <f>_xll.FDS(G837,"FG_PRICE(12/31/2017)")</f>
        <v>21.32</v>
      </c>
      <c r="J837" s="13">
        <f>I837/H837-1</f>
        <v>0.53160919540229878</v>
      </c>
      <c r="K837" s="13">
        <f>J837-E837</f>
        <v>0.23585372859088438</v>
      </c>
      <c r="L837" s="13">
        <f>_xll.FDS(G837,"FF_ROE(ANN_R,12/30/2015)")</f>
        <v>7.2631291659721473</v>
      </c>
      <c r="M837" s="8" t="s">
        <v>1123</v>
      </c>
      <c r="N837" s="4" t="s">
        <v>1123</v>
      </c>
      <c r="O837" s="4" t="s">
        <v>1124</v>
      </c>
      <c r="P837" s="4" t="s">
        <v>96</v>
      </c>
      <c r="Q837" s="4" t="s">
        <v>280</v>
      </c>
      <c r="R837" s="4" t="s">
        <v>61</v>
      </c>
      <c r="S837" s="4" t="s">
        <v>62</v>
      </c>
      <c r="T837" s="6" t="e">
        <v>#N/A</v>
      </c>
      <c r="U837" s="5">
        <v>50</v>
      </c>
      <c r="V837" s="5">
        <v>47</v>
      </c>
      <c r="W837" s="5">
        <v>49</v>
      </c>
      <c r="X837" s="5">
        <v>57</v>
      </c>
      <c r="Y837" s="5">
        <v>24.1</v>
      </c>
      <c r="Z837" s="5">
        <v>21.69</v>
      </c>
      <c r="AA837" s="5">
        <v>31.33</v>
      </c>
      <c r="AB837" s="5">
        <v>53.01</v>
      </c>
      <c r="AC837" s="6">
        <v>0.35</v>
      </c>
      <c r="AD837" s="6">
        <v>0.4</v>
      </c>
      <c r="AE837" s="6">
        <v>0.25</v>
      </c>
      <c r="AF837" s="4" t="s">
        <v>6296</v>
      </c>
      <c r="AG837" s="4" t="s">
        <v>6296</v>
      </c>
      <c r="AH837" s="4" t="s">
        <v>6296</v>
      </c>
      <c r="AI837" s="4" t="s">
        <v>6296</v>
      </c>
      <c r="AJ837" s="4" t="s">
        <v>6296</v>
      </c>
      <c r="AK837" s="4" t="s">
        <v>42</v>
      </c>
      <c r="AL837" s="4" t="s">
        <v>6296</v>
      </c>
      <c r="AM837" s="4" t="s">
        <v>6296</v>
      </c>
      <c r="AN837" s="4" t="s">
        <v>6296</v>
      </c>
      <c r="AO837" s="4" t="s">
        <v>6296</v>
      </c>
      <c r="AP837" s="4" t="s">
        <v>1125</v>
      </c>
      <c r="AQ837" s="4" t="s">
        <v>47</v>
      </c>
    </row>
    <row r="838" spans="1:43" ht="12.6" customHeight="1" x14ac:dyDescent="0.25">
      <c r="A838" s="8" t="s">
        <v>917</v>
      </c>
      <c r="B838" s="9">
        <v>20151231</v>
      </c>
      <c r="C838" s="12">
        <f>_xll.FDS("SPX","FG_PRICE(12/30/2015)")</f>
        <v>2063.36</v>
      </c>
      <c r="D838" s="12">
        <f>_xll.FDS("SPX","FG_PRICE(12/30/2017)")</f>
        <v>2673.61</v>
      </c>
      <c r="E838" s="15">
        <f>D838/C838-1</f>
        <v>0.2957554668114144</v>
      </c>
      <c r="F838" s="8" t="s">
        <v>918</v>
      </c>
      <c r="G838" s="8" t="s">
        <v>919</v>
      </c>
      <c r="H838" s="13">
        <f>_xll.FDS(G838,"FG_PRICE(12/30/2015)")</f>
        <v>30.82</v>
      </c>
      <c r="I838" s="13">
        <f>_xll.FDS(G838,"FG_PRICE(12/31/2017)")</f>
        <v>50.99</v>
      </c>
      <c r="J838" s="13">
        <f>I838/H838-1</f>
        <v>0.65444516547696296</v>
      </c>
      <c r="K838" s="13">
        <f>J838-E838</f>
        <v>0.35868969866554856</v>
      </c>
      <c r="L838" s="13">
        <f>_xll.FDS(G838,"FF_ROE(ANN_R,12/30/2015)")</f>
        <v>4.1410501024662576</v>
      </c>
      <c r="M838" s="8" t="s">
        <v>920</v>
      </c>
      <c r="N838" s="4" t="s">
        <v>920</v>
      </c>
      <c r="O838" s="4" t="s">
        <v>921</v>
      </c>
      <c r="P838" s="4" t="s">
        <v>96</v>
      </c>
      <c r="Q838" s="4" t="s">
        <v>280</v>
      </c>
      <c r="R838" s="4" t="s">
        <v>61</v>
      </c>
      <c r="S838" s="4" t="s">
        <v>62</v>
      </c>
      <c r="T838" s="6" t="e">
        <v>#N/A</v>
      </c>
      <c r="U838" s="5">
        <v>44</v>
      </c>
      <c r="V838" s="5">
        <v>25</v>
      </c>
      <c r="W838" s="5">
        <v>47</v>
      </c>
      <c r="X838" s="5">
        <v>65</v>
      </c>
      <c r="Y838" s="6">
        <v>7.23</v>
      </c>
      <c r="Z838" s="6">
        <v>0</v>
      </c>
      <c r="AA838" s="5">
        <v>24.1</v>
      </c>
      <c r="AB838" s="5">
        <v>68.67</v>
      </c>
      <c r="AC838" s="6">
        <v>0.35</v>
      </c>
      <c r="AD838" s="6">
        <v>0.4</v>
      </c>
      <c r="AE838" s="6">
        <v>0.25</v>
      </c>
      <c r="AF838" s="4" t="s">
        <v>46</v>
      </c>
      <c r="AG838" s="4" t="s">
        <v>6296</v>
      </c>
      <c r="AH838" s="4" t="s">
        <v>6296</v>
      </c>
      <c r="AI838" s="4" t="s">
        <v>6296</v>
      </c>
      <c r="AJ838" s="4" t="s">
        <v>6296</v>
      </c>
      <c r="AK838" s="4" t="s">
        <v>37</v>
      </c>
      <c r="AL838" s="4" t="s">
        <v>6296</v>
      </c>
      <c r="AM838" s="4" t="s">
        <v>6296</v>
      </c>
      <c r="AN838" s="4" t="s">
        <v>6296</v>
      </c>
      <c r="AO838" s="4" t="s">
        <v>6296</v>
      </c>
      <c r="AP838" s="4" t="s">
        <v>922</v>
      </c>
      <c r="AQ838" s="4" t="s">
        <v>47</v>
      </c>
    </row>
    <row r="839" spans="1:43" ht="12.6" customHeight="1" x14ac:dyDescent="0.25">
      <c r="A839" s="8" t="s">
        <v>2964</v>
      </c>
      <c r="B839" s="9">
        <v>20151231</v>
      </c>
      <c r="C839" s="12">
        <f>_xll.FDS("SPX","FG_PRICE(12/30/2015)")</f>
        <v>2063.36</v>
      </c>
      <c r="D839" s="12">
        <f>_xll.FDS("SPX","FG_PRICE(12/30/2017)")</f>
        <v>2673.61</v>
      </c>
      <c r="E839" s="15">
        <f>D839/C839-1</f>
        <v>0.2957554668114144</v>
      </c>
      <c r="F839" s="8" t="s">
        <v>2965</v>
      </c>
      <c r="G839" s="8" t="s">
        <v>2966</v>
      </c>
      <c r="H839" s="13">
        <f>_xll.FDS(G839,"FG_PRICE(12/30/2015)")</f>
        <v>40.340000000000003</v>
      </c>
      <c r="I839" s="13">
        <f>_xll.FDS(G839,"FG_PRICE(12/31/2017)")</f>
        <v>63.58</v>
      </c>
      <c r="J839" s="13">
        <f>I839/H839-1</f>
        <v>0.57610312345066905</v>
      </c>
      <c r="K839" s="13">
        <f>J839-E839</f>
        <v>0.28034765663925465</v>
      </c>
      <c r="L839" s="13">
        <f>_xll.FDS(G839,"FF_ROE(ANN_R,12/30/2015)")</f>
        <v>9.2309504347416063</v>
      </c>
      <c r="M839" s="8" t="s">
        <v>2967</v>
      </c>
      <c r="N839" s="4" t="s">
        <v>2967</v>
      </c>
      <c r="O839" s="4" t="s">
        <v>2968</v>
      </c>
      <c r="P839" s="4" t="s">
        <v>96</v>
      </c>
      <c r="Q839" s="4" t="s">
        <v>280</v>
      </c>
      <c r="R839" s="4" t="s">
        <v>61</v>
      </c>
      <c r="S839" s="4" t="s">
        <v>62</v>
      </c>
      <c r="T839" s="6" t="e">
        <v>#N/A</v>
      </c>
      <c r="U839" s="5">
        <v>53</v>
      </c>
      <c r="V839" s="5">
        <v>54</v>
      </c>
      <c r="W839" s="5">
        <v>52</v>
      </c>
      <c r="X839" s="5">
        <v>55</v>
      </c>
      <c r="Y839" s="5">
        <v>36.14</v>
      </c>
      <c r="Z839" s="5">
        <v>36.14</v>
      </c>
      <c r="AA839" s="5">
        <v>39.76</v>
      </c>
      <c r="AB839" s="5">
        <v>45.78</v>
      </c>
      <c r="AC839" s="6">
        <v>0.35</v>
      </c>
      <c r="AD839" s="6">
        <v>0.4</v>
      </c>
      <c r="AE839" s="6">
        <v>0.25</v>
      </c>
      <c r="AF839" s="4" t="s">
        <v>42</v>
      </c>
      <c r="AG839" s="4" t="s">
        <v>6296</v>
      </c>
      <c r="AH839" s="4" t="s">
        <v>6296</v>
      </c>
      <c r="AI839" s="4" t="s">
        <v>46</v>
      </c>
      <c r="AJ839" s="4" t="s">
        <v>6296</v>
      </c>
      <c r="AK839" s="4" t="s">
        <v>37</v>
      </c>
      <c r="AL839" s="4" t="s">
        <v>6296</v>
      </c>
      <c r="AM839" s="4" t="s">
        <v>6296</v>
      </c>
      <c r="AN839" s="4" t="s">
        <v>6296</v>
      </c>
      <c r="AO839" s="4" t="s">
        <v>6296</v>
      </c>
      <c r="AP839" s="4" t="s">
        <v>2969</v>
      </c>
      <c r="AQ839" s="4" t="s">
        <v>47</v>
      </c>
    </row>
    <row r="840" spans="1:43" ht="12.6" customHeight="1" x14ac:dyDescent="0.25">
      <c r="A840" s="8" t="s">
        <v>3356</v>
      </c>
      <c r="B840" s="9">
        <v>20151231</v>
      </c>
      <c r="C840" s="12">
        <f>_xll.FDS("SPX","FG_PRICE(12/30/2015)")</f>
        <v>2063.36</v>
      </c>
      <c r="D840" s="12">
        <f>_xll.FDS("SPX","FG_PRICE(12/30/2017)")</f>
        <v>2673.61</v>
      </c>
      <c r="E840" s="15">
        <f>D840/C840-1</f>
        <v>0.2957554668114144</v>
      </c>
      <c r="F840" s="8" t="s">
        <v>3357</v>
      </c>
      <c r="G840" s="8" t="s">
        <v>3358</v>
      </c>
      <c r="H840" s="13">
        <f>_xll.FDS(G840,"FG_PRICE(12/30/2015)")</f>
        <v>58.44</v>
      </c>
      <c r="I840" s="13">
        <f>_xll.FDS(G840,"FG_PRICE(12/31/2017)")</f>
        <v>85.79</v>
      </c>
      <c r="J840" s="13">
        <f>I840/H840-1</f>
        <v>0.46800136892539368</v>
      </c>
      <c r="K840" s="13">
        <f>J840-E840</f>
        <v>0.17224590211397928</v>
      </c>
      <c r="L840" s="13">
        <f>_xll.FDS(G840,"FF_ROE(ANN_R,12/30/2015)")</f>
        <v>9.3182502257449578</v>
      </c>
      <c r="M840" s="8" t="s">
        <v>3359</v>
      </c>
      <c r="N840" s="4" t="s">
        <v>3359</v>
      </c>
      <c r="O840" s="4" t="s">
        <v>3360</v>
      </c>
      <c r="P840" s="4" t="s">
        <v>96</v>
      </c>
      <c r="Q840" s="4" t="s">
        <v>280</v>
      </c>
      <c r="R840" s="4" t="s">
        <v>61</v>
      </c>
      <c r="S840" s="4" t="s">
        <v>62</v>
      </c>
      <c r="T840" s="6" t="e">
        <v>#N/A</v>
      </c>
      <c r="U840" s="5">
        <v>50</v>
      </c>
      <c r="V840" s="5">
        <v>41</v>
      </c>
      <c r="W840" s="5">
        <v>47</v>
      </c>
      <c r="X840" s="5">
        <v>65</v>
      </c>
      <c r="Y840" s="5">
        <v>24.1</v>
      </c>
      <c r="Z840" s="6">
        <v>7.23</v>
      </c>
      <c r="AA840" s="5">
        <v>24.1</v>
      </c>
      <c r="AB840" s="5">
        <v>68.67</v>
      </c>
      <c r="AC840" s="6">
        <v>0.35</v>
      </c>
      <c r="AD840" s="6">
        <v>0.4</v>
      </c>
      <c r="AE840" s="6">
        <v>0.25</v>
      </c>
      <c r="AF840" s="4" t="s">
        <v>6296</v>
      </c>
      <c r="AG840" s="4" t="s">
        <v>6296</v>
      </c>
      <c r="AH840" s="4" t="s">
        <v>6296</v>
      </c>
      <c r="AI840" s="4" t="s">
        <v>6296</v>
      </c>
      <c r="AJ840" s="4" t="s">
        <v>6296</v>
      </c>
      <c r="AK840" s="4" t="s">
        <v>37</v>
      </c>
      <c r="AL840" s="4" t="s">
        <v>6296</v>
      </c>
      <c r="AM840" s="4" t="s">
        <v>6296</v>
      </c>
      <c r="AN840" s="4" t="s">
        <v>6296</v>
      </c>
      <c r="AO840" s="4" t="s">
        <v>6296</v>
      </c>
      <c r="AP840" s="4" t="s">
        <v>3361</v>
      </c>
      <c r="AQ840" s="4" t="s">
        <v>47</v>
      </c>
    </row>
    <row r="841" spans="1:43" ht="12.6" customHeight="1" x14ac:dyDescent="0.25">
      <c r="A841" s="8" t="s">
        <v>3699</v>
      </c>
      <c r="B841" s="9">
        <v>20151231</v>
      </c>
      <c r="C841" s="12">
        <f>_xll.FDS("SPX","FG_PRICE(12/30/2015)")</f>
        <v>2063.36</v>
      </c>
      <c r="D841" s="12">
        <f>_xll.FDS("SPX","FG_PRICE(12/30/2017)")</f>
        <v>2673.61</v>
      </c>
      <c r="E841" s="15">
        <f>D841/C841-1</f>
        <v>0.2957554668114144</v>
      </c>
      <c r="F841" s="8" t="s">
        <v>3700</v>
      </c>
      <c r="G841" s="8" t="s">
        <v>3701</v>
      </c>
      <c r="H841" s="13">
        <f>_xll.FDS(G841,"FG_PRICE(12/30/2015)")</f>
        <v>14.96</v>
      </c>
      <c r="I841" s="13">
        <f>_xll.FDS(G841,"FG_PRICE(12/31/2017)")</f>
        <v>33.5</v>
      </c>
      <c r="J841" s="13">
        <f>I841/H841-1</f>
        <v>1.2393048128342246</v>
      </c>
      <c r="K841" s="13">
        <f>J841-E841</f>
        <v>0.94354934602281015</v>
      </c>
      <c r="L841" s="13">
        <f>_xll.FDS(G841,"FF_ROE(ANN_R,12/30/2015)")</f>
        <v>-29.078255966549172</v>
      </c>
      <c r="M841" s="8" t="s">
        <v>3702</v>
      </c>
      <c r="N841" s="4" t="s">
        <v>3703</v>
      </c>
      <c r="O841" s="4" t="s">
        <v>3704</v>
      </c>
      <c r="P841" s="4" t="s">
        <v>106</v>
      </c>
      <c r="Q841" s="4" t="s">
        <v>280</v>
      </c>
      <c r="R841" s="4" t="s">
        <v>61</v>
      </c>
      <c r="S841" s="4" t="s">
        <v>62</v>
      </c>
      <c r="T841" s="6" t="e">
        <v>#N/A</v>
      </c>
      <c r="U841" s="5">
        <v>55</v>
      </c>
      <c r="V841" s="5">
        <v>53</v>
      </c>
      <c r="W841" s="5">
        <v>57</v>
      </c>
      <c r="X841" s="5">
        <v>55</v>
      </c>
      <c r="Y841" s="5">
        <v>46.99</v>
      </c>
      <c r="Z841" s="5">
        <v>34.94</v>
      </c>
      <c r="AA841" s="5">
        <v>66.27</v>
      </c>
      <c r="AB841" s="5">
        <v>45.78</v>
      </c>
      <c r="AC841" s="6">
        <v>0.35</v>
      </c>
      <c r="AD841" s="6">
        <v>0.4</v>
      </c>
      <c r="AE841" s="6">
        <v>0.25</v>
      </c>
      <c r="AF841" s="4" t="s">
        <v>6296</v>
      </c>
      <c r="AG841" s="4" t="s">
        <v>6296</v>
      </c>
      <c r="AH841" s="4" t="s">
        <v>6296</v>
      </c>
      <c r="AI841" s="4" t="s">
        <v>42</v>
      </c>
      <c r="AJ841" s="4" t="s">
        <v>6296</v>
      </c>
      <c r="AK841" s="4" t="s">
        <v>6296</v>
      </c>
      <c r="AL841" s="4" t="s">
        <v>6296</v>
      </c>
      <c r="AM841" s="4" t="s">
        <v>6296</v>
      </c>
      <c r="AN841" s="4" t="s">
        <v>6296</v>
      </c>
      <c r="AO841" s="4" t="s">
        <v>6296</v>
      </c>
      <c r="AP841" s="4" t="s">
        <v>3705</v>
      </c>
      <c r="AQ841" s="4" t="s">
        <v>47</v>
      </c>
    </row>
    <row r="842" spans="1:43" ht="12.6" customHeight="1" x14ac:dyDescent="0.25">
      <c r="A842" s="8" t="s">
        <v>3813</v>
      </c>
      <c r="B842" s="9">
        <v>20151231</v>
      </c>
      <c r="C842" s="12">
        <f>_xll.FDS("SPX","FG_PRICE(12/30/2015)")</f>
        <v>2063.36</v>
      </c>
      <c r="D842" s="12">
        <f>_xll.FDS("SPX","FG_PRICE(12/30/2017)")</f>
        <v>2673.61</v>
      </c>
      <c r="E842" s="15">
        <f>D842/C842-1</f>
        <v>0.2957554668114144</v>
      </c>
      <c r="F842" s="8" t="s">
        <v>3814</v>
      </c>
      <c r="G842" s="8" t="s">
        <v>3815</v>
      </c>
      <c r="H842" s="13">
        <f>_xll.FDS(G842,"FG_PRICE(12/30/2015)")</f>
        <v>17.95</v>
      </c>
      <c r="I842" s="13">
        <f>_xll.FDS(G842,"FG_PRICE(12/31/2017)")</f>
        <v>43.13</v>
      </c>
      <c r="J842" s="13">
        <f>I842/H842-1</f>
        <v>1.4027855153203346</v>
      </c>
      <c r="K842" s="13">
        <f>J842-E842</f>
        <v>1.1070300485089202</v>
      </c>
      <c r="L842" s="13">
        <f>_xll.FDS(G842,"FF_ROE(ANN_R,12/30/2015)")</f>
        <v>5.7514388303434698</v>
      </c>
      <c r="M842" s="8" t="s">
        <v>3816</v>
      </c>
      <c r="N842" s="4" t="s">
        <v>3817</v>
      </c>
      <c r="O842" s="4" t="s">
        <v>3818</v>
      </c>
      <c r="P842" s="4" t="s">
        <v>106</v>
      </c>
      <c r="Q842" s="4" t="s">
        <v>280</v>
      </c>
      <c r="R842" s="4" t="s">
        <v>61</v>
      </c>
      <c r="S842" s="4" t="s">
        <v>62</v>
      </c>
      <c r="T842" s="6" t="e">
        <v>#N/A</v>
      </c>
      <c r="U842" s="5">
        <v>48</v>
      </c>
      <c r="V842" s="5">
        <v>45</v>
      </c>
      <c r="W842" s="5">
        <v>46</v>
      </c>
      <c r="X842" s="5">
        <v>57</v>
      </c>
      <c r="Y842" s="5">
        <v>18.07</v>
      </c>
      <c r="Z842" s="5">
        <v>14.46</v>
      </c>
      <c r="AA842" s="5">
        <v>20.48</v>
      </c>
      <c r="AB842" s="5">
        <v>53.01</v>
      </c>
      <c r="AC842" s="6">
        <v>0.35</v>
      </c>
      <c r="AD842" s="6">
        <v>0.4</v>
      </c>
      <c r="AE842" s="6">
        <v>0.25</v>
      </c>
      <c r="AF842" s="4" t="s">
        <v>6296</v>
      </c>
      <c r="AG842" s="4" t="s">
        <v>6296</v>
      </c>
      <c r="AH842" s="4" t="s">
        <v>6296</v>
      </c>
      <c r="AI842" s="4" t="s">
        <v>6296</v>
      </c>
      <c r="AJ842" s="4" t="s">
        <v>6296</v>
      </c>
      <c r="AK842" s="4" t="s">
        <v>6296</v>
      </c>
      <c r="AL842" s="4" t="s">
        <v>6296</v>
      </c>
      <c r="AM842" s="4" t="s">
        <v>6296</v>
      </c>
      <c r="AN842" s="4" t="s">
        <v>6296</v>
      </c>
      <c r="AO842" s="4" t="s">
        <v>6296</v>
      </c>
      <c r="AP842" s="4" t="s">
        <v>3819</v>
      </c>
      <c r="AQ842" s="4" t="s">
        <v>47</v>
      </c>
    </row>
    <row r="843" spans="1:43" ht="12.6" customHeight="1" x14ac:dyDescent="0.25">
      <c r="A843" s="8" t="s">
        <v>4314</v>
      </c>
      <c r="B843" s="9">
        <v>20151231</v>
      </c>
      <c r="C843" s="12">
        <f>_xll.FDS("SPX","FG_PRICE(12/30/2015)")</f>
        <v>2063.36</v>
      </c>
      <c r="D843" s="12">
        <f>_xll.FDS("SPX","FG_PRICE(12/30/2017)")</f>
        <v>2673.61</v>
      </c>
      <c r="E843" s="15">
        <f>D843/C843-1</f>
        <v>0.2957554668114144</v>
      </c>
      <c r="F843" s="8" t="s">
        <v>4315</v>
      </c>
      <c r="G843" s="8" t="s">
        <v>4316</v>
      </c>
      <c r="H843" s="13">
        <f>_xll.FDS(G843,"FG_PRICE(12/30/2015)")</f>
        <v>1.1650000000000001E-2</v>
      </c>
      <c r="I843" s="13">
        <f>_xll.FDS(G843,"FG_PRICE(12/31/2017)")</f>
        <v>1.0999999999999999E-2</v>
      </c>
      <c r="J843" s="13">
        <f>I843/H843-1</f>
        <v>-5.5793991416309141E-2</v>
      </c>
      <c r="K843" s="13">
        <f>J843-E843</f>
        <v>-0.35154945822772354</v>
      </c>
      <c r="L843" s="13">
        <f>_xll.FDS(G843,"FF_ROE(ANN_R,12/30/2015)")</f>
        <v>-90.994754779918281</v>
      </c>
      <c r="M843" s="8" t="s">
        <v>4317</v>
      </c>
      <c r="N843" s="4" t="s">
        <v>4318</v>
      </c>
      <c r="O843" s="4" t="s">
        <v>4319</v>
      </c>
      <c r="P843" s="4" t="s">
        <v>3048</v>
      </c>
      <c r="Q843" s="4" t="s">
        <v>280</v>
      </c>
      <c r="R843" s="4" t="s">
        <v>61</v>
      </c>
      <c r="S843" s="4" t="s">
        <v>62</v>
      </c>
      <c r="T843" s="6" t="e">
        <v>#N/A</v>
      </c>
      <c r="U843" s="5">
        <v>51</v>
      </c>
      <c r="V843" s="5">
        <v>42</v>
      </c>
      <c r="W843" s="5">
        <v>47</v>
      </c>
      <c r="X843" s="5">
        <v>72</v>
      </c>
      <c r="Y843" s="5">
        <v>28.92</v>
      </c>
      <c r="Z843" s="6">
        <v>8.43</v>
      </c>
      <c r="AA843" s="5">
        <v>24.1</v>
      </c>
      <c r="AB843" s="5">
        <v>83.13</v>
      </c>
      <c r="AC843" s="6">
        <v>0.35</v>
      </c>
      <c r="AD843" s="6">
        <v>0.4</v>
      </c>
      <c r="AE843" s="6">
        <v>0.25</v>
      </c>
      <c r="AF843" s="4" t="s">
        <v>6296</v>
      </c>
      <c r="AG843" s="4" t="s">
        <v>6296</v>
      </c>
      <c r="AH843" s="4" t="s">
        <v>6296</v>
      </c>
      <c r="AI843" s="4" t="s">
        <v>37</v>
      </c>
      <c r="AJ843" s="4" t="s">
        <v>6296</v>
      </c>
      <c r="AK843" s="4" t="s">
        <v>6296</v>
      </c>
      <c r="AL843" s="4" t="s">
        <v>6296</v>
      </c>
      <c r="AM843" s="4" t="s">
        <v>6296</v>
      </c>
      <c r="AN843" s="4" t="s">
        <v>42</v>
      </c>
      <c r="AO843" s="4" t="s">
        <v>6296</v>
      </c>
      <c r="AP843" s="4" t="s">
        <v>4320</v>
      </c>
      <c r="AQ843" s="4" t="s">
        <v>47</v>
      </c>
    </row>
    <row r="844" spans="1:43" ht="12.6" customHeight="1" x14ac:dyDescent="0.25">
      <c r="A844" s="8" t="s">
        <v>3739</v>
      </c>
      <c r="B844" s="9">
        <v>20151231</v>
      </c>
      <c r="C844" s="12">
        <f>_xll.FDS("SPX","FG_PRICE(12/30/2015)")</f>
        <v>2063.36</v>
      </c>
      <c r="D844" s="12">
        <f>_xll.FDS("SPX","FG_PRICE(12/30/2017)")</f>
        <v>2673.61</v>
      </c>
      <c r="E844" s="15">
        <f>D844/C844-1</f>
        <v>0.2957554668114144</v>
      </c>
      <c r="F844" s="8" t="s">
        <v>3740</v>
      </c>
      <c r="G844" s="8" t="s">
        <v>3741</v>
      </c>
      <c r="H844" s="13">
        <f>_xll.FDS(G844,"FG_PRICE(12/30/2015)")</f>
        <v>8.14</v>
      </c>
      <c r="I844" s="13">
        <f>_xll.FDS(G844,"FG_PRICE(12/31/2017)")</f>
        <v>35.19</v>
      </c>
      <c r="J844" s="13">
        <f>I844/H844-1</f>
        <v>3.3230958230958221</v>
      </c>
      <c r="K844" s="13">
        <f>J844-E844</f>
        <v>3.0273403562844079</v>
      </c>
      <c r="L844" s="13">
        <f>_xll.FDS(G844,"FF_ROE(ANN_R,12/30/2015)")</f>
        <v>2.9382957884427028</v>
      </c>
      <c r="M844" s="8" t="s">
        <v>3742</v>
      </c>
      <c r="N844" s="4" t="s">
        <v>3742</v>
      </c>
      <c r="O844" s="4" t="s">
        <v>3743</v>
      </c>
      <c r="P844" s="4" t="s">
        <v>96</v>
      </c>
      <c r="Q844" s="4" t="s">
        <v>280</v>
      </c>
      <c r="R844" s="4" t="s">
        <v>61</v>
      </c>
      <c r="S844" s="4" t="s">
        <v>62</v>
      </c>
      <c r="T844" s="6" t="e">
        <v>#N/A</v>
      </c>
      <c r="U844" s="5">
        <v>51</v>
      </c>
      <c r="V844" s="5">
        <v>48</v>
      </c>
      <c r="W844" s="5">
        <v>41</v>
      </c>
      <c r="X844" s="5">
        <v>72</v>
      </c>
      <c r="Y844" s="5">
        <v>28.92</v>
      </c>
      <c r="Z844" s="5">
        <v>27.71</v>
      </c>
      <c r="AA844" s="6">
        <v>2.41</v>
      </c>
      <c r="AB844" s="5">
        <v>83.13</v>
      </c>
      <c r="AC844" s="6">
        <v>0.35</v>
      </c>
      <c r="AD844" s="6">
        <v>0.4</v>
      </c>
      <c r="AE844" s="6">
        <v>0.25</v>
      </c>
      <c r="AF844" s="4" t="s">
        <v>46</v>
      </c>
      <c r="AG844" s="4" t="s">
        <v>6296</v>
      </c>
      <c r="AH844" s="4" t="s">
        <v>6296</v>
      </c>
      <c r="AI844" s="4" t="s">
        <v>45</v>
      </c>
      <c r="AJ844" s="4" t="s">
        <v>6296</v>
      </c>
      <c r="AK844" s="4" t="s">
        <v>37</v>
      </c>
      <c r="AL844" s="4" t="s">
        <v>6296</v>
      </c>
      <c r="AM844" s="4" t="s">
        <v>6296</v>
      </c>
      <c r="AN844" s="4" t="s">
        <v>6296</v>
      </c>
      <c r="AO844" s="4" t="s">
        <v>6296</v>
      </c>
      <c r="AP844" s="4" t="s">
        <v>3744</v>
      </c>
      <c r="AQ844" s="4" t="s">
        <v>47</v>
      </c>
    </row>
    <row r="845" spans="1:43" ht="12.6" customHeight="1" x14ac:dyDescent="0.25">
      <c r="A845" s="8" t="s">
        <v>361</v>
      </c>
      <c r="B845" s="9">
        <v>20151231</v>
      </c>
      <c r="C845" s="12">
        <f>_xll.FDS("SPX","FG_PRICE(12/30/2015)")</f>
        <v>2063.36</v>
      </c>
      <c r="D845" s="12">
        <f>_xll.FDS("SPX","FG_PRICE(12/30/2017)")</f>
        <v>2673.61</v>
      </c>
      <c r="E845" s="15">
        <f>D845/C845-1</f>
        <v>0.2957554668114144</v>
      </c>
      <c r="F845" s="8" t="s">
        <v>362</v>
      </c>
      <c r="G845" s="8" t="s">
        <v>363</v>
      </c>
      <c r="H845" s="13">
        <f>_xll.FDS(G845,"FG_PRICE(12/30/2015)")</f>
        <v>107.32</v>
      </c>
      <c r="I845" s="13">
        <f>_xll.FDS(G845,"FG_PRICE(12/31/2017)")</f>
        <v>169.23</v>
      </c>
      <c r="J845" s="13">
        <f>I845/H845-1</f>
        <v>0.57687290346626918</v>
      </c>
      <c r="K845" s="13">
        <f>J845-E845</f>
        <v>0.28111743665485478</v>
      </c>
      <c r="L845" s="13">
        <f>_xll.FDS(G845,"FF_ROE(ANN_R,12/30/2015)")</f>
        <v>46.248191873608718</v>
      </c>
      <c r="M845" s="8" t="s">
        <v>364</v>
      </c>
      <c r="N845" s="4" t="s">
        <v>364</v>
      </c>
      <c r="O845" s="4" t="s">
        <v>365</v>
      </c>
      <c r="P845" s="4" t="s">
        <v>106</v>
      </c>
      <c r="Q845" s="4" t="s">
        <v>66</v>
      </c>
      <c r="R845" s="4" t="s">
        <v>61</v>
      </c>
      <c r="S845" s="4" t="s">
        <v>62</v>
      </c>
      <c r="T845" s="6" t="e">
        <v>#N/A</v>
      </c>
      <c r="U845" s="5">
        <v>62</v>
      </c>
      <c r="V845" s="5">
        <v>77</v>
      </c>
      <c r="W845" s="5">
        <v>45</v>
      </c>
      <c r="X845" s="5">
        <v>62</v>
      </c>
      <c r="Y845" s="5">
        <v>50.89</v>
      </c>
      <c r="Z845" s="5">
        <v>79.88</v>
      </c>
      <c r="AA845" s="6">
        <v>4.1399999999999997</v>
      </c>
      <c r="AB845" s="5">
        <v>39.64</v>
      </c>
      <c r="AC845" s="6">
        <v>0.4</v>
      </c>
      <c r="AD845" s="6">
        <v>0.35</v>
      </c>
      <c r="AE845" s="6">
        <v>0.25</v>
      </c>
      <c r="AF845" s="4" t="s">
        <v>6296</v>
      </c>
      <c r="AG845" s="4" t="s">
        <v>6296</v>
      </c>
      <c r="AH845" s="4" t="s">
        <v>6296</v>
      </c>
      <c r="AI845" s="4" t="s">
        <v>37</v>
      </c>
      <c r="AJ845" s="4" t="s">
        <v>46</v>
      </c>
      <c r="AK845" s="4" t="s">
        <v>46</v>
      </c>
      <c r="AL845" s="4" t="s">
        <v>6296</v>
      </c>
      <c r="AM845" s="4" t="s">
        <v>46</v>
      </c>
      <c r="AN845" s="4" t="s">
        <v>42</v>
      </c>
      <c r="AO845" s="4" t="s">
        <v>6296</v>
      </c>
      <c r="AP845" s="4" t="s">
        <v>366</v>
      </c>
      <c r="AQ845" s="4" t="s">
        <v>47</v>
      </c>
    </row>
    <row r="846" spans="1:43" ht="12.6" customHeight="1" x14ac:dyDescent="0.25">
      <c r="A846" s="8" t="s">
        <v>413</v>
      </c>
      <c r="B846" s="9">
        <v>20151231</v>
      </c>
      <c r="C846" s="12">
        <f>_xll.FDS("SPX","FG_PRICE(12/30/2015)")</f>
        <v>2063.36</v>
      </c>
      <c r="D846" s="12">
        <f>_xll.FDS("SPX","FG_PRICE(12/30/2017)")</f>
        <v>2673.61</v>
      </c>
      <c r="E846" s="15">
        <f>D846/C846-1</f>
        <v>0.2957554668114144</v>
      </c>
      <c r="F846" s="8" t="s">
        <v>414</v>
      </c>
      <c r="G846" s="8" t="s">
        <v>415</v>
      </c>
      <c r="H846" s="13">
        <f>_xll.FDS(G846,"FG_PRICE(12/30/2015)")</f>
        <v>17.3</v>
      </c>
      <c r="I846" s="13">
        <f>_xll.FDS(G846,"FG_PRICE(12/31/2017)")</f>
        <v>19.350000000000001</v>
      </c>
      <c r="J846" s="13">
        <f>I846/H846-1</f>
        <v>0.11849710982658967</v>
      </c>
      <c r="K846" s="13">
        <f>J846-E846</f>
        <v>-0.17725835698482473</v>
      </c>
      <c r="L846" s="13">
        <f>_xll.FDS(G846,"FF_ROE(ANN_R,12/30/2015)")</f>
        <v>7.7356562261890609</v>
      </c>
      <c r="M846" s="8" t="s">
        <v>416</v>
      </c>
      <c r="N846" s="4" t="s">
        <v>417</v>
      </c>
      <c r="O846" s="4" t="s">
        <v>418</v>
      </c>
      <c r="P846" s="4" t="s">
        <v>106</v>
      </c>
      <c r="Q846" s="4" t="s">
        <v>66</v>
      </c>
      <c r="R846" s="4" t="s">
        <v>61</v>
      </c>
      <c r="S846" s="4" t="s">
        <v>62</v>
      </c>
      <c r="T846" s="6" t="e">
        <v>#N/A</v>
      </c>
      <c r="U846" s="5">
        <v>61</v>
      </c>
      <c r="V846" s="5">
        <v>55</v>
      </c>
      <c r="W846" s="5">
        <v>59</v>
      </c>
      <c r="X846" s="5">
        <v>72</v>
      </c>
      <c r="Y846" s="5">
        <v>46.75</v>
      </c>
      <c r="Z846" s="5">
        <v>39.64</v>
      </c>
      <c r="AA846" s="5">
        <v>45.56</v>
      </c>
      <c r="AB846" s="5">
        <v>81.66</v>
      </c>
      <c r="AC846" s="6">
        <v>0.4</v>
      </c>
      <c r="AD846" s="6">
        <v>0.35</v>
      </c>
      <c r="AE846" s="6">
        <v>0.25</v>
      </c>
      <c r="AF846" s="4" t="s">
        <v>6296</v>
      </c>
      <c r="AG846" s="4" t="s">
        <v>6296</v>
      </c>
      <c r="AH846" s="4" t="s">
        <v>6296</v>
      </c>
      <c r="AI846" s="4" t="s">
        <v>6296</v>
      </c>
      <c r="AJ846" s="4" t="s">
        <v>6296</v>
      </c>
      <c r="AK846" s="4" t="s">
        <v>6296</v>
      </c>
      <c r="AL846" s="4" t="s">
        <v>6296</v>
      </c>
      <c r="AM846" s="4" t="s">
        <v>6296</v>
      </c>
      <c r="AN846" s="4" t="s">
        <v>6296</v>
      </c>
      <c r="AO846" s="4" t="s">
        <v>6296</v>
      </c>
      <c r="AP846" s="4" t="s">
        <v>419</v>
      </c>
      <c r="AQ846" s="4" t="s">
        <v>47</v>
      </c>
    </row>
    <row r="847" spans="1:43" ht="12.6" customHeight="1" x14ac:dyDescent="0.25">
      <c r="A847" s="8" t="s">
        <v>806</v>
      </c>
      <c r="B847" s="9">
        <v>20151231</v>
      </c>
      <c r="C847" s="12">
        <f>_xll.FDS("SPX","FG_PRICE(12/30/2015)")</f>
        <v>2063.36</v>
      </c>
      <c r="D847" s="12">
        <f>_xll.FDS("SPX","FG_PRICE(12/30/2017)")</f>
        <v>2673.61</v>
      </c>
      <c r="E847" s="15">
        <f>D847/C847-1</f>
        <v>0.2957554668114144</v>
      </c>
      <c r="F847" s="8" t="s">
        <v>807</v>
      </c>
      <c r="G847" s="8" t="s">
        <v>808</v>
      </c>
      <c r="H847" s="13">
        <f>_xll.FDS(G847,"FG_PRICE(12/30/2015)")</f>
        <v>52.93</v>
      </c>
      <c r="I847" s="13">
        <f>_xll.FDS(G847,"FG_PRICE(12/31/2017)")</f>
        <v>87.8</v>
      </c>
      <c r="J847" s="13">
        <f>I847/H847-1</f>
        <v>0.6587946344228226</v>
      </c>
      <c r="K847" s="13">
        <f>J847-E847</f>
        <v>0.3630391676114082</v>
      </c>
      <c r="L847" s="13">
        <f>_xll.FDS(G847,"FF_ROE(ANN_R,12/30/2015)")</f>
        <v>24.592030149946879</v>
      </c>
      <c r="M847" s="8" t="s">
        <v>809</v>
      </c>
      <c r="N847" s="4" t="s">
        <v>810</v>
      </c>
      <c r="O847" s="4" t="s">
        <v>811</v>
      </c>
      <c r="P847" s="4" t="s">
        <v>96</v>
      </c>
      <c r="Q847" s="4" t="s">
        <v>66</v>
      </c>
      <c r="R847" s="4" t="s">
        <v>61</v>
      </c>
      <c r="S847" s="4" t="s">
        <v>62</v>
      </c>
      <c r="T847" s="6" t="e">
        <v>#N/A</v>
      </c>
      <c r="U847" s="5">
        <v>52</v>
      </c>
      <c r="V847" s="5">
        <v>47</v>
      </c>
      <c r="W847" s="5">
        <v>55</v>
      </c>
      <c r="X847" s="5">
        <v>58</v>
      </c>
      <c r="Y847" s="5">
        <v>20.12</v>
      </c>
      <c r="Z847" s="5">
        <v>24.26</v>
      </c>
      <c r="AA847" s="5">
        <v>33.729999999999997</v>
      </c>
      <c r="AB847" s="5">
        <v>27.22</v>
      </c>
      <c r="AC847" s="6">
        <v>0.4</v>
      </c>
      <c r="AD847" s="6">
        <v>0.35</v>
      </c>
      <c r="AE847" s="6">
        <v>0.25</v>
      </c>
      <c r="AF847" s="4" t="s">
        <v>6296</v>
      </c>
      <c r="AG847" s="4" t="s">
        <v>6296</v>
      </c>
      <c r="AH847" s="4" t="s">
        <v>6296</v>
      </c>
      <c r="AI847" s="4" t="s">
        <v>6296</v>
      </c>
      <c r="AJ847" s="4" t="s">
        <v>6296</v>
      </c>
      <c r="AK847" s="4" t="s">
        <v>6296</v>
      </c>
      <c r="AL847" s="4" t="s">
        <v>6296</v>
      </c>
      <c r="AM847" s="4" t="s">
        <v>6296</v>
      </c>
      <c r="AN847" s="4" t="s">
        <v>6296</v>
      </c>
      <c r="AO847" s="4" t="s">
        <v>6296</v>
      </c>
      <c r="AP847" s="4" t="s">
        <v>812</v>
      </c>
      <c r="AQ847" s="4" t="s">
        <v>47</v>
      </c>
    </row>
    <row r="848" spans="1:43" ht="12.6" customHeight="1" x14ac:dyDescent="0.25">
      <c r="A848" s="8" t="s">
        <v>406</v>
      </c>
      <c r="B848" s="9">
        <v>20151231</v>
      </c>
      <c r="C848" s="12">
        <f>_xll.FDS("SPX","FG_PRICE(12/30/2015)")</f>
        <v>2063.36</v>
      </c>
      <c r="D848" s="12">
        <f>_xll.FDS("SPX","FG_PRICE(12/30/2017)")</f>
        <v>2673.61</v>
      </c>
      <c r="E848" s="15">
        <f>D848/C848-1</f>
        <v>0.2957554668114144</v>
      </c>
      <c r="F848" s="8" t="s">
        <v>407</v>
      </c>
      <c r="G848" s="8" t="s">
        <v>408</v>
      </c>
      <c r="H848" s="13">
        <f>_xll.FDS(G848,"FG_PRICE(12/30/2015)")</f>
        <v>55.35</v>
      </c>
      <c r="I848" s="13">
        <f>_xll.FDS(G848,"FG_PRICE(12/31/2017)")</f>
        <v>80.41</v>
      </c>
      <c r="J848" s="13">
        <f>I848/H848-1</f>
        <v>0.45275519421860877</v>
      </c>
      <c r="K848" s="13">
        <f>J848-E848</f>
        <v>0.15699972740719437</v>
      </c>
      <c r="L848" s="13">
        <f>_xll.FDS(G848,"FF_ROE(ANN_R,12/30/2015)")</f>
        <v>11.95183414080916</v>
      </c>
      <c r="M848" s="8" t="s">
        <v>409</v>
      </c>
      <c r="N848" s="4" t="s">
        <v>410</v>
      </c>
      <c r="O848" s="4" t="s">
        <v>411</v>
      </c>
      <c r="P848" s="4" t="s">
        <v>96</v>
      </c>
      <c r="Q848" s="4" t="s">
        <v>66</v>
      </c>
      <c r="R848" s="4" t="s">
        <v>61</v>
      </c>
      <c r="S848" s="4" t="s">
        <v>62</v>
      </c>
      <c r="T848" s="6" t="e">
        <v>#N/A</v>
      </c>
      <c r="U848" s="5">
        <v>57</v>
      </c>
      <c r="V848" s="5">
        <v>50</v>
      </c>
      <c r="W848" s="5">
        <v>58</v>
      </c>
      <c r="X848" s="5">
        <v>67</v>
      </c>
      <c r="Y848" s="5">
        <v>35.5</v>
      </c>
      <c r="Z848" s="5">
        <v>29.59</v>
      </c>
      <c r="AA848" s="5">
        <v>42.6</v>
      </c>
      <c r="AB848" s="5">
        <v>57.4</v>
      </c>
      <c r="AC848" s="6">
        <v>0.4</v>
      </c>
      <c r="AD848" s="6">
        <v>0.35</v>
      </c>
      <c r="AE848" s="6">
        <v>0.25</v>
      </c>
      <c r="AF848" s="4" t="s">
        <v>6296</v>
      </c>
      <c r="AG848" s="4" t="s">
        <v>6296</v>
      </c>
      <c r="AH848" s="4" t="s">
        <v>6296</v>
      </c>
      <c r="AI848" s="4" t="s">
        <v>6296</v>
      </c>
      <c r="AJ848" s="4" t="s">
        <v>6296</v>
      </c>
      <c r="AK848" s="4" t="s">
        <v>6296</v>
      </c>
      <c r="AL848" s="4" t="s">
        <v>6296</v>
      </c>
      <c r="AM848" s="4" t="s">
        <v>6296</v>
      </c>
      <c r="AN848" s="4" t="s">
        <v>6296</v>
      </c>
      <c r="AO848" s="4" t="s">
        <v>6296</v>
      </c>
      <c r="AP848" s="4" t="s">
        <v>412</v>
      </c>
      <c r="AQ848" s="4" t="s">
        <v>47</v>
      </c>
    </row>
    <row r="849" spans="1:43" ht="12.6" customHeight="1" x14ac:dyDescent="0.25">
      <c r="A849" s="8" t="s">
        <v>492</v>
      </c>
      <c r="B849" s="9">
        <v>20151231</v>
      </c>
      <c r="C849" s="12">
        <f>_xll.FDS("SPX","FG_PRICE(12/30/2015)")</f>
        <v>2063.36</v>
      </c>
      <c r="D849" s="12">
        <f>_xll.FDS("SPX","FG_PRICE(12/30/2017)")</f>
        <v>2673.61</v>
      </c>
      <c r="E849" s="15">
        <f>D849/C849-1</f>
        <v>0.2957554668114144</v>
      </c>
      <c r="F849" s="8" t="s">
        <v>493</v>
      </c>
      <c r="G849" s="8" t="s">
        <v>494</v>
      </c>
      <c r="H849" s="13">
        <f>_xll.FDS(G849,"FG_PRICE(12/30/2015)")</f>
        <v>43.75</v>
      </c>
      <c r="I849" s="13">
        <f>_xll.FDS(G849,"FG_PRICE(12/31/2017)")</f>
        <v>39.619999999999997</v>
      </c>
      <c r="J849" s="13">
        <f>I849/H849-1</f>
        <v>-9.4400000000000039E-2</v>
      </c>
      <c r="K849" s="13">
        <f>J849-E849</f>
        <v>-0.39015546681141444</v>
      </c>
      <c r="L849" s="13">
        <f>_xll.FDS(G849,"FF_ROE(ANN_R,12/30/2015)")</f>
        <v>11.94569646171877</v>
      </c>
      <c r="M849" s="8" t="s">
        <v>495</v>
      </c>
      <c r="N849" s="4" t="s">
        <v>496</v>
      </c>
      <c r="O849" s="4" t="s">
        <v>497</v>
      </c>
      <c r="P849" s="4" t="s">
        <v>96</v>
      </c>
      <c r="Q849" s="4" t="s">
        <v>66</v>
      </c>
      <c r="R849" s="4" t="s">
        <v>61</v>
      </c>
      <c r="S849" s="4" t="s">
        <v>62</v>
      </c>
      <c r="T849" s="6" t="e">
        <v>#N/A</v>
      </c>
      <c r="U849" s="5">
        <v>57</v>
      </c>
      <c r="V849" s="5">
        <v>52</v>
      </c>
      <c r="W849" s="5">
        <v>55</v>
      </c>
      <c r="X849" s="5">
        <v>68</v>
      </c>
      <c r="Y849" s="5">
        <v>35.5</v>
      </c>
      <c r="Z849" s="5">
        <v>34.909999999999997</v>
      </c>
      <c r="AA849" s="5">
        <v>33.729999999999997</v>
      </c>
      <c r="AB849" s="5">
        <v>62.72</v>
      </c>
      <c r="AC849" s="6">
        <v>0.4</v>
      </c>
      <c r="AD849" s="6">
        <v>0.35</v>
      </c>
      <c r="AE849" s="6">
        <v>0.25</v>
      </c>
      <c r="AF849" s="4" t="s">
        <v>6296</v>
      </c>
      <c r="AG849" s="4" t="s">
        <v>6296</v>
      </c>
      <c r="AH849" s="4" t="s">
        <v>6296</v>
      </c>
      <c r="AI849" s="4" t="s">
        <v>6296</v>
      </c>
      <c r="AJ849" s="4" t="s">
        <v>6296</v>
      </c>
      <c r="AK849" s="4" t="s">
        <v>6296</v>
      </c>
      <c r="AL849" s="4" t="s">
        <v>6296</v>
      </c>
      <c r="AM849" s="4" t="s">
        <v>6296</v>
      </c>
      <c r="AN849" s="4" t="s">
        <v>6296</v>
      </c>
      <c r="AO849" s="4" t="s">
        <v>6296</v>
      </c>
      <c r="AP849" s="4" t="s">
        <v>498</v>
      </c>
      <c r="AQ849" s="4" t="s">
        <v>47</v>
      </c>
    </row>
    <row r="850" spans="1:43" ht="12.6" customHeight="1" x14ac:dyDescent="0.25">
      <c r="A850" s="8" t="s">
        <v>420</v>
      </c>
      <c r="B850" s="9">
        <v>20151231</v>
      </c>
      <c r="C850" s="12">
        <f>_xll.FDS("SPX","FG_PRICE(12/30/2015)")</f>
        <v>2063.36</v>
      </c>
      <c r="D850" s="12">
        <f>_xll.FDS("SPX","FG_PRICE(12/30/2017)")</f>
        <v>2673.61</v>
      </c>
      <c r="E850" s="15">
        <f>D850/C850-1</f>
        <v>0.2957554668114144</v>
      </c>
      <c r="F850" s="8" t="s">
        <v>421</v>
      </c>
      <c r="G850" s="8" t="s">
        <v>422</v>
      </c>
      <c r="H850" s="13">
        <f>_xll.FDS(G850,"FG_PRICE(12/30/2015)")</f>
        <v>12.18</v>
      </c>
      <c r="I850" s="13">
        <f>_xll.FDS(G850,"FG_PRICE(12/31/2017)")</f>
        <v>17.3</v>
      </c>
      <c r="J850" s="13">
        <f>I850/H850-1</f>
        <v>0.420361247947455</v>
      </c>
      <c r="K850" s="13">
        <f>J850-E850</f>
        <v>0.12460578113604059</v>
      </c>
      <c r="L850" s="13">
        <f>_xll.FDS(G850,"FF_ROE(ANN_R,12/30/2015)")</f>
        <v>10.808135039122909</v>
      </c>
      <c r="M850" s="8" t="s">
        <v>423</v>
      </c>
      <c r="N850" s="4" t="s">
        <v>423</v>
      </c>
      <c r="O850" s="4" t="s">
        <v>424</v>
      </c>
      <c r="P850" s="4" t="s">
        <v>96</v>
      </c>
      <c r="Q850" s="4" t="s">
        <v>66</v>
      </c>
      <c r="R850" s="4" t="s">
        <v>61</v>
      </c>
      <c r="S850" s="4" t="s">
        <v>62</v>
      </c>
      <c r="T850" s="6" t="e">
        <v>#N/A</v>
      </c>
      <c r="U850" s="5">
        <v>51</v>
      </c>
      <c r="V850" s="5">
        <v>36</v>
      </c>
      <c r="W850" s="5">
        <v>69</v>
      </c>
      <c r="X850" s="5">
        <v>51</v>
      </c>
      <c r="Y850" s="5">
        <v>15.38</v>
      </c>
      <c r="Z850" s="6">
        <v>4.7300000000000004</v>
      </c>
      <c r="AA850" s="5">
        <v>72.19</v>
      </c>
      <c r="AB850" s="6">
        <v>7.69</v>
      </c>
      <c r="AC850" s="6">
        <v>0.4</v>
      </c>
      <c r="AD850" s="6">
        <v>0.35</v>
      </c>
      <c r="AE850" s="6">
        <v>0.25</v>
      </c>
      <c r="AF850" s="4" t="s">
        <v>46</v>
      </c>
      <c r="AG850" s="4" t="s">
        <v>6296</v>
      </c>
      <c r="AH850" s="4" t="s">
        <v>6296</v>
      </c>
      <c r="AI850" s="4" t="s">
        <v>6296</v>
      </c>
      <c r="AJ850" s="4" t="s">
        <v>6296</v>
      </c>
      <c r="AK850" s="4" t="s">
        <v>6296</v>
      </c>
      <c r="AL850" s="4" t="s">
        <v>6296</v>
      </c>
      <c r="AM850" s="4" t="s">
        <v>42</v>
      </c>
      <c r="AN850" s="4" t="s">
        <v>6296</v>
      </c>
      <c r="AO850" s="4" t="s">
        <v>6296</v>
      </c>
      <c r="AP850" s="4" t="s">
        <v>425</v>
      </c>
      <c r="AQ850" s="4" t="s">
        <v>47</v>
      </c>
    </row>
    <row r="851" spans="1:43" ht="12.6" customHeight="1" x14ac:dyDescent="0.25">
      <c r="A851" s="8" t="s">
        <v>1954</v>
      </c>
      <c r="B851" s="9">
        <v>20151231</v>
      </c>
      <c r="C851" s="12">
        <f>_xll.FDS("SPX","FG_PRICE(12/30/2015)")</f>
        <v>2063.36</v>
      </c>
      <c r="D851" s="12">
        <f>_xll.FDS("SPX","FG_PRICE(12/30/2017)")</f>
        <v>2673.61</v>
      </c>
      <c r="E851" s="15">
        <f>D851/C851-1</f>
        <v>0.2957554668114144</v>
      </c>
      <c r="F851" s="8" t="s">
        <v>1955</v>
      </c>
      <c r="G851" s="8" t="s">
        <v>1956</v>
      </c>
      <c r="H851" s="13">
        <f>_xll.FDS(G851,"FG_PRICE(12/30/2015)")</f>
        <v>9.23</v>
      </c>
      <c r="I851" s="13" t="e">
        <f>_xll.FDS(G851,"FG_PRICE(12/31/2017)")</f>
        <v>#N/A</v>
      </c>
      <c r="J851" s="13" t="e">
        <f>I851/H851-1</f>
        <v>#N/A</v>
      </c>
      <c r="K851" s="13" t="e">
        <f>J851-E851</f>
        <v>#N/A</v>
      </c>
      <c r="L851" s="13">
        <f>_xll.FDS(G851,"FF_ROE(ANN_R,12/30/2015)")</f>
        <v>13.775387546857329</v>
      </c>
      <c r="M851" s="8" t="s">
        <v>1957</v>
      </c>
      <c r="N851" s="4" t="s">
        <v>1958</v>
      </c>
      <c r="O851" s="4" t="s">
        <v>1959</v>
      </c>
      <c r="P851" s="4" t="s">
        <v>106</v>
      </c>
      <c r="Q851" s="4" t="s">
        <v>66</v>
      </c>
      <c r="R851" s="4" t="s">
        <v>61</v>
      </c>
      <c r="S851" s="4" t="s">
        <v>62</v>
      </c>
      <c r="T851" s="6" t="e">
        <v>#N/A</v>
      </c>
      <c r="U851" s="5">
        <v>55</v>
      </c>
      <c r="V851" s="5">
        <v>50</v>
      </c>
      <c r="W851" s="5">
        <v>51</v>
      </c>
      <c r="X851" s="5">
        <v>67</v>
      </c>
      <c r="Y851" s="5">
        <v>28.99</v>
      </c>
      <c r="Z851" s="5">
        <v>29.59</v>
      </c>
      <c r="AA851" s="5">
        <v>20.71</v>
      </c>
      <c r="AB851" s="5">
        <v>57.4</v>
      </c>
      <c r="AC851" s="6">
        <v>0.4</v>
      </c>
      <c r="AD851" s="6">
        <v>0.35</v>
      </c>
      <c r="AE851" s="6">
        <v>0.25</v>
      </c>
      <c r="AF851" s="4" t="s">
        <v>6296</v>
      </c>
      <c r="AG851" s="4" t="s">
        <v>6296</v>
      </c>
      <c r="AH851" s="4" t="s">
        <v>6296</v>
      </c>
      <c r="AI851" s="4" t="s">
        <v>6296</v>
      </c>
      <c r="AJ851" s="4" t="s">
        <v>6296</v>
      </c>
      <c r="AK851" s="4" t="s">
        <v>6296</v>
      </c>
      <c r="AL851" s="4" t="s">
        <v>6296</v>
      </c>
      <c r="AM851" s="4" t="s">
        <v>6296</v>
      </c>
      <c r="AN851" s="4" t="s">
        <v>46</v>
      </c>
      <c r="AO851" s="4" t="s">
        <v>6296</v>
      </c>
      <c r="AP851" s="4" t="s">
        <v>1960</v>
      </c>
      <c r="AQ851" s="4" t="s">
        <v>47</v>
      </c>
    </row>
    <row r="852" spans="1:43" ht="12.6" customHeight="1" x14ac:dyDescent="0.25">
      <c r="A852" s="8" t="s">
        <v>4802</v>
      </c>
      <c r="B852" s="9">
        <v>20151231</v>
      </c>
      <c r="C852" s="12">
        <f>_xll.FDS("SPX","FG_PRICE(12/30/2015)")</f>
        <v>2063.36</v>
      </c>
      <c r="D852" s="12">
        <f>_xll.FDS("SPX","FG_PRICE(12/30/2017)")</f>
        <v>2673.61</v>
      </c>
      <c r="E852" s="15">
        <f>D852/C852-1</f>
        <v>0.2957554668114144</v>
      </c>
      <c r="F852" s="8" t="s">
        <v>4803</v>
      </c>
      <c r="G852" s="8" t="s">
        <v>4804</v>
      </c>
      <c r="H852" s="13">
        <f>_xll.FDS(G852,"FG_PRICE(12/30/2015)")</f>
        <v>20.92</v>
      </c>
      <c r="I852" s="13">
        <f>_xll.FDS(G852,"FG_PRICE(12/31/2017)")</f>
        <v>20.93</v>
      </c>
      <c r="J852" s="13">
        <f>I852/H852-1</f>
        <v>4.7801147227533036E-4</v>
      </c>
      <c r="K852" s="13">
        <f>J852-E852</f>
        <v>-0.29527745533913907</v>
      </c>
      <c r="L852" s="13">
        <f>_xll.FDS(G852,"FF_ROE(ANN_R,12/30/2015)")</f>
        <v>4.2328407052194876</v>
      </c>
      <c r="M852" s="8" t="s">
        <v>4805</v>
      </c>
      <c r="N852" s="4" t="s">
        <v>4805</v>
      </c>
      <c r="O852" s="4" t="s">
        <v>4806</v>
      </c>
      <c r="P852" s="4" t="s">
        <v>96</v>
      </c>
      <c r="Q852" s="4" t="s">
        <v>66</v>
      </c>
      <c r="R852" s="4" t="s">
        <v>61</v>
      </c>
      <c r="S852" s="4" t="s">
        <v>62</v>
      </c>
      <c r="T852" s="6" t="e">
        <v>#N/A</v>
      </c>
      <c r="U852" s="5">
        <v>53</v>
      </c>
      <c r="V852" s="5">
        <v>40</v>
      </c>
      <c r="W852" s="5">
        <v>57</v>
      </c>
      <c r="X852" s="5">
        <v>68</v>
      </c>
      <c r="Y852" s="5">
        <v>22.49</v>
      </c>
      <c r="Z852" s="6">
        <v>9.4700000000000006</v>
      </c>
      <c r="AA852" s="5">
        <v>40.83</v>
      </c>
      <c r="AB852" s="5">
        <v>62.72</v>
      </c>
      <c r="AC852" s="6">
        <v>0.4</v>
      </c>
      <c r="AD852" s="6">
        <v>0.35</v>
      </c>
      <c r="AE852" s="6">
        <v>0.25</v>
      </c>
      <c r="AF852" s="4" t="s">
        <v>6296</v>
      </c>
      <c r="AG852" s="4" t="s">
        <v>6296</v>
      </c>
      <c r="AH852" s="4" t="s">
        <v>6296</v>
      </c>
      <c r="AI852" s="4" t="s">
        <v>6296</v>
      </c>
      <c r="AJ852" s="4" t="s">
        <v>6296</v>
      </c>
      <c r="AK852" s="4" t="s">
        <v>6296</v>
      </c>
      <c r="AL852" s="4" t="s">
        <v>6296</v>
      </c>
      <c r="AM852" s="4" t="s">
        <v>6296</v>
      </c>
      <c r="AN852" s="4" t="s">
        <v>6296</v>
      </c>
      <c r="AO852" s="4" t="s">
        <v>6296</v>
      </c>
      <c r="AP852" s="4" t="s">
        <v>4807</v>
      </c>
      <c r="AQ852" s="4" t="s">
        <v>47</v>
      </c>
    </row>
    <row r="853" spans="1:43" ht="12.6" customHeight="1" x14ac:dyDescent="0.25">
      <c r="A853" s="8" t="s">
        <v>1030</v>
      </c>
      <c r="B853" s="9">
        <v>20151231</v>
      </c>
      <c r="C853" s="12">
        <f>_xll.FDS("SPX","FG_PRICE(12/30/2015)")</f>
        <v>2063.36</v>
      </c>
      <c r="D853" s="12">
        <f>_xll.FDS("SPX","FG_PRICE(12/30/2017)")</f>
        <v>2673.61</v>
      </c>
      <c r="E853" s="15">
        <f>D853/C853-1</f>
        <v>0.2957554668114144</v>
      </c>
      <c r="F853" s="8" t="s">
        <v>1031</v>
      </c>
      <c r="G853" s="8" t="s">
        <v>1032</v>
      </c>
      <c r="H853" s="13">
        <f>_xll.FDS(G853,"FG_PRICE(12/30/2015)")</f>
        <v>27.53</v>
      </c>
      <c r="I853" s="13">
        <f>_xll.FDS(G853,"FG_PRICE(12/31/2017)")</f>
        <v>38.299999999999997</v>
      </c>
      <c r="J853" s="13">
        <f>I853/H853-1</f>
        <v>0.3912095895386849</v>
      </c>
      <c r="K853" s="13">
        <f>J853-E853</f>
        <v>9.5454122727270496E-2</v>
      </c>
      <c r="L853" s="13">
        <f>_xll.FDS(G853,"FF_ROE(ANN_R,12/30/2015)")</f>
        <v>15.43763751375138</v>
      </c>
      <c r="M853" s="8" t="s">
        <v>1033</v>
      </c>
      <c r="N853" s="4" t="s">
        <v>1034</v>
      </c>
      <c r="O853" s="4" t="s">
        <v>1035</v>
      </c>
      <c r="P853" s="4" t="s">
        <v>106</v>
      </c>
      <c r="Q853" s="4" t="s">
        <v>66</v>
      </c>
      <c r="R853" s="4" t="s">
        <v>61</v>
      </c>
      <c r="S853" s="4" t="s">
        <v>62</v>
      </c>
      <c r="T853" s="6" t="e">
        <v>#N/A</v>
      </c>
      <c r="U853" s="5">
        <v>79</v>
      </c>
      <c r="V853" s="5">
        <v>82</v>
      </c>
      <c r="W853" s="5">
        <v>79</v>
      </c>
      <c r="X853" s="5">
        <v>72</v>
      </c>
      <c r="Y853" s="5">
        <v>92.9</v>
      </c>
      <c r="Z853" s="5">
        <v>88.17</v>
      </c>
      <c r="AA853" s="5">
        <v>92.9</v>
      </c>
      <c r="AB853" s="5">
        <v>81.66</v>
      </c>
      <c r="AC853" s="6">
        <v>0.4</v>
      </c>
      <c r="AD853" s="6">
        <v>0.35</v>
      </c>
      <c r="AE853" s="6">
        <v>0.25</v>
      </c>
      <c r="AF853" s="4" t="s">
        <v>6296</v>
      </c>
      <c r="AG853" s="4" t="s">
        <v>6296</v>
      </c>
      <c r="AH853" s="4" t="s">
        <v>6296</v>
      </c>
      <c r="AI853" s="4" t="s">
        <v>6296</v>
      </c>
      <c r="AJ853" s="4" t="s">
        <v>6296</v>
      </c>
      <c r="AK853" s="4" t="s">
        <v>42</v>
      </c>
      <c r="AL853" s="4" t="s">
        <v>37</v>
      </c>
      <c r="AM853" s="4" t="s">
        <v>37</v>
      </c>
      <c r="AN853" s="4" t="s">
        <v>6296</v>
      </c>
      <c r="AO853" s="4" t="s">
        <v>6296</v>
      </c>
      <c r="AP853" s="4" t="s">
        <v>1036</v>
      </c>
      <c r="AQ853" s="4" t="s">
        <v>47</v>
      </c>
    </row>
    <row r="854" spans="1:43" ht="12.6" customHeight="1" x14ac:dyDescent="0.25">
      <c r="A854" s="8" t="s">
        <v>1329</v>
      </c>
      <c r="B854" s="9">
        <v>20151231</v>
      </c>
      <c r="C854" s="12">
        <f>_xll.FDS("SPX","FG_PRICE(12/30/2015)")</f>
        <v>2063.36</v>
      </c>
      <c r="D854" s="12">
        <f>_xll.FDS("SPX","FG_PRICE(12/30/2017)")</f>
        <v>2673.61</v>
      </c>
      <c r="E854" s="15">
        <f>D854/C854-1</f>
        <v>0.2957554668114144</v>
      </c>
      <c r="F854" s="8" t="s">
        <v>1330</v>
      </c>
      <c r="G854" s="8" t="s">
        <v>1331</v>
      </c>
      <c r="H854" s="13">
        <f>_xll.FDS(G854,"FG_PRICE(12/30/2015)")</f>
        <v>30.7</v>
      </c>
      <c r="I854" s="13">
        <f>_xll.FDS(G854,"FG_PRICE(12/31/2017)")</f>
        <v>16.350000000000001</v>
      </c>
      <c r="J854" s="13">
        <f>I854/H854-1</f>
        <v>-0.46742671009771986</v>
      </c>
      <c r="K854" s="13">
        <f>J854-E854</f>
        <v>-0.76318217690913426</v>
      </c>
      <c r="L854" s="13">
        <f>_xll.FDS(G854,"FF_ROE(ANN_R,12/30/2015)")</f>
        <v>20.280085929413101</v>
      </c>
      <c r="M854" s="8" t="s">
        <v>1332</v>
      </c>
      <c r="N854" s="4" t="s">
        <v>1332</v>
      </c>
      <c r="O854" s="4" t="s">
        <v>1333</v>
      </c>
      <c r="P854" s="4" t="s">
        <v>96</v>
      </c>
      <c r="Q854" s="4" t="s">
        <v>66</v>
      </c>
      <c r="R854" s="4" t="s">
        <v>61</v>
      </c>
      <c r="S854" s="4" t="s">
        <v>62</v>
      </c>
      <c r="T854" s="6" t="e">
        <v>#N/A</v>
      </c>
      <c r="U854" s="5">
        <v>57</v>
      </c>
      <c r="V854" s="5">
        <v>54</v>
      </c>
      <c r="W854" s="5">
        <v>47</v>
      </c>
      <c r="X854" s="5">
        <v>76</v>
      </c>
      <c r="Y854" s="5">
        <v>35.5</v>
      </c>
      <c r="Z854" s="5">
        <v>37.869999999999997</v>
      </c>
      <c r="AA854" s="6">
        <v>7.1</v>
      </c>
      <c r="AB854" s="5">
        <v>91.72</v>
      </c>
      <c r="AC854" s="6">
        <v>0.4</v>
      </c>
      <c r="AD854" s="6">
        <v>0.35</v>
      </c>
      <c r="AE854" s="6">
        <v>0.25</v>
      </c>
      <c r="AF854" s="4" t="s">
        <v>6296</v>
      </c>
      <c r="AG854" s="4" t="s">
        <v>6296</v>
      </c>
      <c r="AH854" s="4" t="s">
        <v>6296</v>
      </c>
      <c r="AI854" s="4" t="s">
        <v>6296</v>
      </c>
      <c r="AJ854" s="4" t="s">
        <v>6296</v>
      </c>
      <c r="AK854" s="4" t="s">
        <v>6296</v>
      </c>
      <c r="AL854" s="4" t="s">
        <v>6296</v>
      </c>
      <c r="AM854" s="4" t="s">
        <v>6296</v>
      </c>
      <c r="AN854" s="4" t="s">
        <v>6296</v>
      </c>
      <c r="AO854" s="4" t="s">
        <v>6296</v>
      </c>
      <c r="AP854" s="4" t="s">
        <v>1334</v>
      </c>
      <c r="AQ854" s="4" t="s">
        <v>47</v>
      </c>
    </row>
    <row r="855" spans="1:43" ht="12.6" customHeight="1" x14ac:dyDescent="0.25">
      <c r="A855" s="8" t="s">
        <v>4010</v>
      </c>
      <c r="B855" s="9">
        <v>20151231</v>
      </c>
      <c r="C855" s="12">
        <f>_xll.FDS("SPX","FG_PRICE(12/30/2015)")</f>
        <v>2063.36</v>
      </c>
      <c r="D855" s="12">
        <f>_xll.FDS("SPX","FG_PRICE(12/30/2017)")</f>
        <v>2673.61</v>
      </c>
      <c r="E855" s="15">
        <f>D855/C855-1</f>
        <v>0.2957554668114144</v>
      </c>
      <c r="F855" s="8" t="s">
        <v>4011</v>
      </c>
      <c r="G855" s="8" t="s">
        <v>4012</v>
      </c>
      <c r="H855" s="13">
        <f>_xll.FDS(G855,"FG_PRICE(12/30/2015)")</f>
        <v>8.7100000000000009</v>
      </c>
      <c r="I855" s="13">
        <f>_xll.FDS(G855,"FG_PRICE(12/31/2017)")</f>
        <v>8.64</v>
      </c>
      <c r="J855" s="13">
        <f>I855/H855-1</f>
        <v>-8.036739380023028E-3</v>
      </c>
      <c r="K855" s="13">
        <f>J855-E855</f>
        <v>-0.30379220619143743</v>
      </c>
      <c r="L855" s="13">
        <f>_xll.FDS(G855,"FF_ROE(ANN_R,12/30/2015)")</f>
        <v>1.0457573900368631</v>
      </c>
      <c r="M855" s="8" t="s">
        <v>4013</v>
      </c>
      <c r="N855" s="4" t="s">
        <v>4013</v>
      </c>
      <c r="O855" s="4" t="s">
        <v>4014</v>
      </c>
      <c r="P855" s="4" t="s">
        <v>96</v>
      </c>
      <c r="Q855" s="4" t="s">
        <v>66</v>
      </c>
      <c r="R855" s="4" t="s">
        <v>61</v>
      </c>
      <c r="S855" s="4" t="s">
        <v>62</v>
      </c>
      <c r="T855" s="6" t="e">
        <v>#N/A</v>
      </c>
      <c r="U855" s="5">
        <v>52</v>
      </c>
      <c r="V855" s="5">
        <v>41</v>
      </c>
      <c r="W855" s="5">
        <v>47</v>
      </c>
      <c r="X855" s="5">
        <v>77</v>
      </c>
      <c r="Y855" s="5">
        <v>20.12</v>
      </c>
      <c r="Z855" s="5">
        <v>12.43</v>
      </c>
      <c r="AA855" s="6">
        <v>7.1</v>
      </c>
      <c r="AB855" s="5">
        <v>92.31</v>
      </c>
      <c r="AC855" s="6">
        <v>0.4</v>
      </c>
      <c r="AD855" s="6">
        <v>0.35</v>
      </c>
      <c r="AE855" s="6">
        <v>0.25</v>
      </c>
      <c r="AF855" s="4" t="s">
        <v>6296</v>
      </c>
      <c r="AG855" s="4" t="s">
        <v>6296</v>
      </c>
      <c r="AH855" s="4" t="s">
        <v>6296</v>
      </c>
      <c r="AI855" s="4" t="s">
        <v>6296</v>
      </c>
      <c r="AJ855" s="4" t="s">
        <v>6296</v>
      </c>
      <c r="AK855" s="4" t="s">
        <v>6296</v>
      </c>
      <c r="AL855" s="4" t="s">
        <v>6296</v>
      </c>
      <c r="AM855" s="4" t="s">
        <v>6296</v>
      </c>
      <c r="AN855" s="4" t="s">
        <v>42</v>
      </c>
      <c r="AO855" s="4" t="s">
        <v>6296</v>
      </c>
      <c r="AP855" s="4" t="s">
        <v>4015</v>
      </c>
      <c r="AQ855" s="4" t="s">
        <v>47</v>
      </c>
    </row>
    <row r="856" spans="1:43" ht="12.6" customHeight="1" x14ac:dyDescent="0.25">
      <c r="A856" s="8" t="s">
        <v>4609</v>
      </c>
      <c r="B856" s="9">
        <v>20151231</v>
      </c>
      <c r="C856" s="12">
        <f>_xll.FDS("SPX","FG_PRICE(12/30/2015)")</f>
        <v>2063.36</v>
      </c>
      <c r="D856" s="12">
        <f>_xll.FDS("SPX","FG_PRICE(12/30/2017)")</f>
        <v>2673.61</v>
      </c>
      <c r="E856" s="15">
        <f>D856/C856-1</f>
        <v>0.2957554668114144</v>
      </c>
      <c r="F856" s="8" t="s">
        <v>4610</v>
      </c>
      <c r="G856" s="8" t="s">
        <v>4611</v>
      </c>
      <c r="H856" s="13">
        <f>_xll.FDS(G856,"FG_PRICE(12/30/2015)")</f>
        <v>34.14</v>
      </c>
      <c r="I856" s="13">
        <f>_xll.FDS(G856,"FG_PRICE(12/31/2017)")</f>
        <v>62</v>
      </c>
      <c r="J856" s="13">
        <f>I856/H856-1</f>
        <v>0.81605155243116578</v>
      </c>
      <c r="K856" s="13">
        <f>J856-E856</f>
        <v>0.52029608561975138</v>
      </c>
      <c r="L856" s="13">
        <f>_xll.FDS(G856,"FF_ROE(ANN_R,12/30/2015)")</f>
        <v>10.31479193707289</v>
      </c>
      <c r="M856" s="8" t="s">
        <v>4612</v>
      </c>
      <c r="N856" s="4" t="s">
        <v>4613</v>
      </c>
      <c r="O856" s="4" t="s">
        <v>4614</v>
      </c>
      <c r="P856" s="4" t="s">
        <v>96</v>
      </c>
      <c r="Q856" s="4" t="s">
        <v>66</v>
      </c>
      <c r="R856" s="4" t="s">
        <v>61</v>
      </c>
      <c r="S856" s="4" t="s">
        <v>62</v>
      </c>
      <c r="T856" s="6" t="e">
        <v>#N/A</v>
      </c>
      <c r="U856" s="5">
        <v>48</v>
      </c>
      <c r="V856" s="5">
        <v>42</v>
      </c>
      <c r="W856" s="5">
        <v>43</v>
      </c>
      <c r="X856" s="5">
        <v>65</v>
      </c>
      <c r="Y856" s="6">
        <v>8.8800000000000008</v>
      </c>
      <c r="Z856" s="5">
        <v>15.98</v>
      </c>
      <c r="AA856" s="6">
        <v>1.78</v>
      </c>
      <c r="AB856" s="5">
        <v>50.3</v>
      </c>
      <c r="AC856" s="6">
        <v>0.4</v>
      </c>
      <c r="AD856" s="6">
        <v>0.35</v>
      </c>
      <c r="AE856" s="6">
        <v>0.25</v>
      </c>
      <c r="AF856" s="4" t="s">
        <v>6296</v>
      </c>
      <c r="AG856" s="4" t="s">
        <v>6296</v>
      </c>
      <c r="AH856" s="4" t="s">
        <v>6296</v>
      </c>
      <c r="AI856" s="4" t="s">
        <v>6296</v>
      </c>
      <c r="AJ856" s="4" t="s">
        <v>6296</v>
      </c>
      <c r="AK856" s="4" t="s">
        <v>6296</v>
      </c>
      <c r="AL856" s="4" t="s">
        <v>6296</v>
      </c>
      <c r="AM856" s="4" t="s">
        <v>6296</v>
      </c>
      <c r="AN856" s="4" t="s">
        <v>6296</v>
      </c>
      <c r="AO856" s="4" t="s">
        <v>6296</v>
      </c>
      <c r="AP856" s="4" t="s">
        <v>4615</v>
      </c>
      <c r="AQ856" s="4" t="s">
        <v>47</v>
      </c>
    </row>
    <row r="857" spans="1:43" ht="12.6" customHeight="1" x14ac:dyDescent="0.25">
      <c r="A857" s="8" t="s">
        <v>6337</v>
      </c>
      <c r="B857" s="9">
        <v>20151231</v>
      </c>
      <c r="C857" s="12">
        <f>_xll.FDS("SPX","FG_PRICE(12/30/2015)")</f>
        <v>2063.36</v>
      </c>
      <c r="D857" s="12">
        <f>_xll.FDS("SPX","FG_PRICE(12/30/2017)")</f>
        <v>2673.61</v>
      </c>
      <c r="E857" s="15">
        <f>D857/C857-1</f>
        <v>0.2957554668114144</v>
      </c>
      <c r="F857" s="8" t="s">
        <v>6338</v>
      </c>
      <c r="G857" s="8" t="s">
        <v>6339</v>
      </c>
      <c r="H857" s="13">
        <f>_xll.FDS(G857,"FG_PRICE(12/30/2015)")</f>
        <v>25.72</v>
      </c>
      <c r="I857" s="13" t="e">
        <f>_xll.FDS(G857,"FG_PRICE(12/31/2017)")</f>
        <v>#N/A</v>
      </c>
      <c r="J857" s="13" t="e">
        <f>I857/H857-1</f>
        <v>#N/A</v>
      </c>
      <c r="K857" s="13" t="e">
        <f>J857-E857</f>
        <v>#N/A</v>
      </c>
      <c r="L857" s="13">
        <f>_xll.FDS(G857,"FF_ROE(ANN_R,12/30/2015)")</f>
        <v>12.28137656402018</v>
      </c>
      <c r="M857" s="8" t="s">
        <v>6340</v>
      </c>
      <c r="N857" s="4" t="s">
        <v>2623</v>
      </c>
      <c r="O857" s="4" t="s">
        <v>4674</v>
      </c>
      <c r="P857" s="4" t="s">
        <v>96</v>
      </c>
      <c r="Q857" s="4" t="s">
        <v>66</v>
      </c>
      <c r="R857" s="4" t="s">
        <v>61</v>
      </c>
      <c r="S857" s="4" t="s">
        <v>62</v>
      </c>
      <c r="T857" s="6" t="e">
        <v>#N/A</v>
      </c>
      <c r="U857" s="5">
        <v>83</v>
      </c>
      <c r="V857" s="5">
        <v>88</v>
      </c>
      <c r="W857" s="5">
        <v>89</v>
      </c>
      <c r="X857" s="5">
        <v>68</v>
      </c>
      <c r="Y857" s="5">
        <v>98.22</v>
      </c>
      <c r="Z857" s="5">
        <v>93.49</v>
      </c>
      <c r="AA857" s="7">
        <v>100</v>
      </c>
      <c r="AB857" s="5">
        <v>62.72</v>
      </c>
      <c r="AC857" s="6">
        <v>0.4</v>
      </c>
      <c r="AD857" s="6">
        <v>0.35</v>
      </c>
      <c r="AE857" s="6">
        <v>0.25</v>
      </c>
      <c r="AF857" s="4" t="s">
        <v>6296</v>
      </c>
      <c r="AG857" s="4" t="s">
        <v>6296</v>
      </c>
      <c r="AH857" s="4" t="s">
        <v>6296</v>
      </c>
      <c r="AI857" s="4" t="s">
        <v>42</v>
      </c>
      <c r="AJ857" s="4" t="s">
        <v>42</v>
      </c>
      <c r="AK857" s="4" t="s">
        <v>42</v>
      </c>
      <c r="AL857" s="4" t="s">
        <v>6296</v>
      </c>
      <c r="AM857" s="4" t="s">
        <v>42</v>
      </c>
      <c r="AN857" s="4" t="s">
        <v>6296</v>
      </c>
      <c r="AO857" s="4" t="s">
        <v>6296</v>
      </c>
      <c r="AP857" s="4" t="s">
        <v>6341</v>
      </c>
      <c r="AQ857" s="4" t="s">
        <v>47</v>
      </c>
    </row>
    <row r="858" spans="1:43" ht="12.6" customHeight="1" x14ac:dyDescent="0.25">
      <c r="A858" s="8" t="s">
        <v>1975</v>
      </c>
      <c r="B858" s="9">
        <v>20151231</v>
      </c>
      <c r="C858" s="12">
        <f>_xll.FDS("SPX","FG_PRICE(12/30/2015)")</f>
        <v>2063.36</v>
      </c>
      <c r="D858" s="12">
        <f>_xll.FDS("SPX","FG_PRICE(12/30/2017)")</f>
        <v>2673.61</v>
      </c>
      <c r="E858" s="15">
        <f>D858/C858-1</f>
        <v>0.2957554668114144</v>
      </c>
      <c r="F858" s="8" t="s">
        <v>1976</v>
      </c>
      <c r="G858" s="8" t="s">
        <v>1977</v>
      </c>
      <c r="H858" s="13">
        <f>_xll.FDS(G858,"FG_PRICE(12/30/2015)")</f>
        <v>98.06</v>
      </c>
      <c r="I858" s="13">
        <f>_xll.FDS(G858,"FG_PRICE(12/31/2017)")</f>
        <v>131.22</v>
      </c>
      <c r="J858" s="13">
        <f>I858/H858-1</f>
        <v>0.33816031001427693</v>
      </c>
      <c r="K858" s="13">
        <f>J858-E858</f>
        <v>4.240484320286253E-2</v>
      </c>
      <c r="L858" s="13">
        <f>_xll.FDS(G858,"FF_ROE(ANN_R,12/30/2015)")</f>
        <v>27.17861772618258</v>
      </c>
      <c r="M858" s="8" t="s">
        <v>1978</v>
      </c>
      <c r="N858" s="4" t="s">
        <v>1979</v>
      </c>
      <c r="O858" s="4" t="s">
        <v>1980</v>
      </c>
      <c r="P858" s="4" t="s">
        <v>106</v>
      </c>
      <c r="Q858" s="4" t="s">
        <v>66</v>
      </c>
      <c r="R858" s="4" t="s">
        <v>61</v>
      </c>
      <c r="S858" s="4" t="s">
        <v>62</v>
      </c>
      <c r="T858" s="6" t="e">
        <v>#N/A</v>
      </c>
      <c r="U858" s="5">
        <v>51</v>
      </c>
      <c r="V858" s="5">
        <v>48</v>
      </c>
      <c r="W858" s="5">
        <v>48</v>
      </c>
      <c r="X858" s="5">
        <v>62</v>
      </c>
      <c r="Y858" s="5">
        <v>15.38</v>
      </c>
      <c r="Z858" s="5">
        <v>26.04</v>
      </c>
      <c r="AA858" s="5">
        <v>11.83</v>
      </c>
      <c r="AB858" s="5">
        <v>39.64</v>
      </c>
      <c r="AC858" s="6">
        <v>0.4</v>
      </c>
      <c r="AD858" s="6">
        <v>0.35</v>
      </c>
      <c r="AE858" s="6">
        <v>0.25</v>
      </c>
      <c r="AF858" s="4" t="s">
        <v>6296</v>
      </c>
      <c r="AG858" s="4" t="s">
        <v>6296</v>
      </c>
      <c r="AH858" s="4" t="s">
        <v>6296</v>
      </c>
      <c r="AI858" s="4" t="s">
        <v>6296</v>
      </c>
      <c r="AJ858" s="4" t="s">
        <v>6296</v>
      </c>
      <c r="AK858" s="4" t="s">
        <v>6296</v>
      </c>
      <c r="AL858" s="4" t="s">
        <v>6296</v>
      </c>
      <c r="AM858" s="4" t="s">
        <v>6296</v>
      </c>
      <c r="AN858" s="4" t="s">
        <v>6296</v>
      </c>
      <c r="AO858" s="4" t="s">
        <v>6296</v>
      </c>
      <c r="AP858" s="4" t="s">
        <v>1981</v>
      </c>
      <c r="AQ858" s="4" t="s">
        <v>47</v>
      </c>
    </row>
    <row r="859" spans="1:43" ht="12.6" customHeight="1" x14ac:dyDescent="0.25">
      <c r="A859" s="8" t="s">
        <v>1650</v>
      </c>
      <c r="B859" s="9">
        <v>20151231</v>
      </c>
      <c r="C859" s="12">
        <f>_xll.FDS("SPX","FG_PRICE(12/30/2015)")</f>
        <v>2063.36</v>
      </c>
      <c r="D859" s="12">
        <f>_xll.FDS("SPX","FG_PRICE(12/30/2017)")</f>
        <v>2673.61</v>
      </c>
      <c r="E859" s="15">
        <f>D859/C859-1</f>
        <v>0.2957554668114144</v>
      </c>
      <c r="F859" s="8" t="s">
        <v>1651</v>
      </c>
      <c r="G859" s="8" t="s">
        <v>1652</v>
      </c>
      <c r="H859" s="13">
        <f>_xll.FDS(G859,"FG_PRICE(12/30/2015)")</f>
        <v>28.335000000000001</v>
      </c>
      <c r="I859" s="13">
        <f>_xll.FDS(G859,"FG_PRICE(12/31/2017)")</f>
        <v>46.62</v>
      </c>
      <c r="J859" s="13">
        <f>I859/H859-1</f>
        <v>0.6453149814716781</v>
      </c>
      <c r="K859" s="13">
        <f>J859-E859</f>
        <v>0.34955951466026369</v>
      </c>
      <c r="L859" s="13">
        <f>_xll.FDS(G859,"FF_ROE(ANN_R,12/30/2015)")</f>
        <v>12.42640358679839</v>
      </c>
      <c r="M859" s="8" t="s">
        <v>1653</v>
      </c>
      <c r="N859" s="4" t="s">
        <v>1654</v>
      </c>
      <c r="O859" s="4" t="s">
        <v>1655</v>
      </c>
      <c r="P859" s="4" t="s">
        <v>106</v>
      </c>
      <c r="Q859" s="4" t="s">
        <v>66</v>
      </c>
      <c r="R859" s="4" t="s">
        <v>61</v>
      </c>
      <c r="S859" s="4" t="s">
        <v>62</v>
      </c>
      <c r="T859" s="6" t="e">
        <v>#N/A</v>
      </c>
      <c r="U859" s="5">
        <v>49</v>
      </c>
      <c r="V859" s="5">
        <v>41</v>
      </c>
      <c r="W859" s="5">
        <v>52</v>
      </c>
      <c r="X859" s="5">
        <v>57</v>
      </c>
      <c r="Y859" s="5">
        <v>11.24</v>
      </c>
      <c r="Z859" s="5">
        <v>12.43</v>
      </c>
      <c r="AA859" s="5">
        <v>23.08</v>
      </c>
      <c r="AB859" s="5">
        <v>21.89</v>
      </c>
      <c r="AC859" s="6">
        <v>0.4</v>
      </c>
      <c r="AD859" s="6">
        <v>0.35</v>
      </c>
      <c r="AE859" s="6">
        <v>0.25</v>
      </c>
      <c r="AF859" s="4" t="s">
        <v>6296</v>
      </c>
      <c r="AG859" s="4" t="s">
        <v>6296</v>
      </c>
      <c r="AH859" s="4" t="s">
        <v>6296</v>
      </c>
      <c r="AI859" s="4" t="s">
        <v>6296</v>
      </c>
      <c r="AJ859" s="4" t="s">
        <v>6296</v>
      </c>
      <c r="AK859" s="4" t="s">
        <v>6296</v>
      </c>
      <c r="AL859" s="4" t="s">
        <v>6296</v>
      </c>
      <c r="AM859" s="4" t="s">
        <v>37</v>
      </c>
      <c r="AN859" s="4" t="s">
        <v>6296</v>
      </c>
      <c r="AO859" s="4" t="s">
        <v>6296</v>
      </c>
      <c r="AP859" s="4" t="s">
        <v>1656</v>
      </c>
      <c r="AQ859" s="4" t="s">
        <v>47</v>
      </c>
    </row>
    <row r="860" spans="1:43" ht="12.6" customHeight="1" x14ac:dyDescent="0.25">
      <c r="A860" s="8" t="s">
        <v>1182</v>
      </c>
      <c r="B860" s="9">
        <v>20151231</v>
      </c>
      <c r="C860" s="12">
        <f>_xll.FDS("SPX","FG_PRICE(12/30/2015)")</f>
        <v>2063.36</v>
      </c>
      <c r="D860" s="12">
        <f>_xll.FDS("SPX","FG_PRICE(12/30/2017)")</f>
        <v>2673.61</v>
      </c>
      <c r="E860" s="15">
        <f>D860/C860-1</f>
        <v>0.2957554668114144</v>
      </c>
      <c r="F860" s="8" t="s">
        <v>1183</v>
      </c>
      <c r="G860" s="8" t="s">
        <v>1184</v>
      </c>
      <c r="H860" s="13">
        <f>_xll.FDS(G860,"FG_PRICE(12/30/2015)")</f>
        <v>18.489999999999998</v>
      </c>
      <c r="I860" s="13">
        <f>_xll.FDS(G860,"FG_PRICE(12/31/2017)")</f>
        <v>31.99</v>
      </c>
      <c r="J860" s="13">
        <f>I860/H860-1</f>
        <v>0.73012439156300712</v>
      </c>
      <c r="K860" s="13">
        <f>J860-E860</f>
        <v>0.43436892475159272</v>
      </c>
      <c r="L860" s="13">
        <f>_xll.FDS(G860,"FF_ROE(ANN_R,12/30/2015)")</f>
        <v>11.567347511756861</v>
      </c>
      <c r="M860" s="8" t="s">
        <v>1185</v>
      </c>
      <c r="N860" s="4" t="s">
        <v>1186</v>
      </c>
      <c r="O860" s="4" t="s">
        <v>1187</v>
      </c>
      <c r="P860" s="4" t="s">
        <v>96</v>
      </c>
      <c r="Q860" s="4" t="s">
        <v>66</v>
      </c>
      <c r="R860" s="4" t="s">
        <v>61</v>
      </c>
      <c r="S860" s="4" t="s">
        <v>62</v>
      </c>
      <c r="T860" s="6" t="e">
        <v>#N/A</v>
      </c>
      <c r="U860" s="5">
        <v>61</v>
      </c>
      <c r="V860" s="5">
        <v>61</v>
      </c>
      <c r="W860" s="5">
        <v>59</v>
      </c>
      <c r="X860" s="5">
        <v>62</v>
      </c>
      <c r="Y860" s="5">
        <v>46.75</v>
      </c>
      <c r="Z860" s="5">
        <v>46.75</v>
      </c>
      <c r="AA860" s="5">
        <v>45.56</v>
      </c>
      <c r="AB860" s="5">
        <v>39.64</v>
      </c>
      <c r="AC860" s="6">
        <v>0.4</v>
      </c>
      <c r="AD860" s="6">
        <v>0.35</v>
      </c>
      <c r="AE860" s="6">
        <v>0.25</v>
      </c>
      <c r="AF860" s="4" t="s">
        <v>6296</v>
      </c>
      <c r="AG860" s="4" t="s">
        <v>6296</v>
      </c>
      <c r="AH860" s="4" t="s">
        <v>6296</v>
      </c>
      <c r="AI860" s="4" t="s">
        <v>6296</v>
      </c>
      <c r="AJ860" s="4" t="s">
        <v>6296</v>
      </c>
      <c r="AK860" s="4" t="s">
        <v>37</v>
      </c>
      <c r="AL860" s="4" t="s">
        <v>6296</v>
      </c>
      <c r="AM860" s="4" t="s">
        <v>42</v>
      </c>
      <c r="AN860" s="4" t="s">
        <v>42</v>
      </c>
      <c r="AO860" s="4" t="s">
        <v>6296</v>
      </c>
      <c r="AP860" s="4" t="s">
        <v>1188</v>
      </c>
      <c r="AQ860" s="4" t="s">
        <v>47</v>
      </c>
    </row>
    <row r="861" spans="1:43" ht="12.6" customHeight="1" x14ac:dyDescent="0.25">
      <c r="A861" s="8" t="s">
        <v>6206</v>
      </c>
      <c r="B861" s="9">
        <v>20151231</v>
      </c>
      <c r="C861" s="12">
        <f>_xll.FDS("SPX","FG_PRICE(12/30/2015)")</f>
        <v>2063.36</v>
      </c>
      <c r="D861" s="12">
        <f>_xll.FDS("SPX","FG_PRICE(12/30/2017)")</f>
        <v>2673.61</v>
      </c>
      <c r="E861" s="15">
        <f>D861/C861-1</f>
        <v>0.2957554668114144</v>
      </c>
      <c r="F861" s="8" t="s">
        <v>6207</v>
      </c>
      <c r="G861" s="8" t="s">
        <v>6208</v>
      </c>
      <c r="H861" s="13">
        <f>_xll.FDS(G861,"FG_PRICE(12/30/2015)")</f>
        <v>11.84</v>
      </c>
      <c r="I861" s="13">
        <f>_xll.FDS(G861,"FG_PRICE(12/31/2017)")</f>
        <v>21.01</v>
      </c>
      <c r="J861" s="13">
        <f>I861/H861-1</f>
        <v>0.77449324324324342</v>
      </c>
      <c r="K861" s="13">
        <f>J861-E861</f>
        <v>0.47873777643182902</v>
      </c>
      <c r="L861" s="13">
        <f>_xll.FDS(G861,"FF_ROE(ANN_R,12/30/2015)")</f>
        <v>13.64428705113855</v>
      </c>
      <c r="M861" s="8" t="s">
        <v>6209</v>
      </c>
      <c r="N861" s="4" t="s">
        <v>6209</v>
      </c>
      <c r="O861" s="4" t="s">
        <v>6210</v>
      </c>
      <c r="P861" s="4" t="s">
        <v>96</v>
      </c>
      <c r="Q861" s="4" t="s">
        <v>66</v>
      </c>
      <c r="R861" s="4" t="s">
        <v>61</v>
      </c>
      <c r="S861" s="4" t="s">
        <v>62</v>
      </c>
      <c r="T861" s="6" t="e">
        <v>#N/A</v>
      </c>
      <c r="U861" s="5">
        <v>75</v>
      </c>
      <c r="V861" s="5">
        <v>92</v>
      </c>
      <c r="W861" s="5">
        <v>67</v>
      </c>
      <c r="X861" s="5">
        <v>58</v>
      </c>
      <c r="Y861" s="5">
        <v>84.62</v>
      </c>
      <c r="Z861" s="5">
        <v>98.22</v>
      </c>
      <c r="AA861" s="5">
        <v>66.27</v>
      </c>
      <c r="AB861" s="5">
        <v>27.22</v>
      </c>
      <c r="AC861" s="6">
        <v>0.4</v>
      </c>
      <c r="AD861" s="6">
        <v>0.35</v>
      </c>
      <c r="AE861" s="6">
        <v>0.25</v>
      </c>
      <c r="AF861" s="4" t="s">
        <v>6296</v>
      </c>
      <c r="AG861" s="4" t="s">
        <v>6296</v>
      </c>
      <c r="AH861" s="4" t="s">
        <v>6296</v>
      </c>
      <c r="AI861" s="4" t="s">
        <v>37</v>
      </c>
      <c r="AJ861" s="4" t="s">
        <v>46</v>
      </c>
      <c r="AK861" s="4" t="s">
        <v>37</v>
      </c>
      <c r="AL861" s="4" t="s">
        <v>45</v>
      </c>
      <c r="AM861" s="4" t="s">
        <v>46</v>
      </c>
      <c r="AN861" s="4" t="s">
        <v>46</v>
      </c>
      <c r="AO861" s="4" t="s">
        <v>6296</v>
      </c>
      <c r="AP861" s="4" t="s">
        <v>6211</v>
      </c>
      <c r="AQ861" s="4" t="s">
        <v>47</v>
      </c>
    </row>
    <row r="862" spans="1:43" ht="12.6" customHeight="1" x14ac:dyDescent="0.25">
      <c r="A862" s="8" t="s">
        <v>1862</v>
      </c>
      <c r="B862" s="9">
        <v>20151231</v>
      </c>
      <c r="C862" s="12">
        <f>_xll.FDS("SPX","FG_PRICE(12/30/2015)")</f>
        <v>2063.36</v>
      </c>
      <c r="D862" s="12">
        <f>_xll.FDS("SPX","FG_PRICE(12/30/2017)")</f>
        <v>2673.61</v>
      </c>
      <c r="E862" s="15">
        <f>D862/C862-1</f>
        <v>0.2957554668114144</v>
      </c>
      <c r="F862" s="8" t="s">
        <v>1863</v>
      </c>
      <c r="G862" s="8" t="s">
        <v>1864</v>
      </c>
      <c r="H862" s="13">
        <f>_xll.FDS(G862,"FG_PRICE(12/30/2015)")</f>
        <v>87.43</v>
      </c>
      <c r="I862" s="13">
        <f>_xll.FDS(G862,"FG_PRICE(12/31/2017)")</f>
        <v>141.65</v>
      </c>
      <c r="J862" s="13">
        <f>I862/H862-1</f>
        <v>0.62015326546951832</v>
      </c>
      <c r="K862" s="13">
        <f>J862-E862</f>
        <v>0.32439779865810392</v>
      </c>
      <c r="L862" s="13">
        <f>_xll.FDS(G862,"FF_ROE(ANN_R,12/30/2015)")</f>
        <v>12.751292360712229</v>
      </c>
      <c r="M862" s="8" t="s">
        <v>1865</v>
      </c>
      <c r="N862" s="4" t="s">
        <v>1865</v>
      </c>
      <c r="O862" s="4" t="s">
        <v>1866</v>
      </c>
      <c r="P862" s="4" t="s">
        <v>96</v>
      </c>
      <c r="Q862" s="4" t="s">
        <v>66</v>
      </c>
      <c r="R862" s="4" t="s">
        <v>61</v>
      </c>
      <c r="S862" s="4" t="s">
        <v>62</v>
      </c>
      <c r="T862" s="6" t="e">
        <v>#N/A</v>
      </c>
      <c r="U862" s="5">
        <v>54</v>
      </c>
      <c r="V862" s="5">
        <v>41</v>
      </c>
      <c r="W862" s="5">
        <v>54</v>
      </c>
      <c r="X862" s="5">
        <v>73</v>
      </c>
      <c r="Y862" s="5">
        <v>26.04</v>
      </c>
      <c r="Z862" s="5">
        <v>12.43</v>
      </c>
      <c r="AA862" s="5">
        <v>28.99</v>
      </c>
      <c r="AB862" s="5">
        <v>84.02</v>
      </c>
      <c r="AC862" s="6">
        <v>0.4</v>
      </c>
      <c r="AD862" s="6">
        <v>0.35</v>
      </c>
      <c r="AE862" s="6">
        <v>0.25</v>
      </c>
      <c r="AF862" s="4" t="s">
        <v>6296</v>
      </c>
      <c r="AG862" s="4" t="s">
        <v>6296</v>
      </c>
      <c r="AH862" s="4" t="s">
        <v>6296</v>
      </c>
      <c r="AI862" s="4" t="s">
        <v>6296</v>
      </c>
      <c r="AJ862" s="4" t="s">
        <v>6296</v>
      </c>
      <c r="AK862" s="4" t="s">
        <v>6296</v>
      </c>
      <c r="AL862" s="4" t="s">
        <v>6296</v>
      </c>
      <c r="AM862" s="4" t="s">
        <v>6296</v>
      </c>
      <c r="AN862" s="4" t="s">
        <v>6296</v>
      </c>
      <c r="AO862" s="4" t="s">
        <v>6296</v>
      </c>
      <c r="AP862" s="4" t="s">
        <v>1867</v>
      </c>
      <c r="AQ862" s="4" t="s">
        <v>47</v>
      </c>
    </row>
    <row r="863" spans="1:43" ht="12.6" customHeight="1" x14ac:dyDescent="0.25">
      <c r="A863" s="8" t="s">
        <v>2160</v>
      </c>
      <c r="B863" s="9">
        <v>20151231</v>
      </c>
      <c r="C863" s="12">
        <f>_xll.FDS("SPX","FG_PRICE(12/30/2015)")</f>
        <v>2063.36</v>
      </c>
      <c r="D863" s="12">
        <f>_xll.FDS("SPX","FG_PRICE(12/30/2017)")</f>
        <v>2673.61</v>
      </c>
      <c r="E863" s="15">
        <f>D863/C863-1</f>
        <v>0.2957554668114144</v>
      </c>
      <c r="F863" s="8" t="s">
        <v>2161</v>
      </c>
      <c r="G863" s="8" t="s">
        <v>2162</v>
      </c>
      <c r="H863" s="13">
        <f>_xll.FDS(G863,"FG_PRICE(12/30/2015)")</f>
        <v>50.39</v>
      </c>
      <c r="I863" s="13">
        <f>_xll.FDS(G863,"FG_PRICE(12/31/2017)")</f>
        <v>76.150000000000006</v>
      </c>
      <c r="J863" s="13">
        <f>I863/H863-1</f>
        <v>0.51121254217106582</v>
      </c>
      <c r="K863" s="13">
        <f>J863-E863</f>
        <v>0.21545707535965142</v>
      </c>
      <c r="L863" s="13">
        <f>_xll.FDS(G863,"FF_ROE(ANN_R,12/30/2015)")</f>
        <v>20.93165546280861</v>
      </c>
      <c r="M863" s="8" t="s">
        <v>2163</v>
      </c>
      <c r="N863" s="4" t="s">
        <v>2164</v>
      </c>
      <c r="O863" s="4" t="s">
        <v>2165</v>
      </c>
      <c r="P863" s="4" t="s">
        <v>106</v>
      </c>
      <c r="Q863" s="4" t="s">
        <v>66</v>
      </c>
      <c r="R863" s="4" t="s">
        <v>61</v>
      </c>
      <c r="S863" s="4" t="s">
        <v>62</v>
      </c>
      <c r="T863" s="6" t="e">
        <v>#N/A</v>
      </c>
      <c r="U863" s="5">
        <v>49</v>
      </c>
      <c r="V863" s="5">
        <v>35</v>
      </c>
      <c r="W863" s="5">
        <v>47</v>
      </c>
      <c r="X863" s="5">
        <v>75</v>
      </c>
      <c r="Y863" s="5">
        <v>11.24</v>
      </c>
      <c r="Z863" s="6">
        <v>1.78</v>
      </c>
      <c r="AA863" s="6">
        <v>7.1</v>
      </c>
      <c r="AB863" s="5">
        <v>89.35</v>
      </c>
      <c r="AC863" s="6">
        <v>0.4</v>
      </c>
      <c r="AD863" s="6">
        <v>0.35</v>
      </c>
      <c r="AE863" s="6">
        <v>0.25</v>
      </c>
      <c r="AF863" s="4" t="s">
        <v>6296</v>
      </c>
      <c r="AG863" s="4" t="s">
        <v>6296</v>
      </c>
      <c r="AH863" s="4" t="s">
        <v>6296</v>
      </c>
      <c r="AI863" s="4" t="s">
        <v>6296</v>
      </c>
      <c r="AJ863" s="4" t="s">
        <v>6296</v>
      </c>
      <c r="AK863" s="4" t="s">
        <v>42</v>
      </c>
      <c r="AL863" s="4" t="s">
        <v>6296</v>
      </c>
      <c r="AM863" s="4" t="s">
        <v>42</v>
      </c>
      <c r="AN863" s="4" t="s">
        <v>6296</v>
      </c>
      <c r="AO863" s="4" t="s">
        <v>6296</v>
      </c>
      <c r="AP863" s="4" t="s">
        <v>2166</v>
      </c>
      <c r="AQ863" s="4" t="s">
        <v>47</v>
      </c>
    </row>
    <row r="864" spans="1:43" ht="12.6" customHeight="1" x14ac:dyDescent="0.25">
      <c r="A864" s="8" t="s">
        <v>2289</v>
      </c>
      <c r="B864" s="9">
        <v>20151231</v>
      </c>
      <c r="C864" s="12">
        <f>_xll.FDS("SPX","FG_PRICE(12/30/2015)")</f>
        <v>2063.36</v>
      </c>
      <c r="D864" s="12">
        <f>_xll.FDS("SPX","FG_PRICE(12/30/2017)")</f>
        <v>2673.61</v>
      </c>
      <c r="E864" s="15">
        <f>D864/C864-1</f>
        <v>0.2957554668114144</v>
      </c>
      <c r="F864" s="8" t="s">
        <v>2290</v>
      </c>
      <c r="G864" s="8" t="s">
        <v>2291</v>
      </c>
      <c r="H864" s="13">
        <f>_xll.FDS(G864,"FG_PRICE(12/30/2015)")</f>
        <v>31.09</v>
      </c>
      <c r="I864" s="13" t="e">
        <f>_xll.FDS(G864,"FG_PRICE(12/31/2017)")</f>
        <v>#N/A</v>
      </c>
      <c r="J864" s="13" t="e">
        <f>I864/H864-1</f>
        <v>#N/A</v>
      </c>
      <c r="K864" s="13" t="e">
        <f>J864-E864</f>
        <v>#N/A</v>
      </c>
      <c r="L864" s="13">
        <f>_xll.FDS(G864,"FF_ROE(ANN_R,12/30/2015)")</f>
        <v>6.5724258577865848</v>
      </c>
      <c r="M864" s="8" t="s">
        <v>2292</v>
      </c>
      <c r="N864" s="4" t="s">
        <v>2293</v>
      </c>
      <c r="O864" s="4" t="s">
        <v>2294</v>
      </c>
      <c r="P864" s="4" t="s">
        <v>96</v>
      </c>
      <c r="Q864" s="4" t="s">
        <v>66</v>
      </c>
      <c r="R864" s="4" t="s">
        <v>61</v>
      </c>
      <c r="S864" s="4" t="s">
        <v>62</v>
      </c>
      <c r="T864" s="6" t="e">
        <v>#N/A</v>
      </c>
      <c r="U864" s="5">
        <v>66</v>
      </c>
      <c r="V864" s="5">
        <v>62</v>
      </c>
      <c r="W864" s="5">
        <v>59</v>
      </c>
      <c r="X864" s="5">
        <v>82</v>
      </c>
      <c r="Y864" s="5">
        <v>64.5</v>
      </c>
      <c r="Z864" s="5">
        <v>48.52</v>
      </c>
      <c r="AA864" s="5">
        <v>45.56</v>
      </c>
      <c r="AB864" s="5">
        <v>97.63</v>
      </c>
      <c r="AC864" s="6">
        <v>0.4</v>
      </c>
      <c r="AD864" s="6">
        <v>0.35</v>
      </c>
      <c r="AE864" s="6">
        <v>0.25</v>
      </c>
      <c r="AF864" s="4" t="s">
        <v>6296</v>
      </c>
      <c r="AG864" s="4" t="s">
        <v>6296</v>
      </c>
      <c r="AH864" s="4" t="s">
        <v>6296</v>
      </c>
      <c r="AI864" s="4" t="s">
        <v>6296</v>
      </c>
      <c r="AJ864" s="4" t="s">
        <v>6296</v>
      </c>
      <c r="AK864" s="4" t="s">
        <v>6296</v>
      </c>
      <c r="AL864" s="4" t="s">
        <v>6296</v>
      </c>
      <c r="AM864" s="4" t="s">
        <v>6296</v>
      </c>
      <c r="AN864" s="4" t="s">
        <v>6296</v>
      </c>
      <c r="AO864" s="4" t="s">
        <v>6296</v>
      </c>
      <c r="AP864" s="4" t="s">
        <v>2295</v>
      </c>
      <c r="AQ864" s="4" t="s">
        <v>47</v>
      </c>
    </row>
    <row r="865" spans="1:43" ht="12.6" customHeight="1" x14ac:dyDescent="0.25">
      <c r="A865" s="8" t="s">
        <v>3206</v>
      </c>
      <c r="B865" s="9">
        <v>20151231</v>
      </c>
      <c r="C865" s="12">
        <f>_xll.FDS("SPX","FG_PRICE(12/30/2015)")</f>
        <v>2063.36</v>
      </c>
      <c r="D865" s="12">
        <f>_xll.FDS("SPX","FG_PRICE(12/30/2017)")</f>
        <v>2673.61</v>
      </c>
      <c r="E865" s="15">
        <f>D865/C865-1</f>
        <v>0.2957554668114144</v>
      </c>
      <c r="F865" s="8" t="s">
        <v>3207</v>
      </c>
      <c r="G865" s="8" t="s">
        <v>3208</v>
      </c>
      <c r="H865" s="13">
        <f>_xll.FDS(G865,"FG_PRICE(12/30/2015)")</f>
        <v>90.36</v>
      </c>
      <c r="I865" s="13">
        <f>_xll.FDS(G865,"FG_PRICE(12/31/2017)")</f>
        <v>214.13</v>
      </c>
      <c r="J865" s="13">
        <f>I865/H865-1</f>
        <v>1.369743249225321</v>
      </c>
      <c r="K865" s="13">
        <f>J865-E865</f>
        <v>1.0739877824139066</v>
      </c>
      <c r="L865" s="13">
        <f>_xll.FDS(G865,"FF_ROE(ANN_R,12/30/2015)")</f>
        <v>20.303059462251781</v>
      </c>
      <c r="M865" s="8" t="s">
        <v>3209</v>
      </c>
      <c r="N865" s="4" t="s">
        <v>3209</v>
      </c>
      <c r="O865" s="4" t="s">
        <v>3210</v>
      </c>
      <c r="P865" s="4" t="s">
        <v>106</v>
      </c>
      <c r="Q865" s="4" t="s">
        <v>66</v>
      </c>
      <c r="R865" s="4" t="s">
        <v>61</v>
      </c>
      <c r="S865" s="4" t="s">
        <v>62</v>
      </c>
      <c r="T865" s="6" t="e">
        <v>#N/A</v>
      </c>
      <c r="U865" s="5">
        <v>49</v>
      </c>
      <c r="V865" s="5">
        <v>36</v>
      </c>
      <c r="W865" s="5">
        <v>52</v>
      </c>
      <c r="X865" s="5">
        <v>64</v>
      </c>
      <c r="Y865" s="5">
        <v>11.24</v>
      </c>
      <c r="Z865" s="6">
        <v>4.7300000000000004</v>
      </c>
      <c r="AA865" s="5">
        <v>23.08</v>
      </c>
      <c r="AB865" s="5">
        <v>47.34</v>
      </c>
      <c r="AC865" s="6">
        <v>0.4</v>
      </c>
      <c r="AD865" s="6">
        <v>0.35</v>
      </c>
      <c r="AE865" s="6">
        <v>0.25</v>
      </c>
      <c r="AF865" s="4" t="s">
        <v>6296</v>
      </c>
      <c r="AG865" s="4" t="s">
        <v>6296</v>
      </c>
      <c r="AH865" s="4" t="s">
        <v>6296</v>
      </c>
      <c r="AI865" s="4" t="s">
        <v>6296</v>
      </c>
      <c r="AJ865" s="4" t="s">
        <v>6296</v>
      </c>
      <c r="AK865" s="4" t="s">
        <v>6296</v>
      </c>
      <c r="AL865" s="4" t="s">
        <v>6296</v>
      </c>
      <c r="AM865" s="4" t="s">
        <v>6296</v>
      </c>
      <c r="AN865" s="4" t="s">
        <v>6296</v>
      </c>
      <c r="AO865" s="4" t="s">
        <v>6296</v>
      </c>
      <c r="AP865" s="4" t="s">
        <v>3211</v>
      </c>
      <c r="AQ865" s="4" t="s">
        <v>47</v>
      </c>
    </row>
    <row r="866" spans="1:43" ht="12.6" customHeight="1" x14ac:dyDescent="0.25">
      <c r="A866" s="8" t="s">
        <v>2186</v>
      </c>
      <c r="B866" s="9">
        <v>20151231</v>
      </c>
      <c r="C866" s="12">
        <f>_xll.FDS("SPX","FG_PRICE(12/30/2015)")</f>
        <v>2063.36</v>
      </c>
      <c r="D866" s="12">
        <f>_xll.FDS("SPX","FG_PRICE(12/30/2017)")</f>
        <v>2673.61</v>
      </c>
      <c r="E866" s="15">
        <f>D866/C866-1</f>
        <v>0.2957554668114144</v>
      </c>
      <c r="F866" s="8" t="s">
        <v>2187</v>
      </c>
      <c r="G866" s="8" t="s">
        <v>2188</v>
      </c>
      <c r="H866" s="13">
        <f>_xll.FDS(G866,"FG_PRICE(12/30/2015)")</f>
        <v>36.43</v>
      </c>
      <c r="I866" s="13">
        <f>_xll.FDS(G866,"FG_PRICE(12/31/2017)")</f>
        <v>68.2</v>
      </c>
      <c r="J866" s="13">
        <f>I866/H866-1</f>
        <v>0.87208344770793311</v>
      </c>
      <c r="K866" s="13">
        <f>J866-E866</f>
        <v>0.57632798089651871</v>
      </c>
      <c r="L866" s="13">
        <f>_xll.FDS(G866,"FF_ROE(ANN_R,12/30/2015)")</f>
        <v>-2.9532733401366862</v>
      </c>
      <c r="M866" s="8" t="s">
        <v>2189</v>
      </c>
      <c r="N866" s="4" t="s">
        <v>2190</v>
      </c>
      <c r="O866" s="4" t="s">
        <v>2191</v>
      </c>
      <c r="P866" s="4" t="s">
        <v>106</v>
      </c>
      <c r="Q866" s="4" t="s">
        <v>66</v>
      </c>
      <c r="R866" s="4" t="s">
        <v>61</v>
      </c>
      <c r="S866" s="4" t="s">
        <v>62</v>
      </c>
      <c r="T866" s="6" t="e">
        <v>#N/A</v>
      </c>
      <c r="U866" s="5">
        <v>61</v>
      </c>
      <c r="V866" s="5">
        <v>57</v>
      </c>
      <c r="W866" s="5">
        <v>51</v>
      </c>
      <c r="X866" s="5">
        <v>83</v>
      </c>
      <c r="Y866" s="5">
        <v>46.75</v>
      </c>
      <c r="Z866" s="5">
        <v>40.83</v>
      </c>
      <c r="AA866" s="5">
        <v>20.71</v>
      </c>
      <c r="AB866" s="5">
        <v>98.22</v>
      </c>
      <c r="AC866" s="6">
        <v>0.4</v>
      </c>
      <c r="AD866" s="6">
        <v>0.35</v>
      </c>
      <c r="AE866" s="6">
        <v>0.25</v>
      </c>
      <c r="AF866" s="4" t="s">
        <v>6296</v>
      </c>
      <c r="AG866" s="4" t="s">
        <v>6296</v>
      </c>
      <c r="AH866" s="4" t="s">
        <v>6296</v>
      </c>
      <c r="AI866" s="4" t="s">
        <v>6296</v>
      </c>
      <c r="AJ866" s="4" t="s">
        <v>6296</v>
      </c>
      <c r="AK866" s="4" t="s">
        <v>6296</v>
      </c>
      <c r="AL866" s="4" t="s">
        <v>6296</v>
      </c>
      <c r="AM866" s="4" t="s">
        <v>6296</v>
      </c>
      <c r="AN866" s="4" t="s">
        <v>6296</v>
      </c>
      <c r="AO866" s="4" t="s">
        <v>6296</v>
      </c>
      <c r="AP866" s="4" t="s">
        <v>2192</v>
      </c>
      <c r="AQ866" s="4" t="s">
        <v>47</v>
      </c>
    </row>
    <row r="867" spans="1:43" ht="12.6" customHeight="1" x14ac:dyDescent="0.25">
      <c r="A867" s="8" t="s">
        <v>2180</v>
      </c>
      <c r="B867" s="9">
        <v>20151231</v>
      </c>
      <c r="C867" s="12">
        <f>_xll.FDS("SPX","FG_PRICE(12/30/2015)")</f>
        <v>2063.36</v>
      </c>
      <c r="D867" s="12">
        <f>_xll.FDS("SPX","FG_PRICE(12/30/2017)")</f>
        <v>2673.61</v>
      </c>
      <c r="E867" s="15">
        <f>D867/C867-1</f>
        <v>0.2957554668114144</v>
      </c>
      <c r="F867" s="8" t="s">
        <v>2181</v>
      </c>
      <c r="G867" s="8" t="s">
        <v>2182</v>
      </c>
      <c r="H867" s="13">
        <f>_xll.FDS(G867,"FG_PRICE(12/30/2015)")</f>
        <v>23.55</v>
      </c>
      <c r="I867" s="13">
        <f>_xll.FDS(G867,"FG_PRICE(12/31/2017)")</f>
        <v>26.25</v>
      </c>
      <c r="J867" s="13">
        <f>I867/H867-1</f>
        <v>0.11464968152866239</v>
      </c>
      <c r="K867" s="13">
        <f>J867-E867</f>
        <v>-0.18110578528275201</v>
      </c>
      <c r="L867" s="13">
        <f>_xll.FDS(G867,"FF_ROE(ANN_R,12/30/2015)")</f>
        <v>12.84232130206966</v>
      </c>
      <c r="M867" s="8" t="s">
        <v>2183</v>
      </c>
      <c r="N867" s="4" t="s">
        <v>2183</v>
      </c>
      <c r="O867" s="4" t="s">
        <v>2184</v>
      </c>
      <c r="P867" s="4" t="s">
        <v>96</v>
      </c>
      <c r="Q867" s="4" t="s">
        <v>66</v>
      </c>
      <c r="R867" s="4" t="s">
        <v>61</v>
      </c>
      <c r="S867" s="4" t="s">
        <v>62</v>
      </c>
      <c r="T867" s="6" t="e">
        <v>#N/A</v>
      </c>
      <c r="U867" s="5">
        <v>66</v>
      </c>
      <c r="V867" s="5">
        <v>61</v>
      </c>
      <c r="W867" s="5">
        <v>71</v>
      </c>
      <c r="X867" s="5">
        <v>66</v>
      </c>
      <c r="Y867" s="5">
        <v>64.5</v>
      </c>
      <c r="Z867" s="5">
        <v>46.75</v>
      </c>
      <c r="AA867" s="5">
        <v>78.11</v>
      </c>
      <c r="AB867" s="5">
        <v>53.25</v>
      </c>
      <c r="AC867" s="6">
        <v>0.4</v>
      </c>
      <c r="AD867" s="6">
        <v>0.35</v>
      </c>
      <c r="AE867" s="6">
        <v>0.25</v>
      </c>
      <c r="AF867" s="4" t="s">
        <v>6296</v>
      </c>
      <c r="AG867" s="4" t="s">
        <v>6296</v>
      </c>
      <c r="AH867" s="4" t="s">
        <v>6296</v>
      </c>
      <c r="AI867" s="4" t="s">
        <v>42</v>
      </c>
      <c r="AJ867" s="4" t="s">
        <v>6296</v>
      </c>
      <c r="AK867" s="4" t="s">
        <v>6296</v>
      </c>
      <c r="AL867" s="4" t="s">
        <v>6296</v>
      </c>
      <c r="AM867" s="4" t="s">
        <v>6296</v>
      </c>
      <c r="AN867" s="4" t="s">
        <v>6296</v>
      </c>
      <c r="AO867" s="4" t="s">
        <v>6296</v>
      </c>
      <c r="AP867" s="4" t="s">
        <v>2185</v>
      </c>
      <c r="AQ867" s="4" t="s">
        <v>47</v>
      </c>
    </row>
    <row r="868" spans="1:43" ht="12.6" customHeight="1" x14ac:dyDescent="0.25">
      <c r="A868" s="8" t="s">
        <v>2001</v>
      </c>
      <c r="B868" s="9">
        <v>20151231</v>
      </c>
      <c r="C868" s="12">
        <f>_xll.FDS("SPX","FG_PRICE(12/30/2015)")</f>
        <v>2063.36</v>
      </c>
      <c r="D868" s="12">
        <f>_xll.FDS("SPX","FG_PRICE(12/30/2017)")</f>
        <v>2673.61</v>
      </c>
      <c r="E868" s="15">
        <f>D868/C868-1</f>
        <v>0.2957554668114144</v>
      </c>
      <c r="F868" s="8" t="s">
        <v>2002</v>
      </c>
      <c r="G868" s="8" t="s">
        <v>2003</v>
      </c>
      <c r="H868" s="13">
        <f>_xll.FDS(G868,"FG_PRICE(12/30/2015)")</f>
        <v>27.71</v>
      </c>
      <c r="I868" s="13">
        <f>_xll.FDS(G868,"FG_PRICE(12/31/2017)")</f>
        <v>28.5</v>
      </c>
      <c r="J868" s="13">
        <f>I868/H868-1</f>
        <v>2.8509563334536248E-2</v>
      </c>
      <c r="K868" s="13">
        <f>J868-E868</f>
        <v>-0.26724590347687815</v>
      </c>
      <c r="L868" s="13">
        <f>_xll.FDS(G868,"FF_ROE(ANN_R,12/30/2015)")</f>
        <v>-5.4707764313125447</v>
      </c>
      <c r="M868" s="8" t="s">
        <v>2004</v>
      </c>
      <c r="N868" s="4" t="s">
        <v>2005</v>
      </c>
      <c r="O868" s="4" t="s">
        <v>2006</v>
      </c>
      <c r="P868" s="4" t="s">
        <v>96</v>
      </c>
      <c r="Q868" s="4" t="s">
        <v>66</v>
      </c>
      <c r="R868" s="4" t="s">
        <v>61</v>
      </c>
      <c r="S868" s="4" t="s">
        <v>62</v>
      </c>
      <c r="T868" s="6" t="e">
        <v>#N/A</v>
      </c>
      <c r="U868" s="5">
        <v>76</v>
      </c>
      <c r="V868" s="5">
        <v>81</v>
      </c>
      <c r="W868" s="5">
        <v>71</v>
      </c>
      <c r="X868" s="5">
        <v>73</v>
      </c>
      <c r="Y868" s="5">
        <v>86.98</v>
      </c>
      <c r="Z868" s="5">
        <v>85.8</v>
      </c>
      <c r="AA868" s="5">
        <v>78.11</v>
      </c>
      <c r="AB868" s="5">
        <v>84.02</v>
      </c>
      <c r="AC868" s="6">
        <v>0.4</v>
      </c>
      <c r="AD868" s="6">
        <v>0.35</v>
      </c>
      <c r="AE868" s="6">
        <v>0.25</v>
      </c>
      <c r="AF868" s="4" t="s">
        <v>6296</v>
      </c>
      <c r="AG868" s="4" t="s">
        <v>6296</v>
      </c>
      <c r="AH868" s="4" t="s">
        <v>6296</v>
      </c>
      <c r="AI868" s="4" t="s">
        <v>6296</v>
      </c>
      <c r="AJ868" s="4" t="s">
        <v>6296</v>
      </c>
      <c r="AK868" s="4" t="s">
        <v>6296</v>
      </c>
      <c r="AL868" s="4" t="s">
        <v>6296</v>
      </c>
      <c r="AM868" s="4" t="s">
        <v>6296</v>
      </c>
      <c r="AN868" s="4" t="s">
        <v>6296</v>
      </c>
      <c r="AO868" s="4" t="s">
        <v>6296</v>
      </c>
      <c r="AP868" s="4" t="s">
        <v>2007</v>
      </c>
      <c r="AQ868" s="4" t="s">
        <v>47</v>
      </c>
    </row>
    <row r="869" spans="1:43" ht="12.6" customHeight="1" x14ac:dyDescent="0.25">
      <c r="A869" s="8" t="s">
        <v>5977</v>
      </c>
      <c r="B869" s="9">
        <v>20151231</v>
      </c>
      <c r="C869" s="12">
        <f>_xll.FDS("SPX","FG_PRICE(12/30/2015)")</f>
        <v>2063.36</v>
      </c>
      <c r="D869" s="12">
        <f>_xll.FDS("SPX","FG_PRICE(12/30/2017)")</f>
        <v>2673.61</v>
      </c>
      <c r="E869" s="15">
        <f>D869/C869-1</f>
        <v>0.2957554668114144</v>
      </c>
      <c r="F869" s="8" t="s">
        <v>5978</v>
      </c>
      <c r="G869" s="8" t="s">
        <v>5979</v>
      </c>
      <c r="H869" s="13">
        <f>_xll.FDS(G869,"FG_PRICE(12/30/2015)")</f>
        <v>28.58</v>
      </c>
      <c r="I869" s="13">
        <f>_xll.FDS(G869,"FG_PRICE(12/31/2017)")</f>
        <v>41.6</v>
      </c>
      <c r="J869" s="13">
        <f>I869/H869-1</f>
        <v>0.4555633310006999</v>
      </c>
      <c r="K869" s="13">
        <f>J869-E869</f>
        <v>0.1598078641892855</v>
      </c>
      <c r="L869" s="13">
        <f>_xll.FDS(G869,"FF_ROE(ANN_R,12/30/2015)")</f>
        <v>49.541284403669728</v>
      </c>
      <c r="M869" s="8" t="s">
        <v>5980</v>
      </c>
      <c r="N869" s="4" t="s">
        <v>5981</v>
      </c>
      <c r="O869" s="4" t="s">
        <v>5982</v>
      </c>
      <c r="P869" s="4" t="s">
        <v>96</v>
      </c>
      <c r="Q869" s="4" t="s">
        <v>66</v>
      </c>
      <c r="R869" s="4" t="s">
        <v>61</v>
      </c>
      <c r="S869" s="4" t="s">
        <v>62</v>
      </c>
      <c r="T869" s="6" t="e">
        <v>#N/A</v>
      </c>
      <c r="U869" s="5">
        <v>68</v>
      </c>
      <c r="V869" s="5">
        <v>64</v>
      </c>
      <c r="W869" s="5">
        <v>72</v>
      </c>
      <c r="X869" s="5">
        <v>69</v>
      </c>
      <c r="Y869" s="5">
        <v>67.459999999999994</v>
      </c>
      <c r="Z869" s="5">
        <v>50.3</v>
      </c>
      <c r="AA869" s="5">
        <v>80.47</v>
      </c>
      <c r="AB869" s="5">
        <v>67.459999999999994</v>
      </c>
      <c r="AC869" s="6">
        <v>0.4</v>
      </c>
      <c r="AD869" s="6">
        <v>0.35</v>
      </c>
      <c r="AE869" s="6">
        <v>0.25</v>
      </c>
      <c r="AF869" s="4" t="s">
        <v>6296</v>
      </c>
      <c r="AG869" s="4" t="s">
        <v>6296</v>
      </c>
      <c r="AH869" s="4" t="s">
        <v>6296</v>
      </c>
      <c r="AI869" s="4" t="s">
        <v>6296</v>
      </c>
      <c r="AJ869" s="4" t="s">
        <v>6296</v>
      </c>
      <c r="AK869" s="4" t="s">
        <v>6296</v>
      </c>
      <c r="AL869" s="4" t="s">
        <v>6296</v>
      </c>
      <c r="AM869" s="4" t="s">
        <v>6296</v>
      </c>
      <c r="AN869" s="4" t="s">
        <v>6296</v>
      </c>
      <c r="AO869" s="4" t="s">
        <v>6296</v>
      </c>
      <c r="AP869" s="4" t="s">
        <v>5983</v>
      </c>
      <c r="AQ869" s="4" t="s">
        <v>47</v>
      </c>
    </row>
    <row r="870" spans="1:43" ht="12.6" customHeight="1" x14ac:dyDescent="0.25">
      <c r="A870" s="8" t="s">
        <v>5859</v>
      </c>
      <c r="B870" s="9">
        <v>20151231</v>
      </c>
      <c r="C870" s="12">
        <f>_xll.FDS("SPX","FG_PRICE(12/30/2015)")</f>
        <v>2063.36</v>
      </c>
      <c r="D870" s="12">
        <f>_xll.FDS("SPX","FG_PRICE(12/30/2017)")</f>
        <v>2673.61</v>
      </c>
      <c r="E870" s="15">
        <f>D870/C870-1</f>
        <v>0.2957554668114144</v>
      </c>
      <c r="F870" s="8" t="s">
        <v>5860</v>
      </c>
      <c r="G870" s="8" t="s">
        <v>5861</v>
      </c>
      <c r="H870" s="13">
        <f>_xll.FDS(G870,"FG_PRICE(12/30/2015)")</f>
        <v>13.71</v>
      </c>
      <c r="I870" s="13">
        <f>_xll.FDS(G870,"FG_PRICE(12/31/2017)")</f>
        <v>14.66</v>
      </c>
      <c r="J870" s="13">
        <f>I870/H870-1</f>
        <v>6.9292487235594447E-2</v>
      </c>
      <c r="K870" s="13">
        <f>J870-E870</f>
        <v>-0.22646297957581996</v>
      </c>
      <c r="L870" s="13">
        <f>_xll.FDS(G870,"FF_ROE(ANN_R,12/30/2015)")</f>
        <v>-5.570982481181125</v>
      </c>
      <c r="M870" s="8" t="s">
        <v>5862</v>
      </c>
      <c r="N870" s="4" t="s">
        <v>5863</v>
      </c>
      <c r="O870" s="4" t="s">
        <v>4835</v>
      </c>
      <c r="P870" s="4" t="s">
        <v>96</v>
      </c>
      <c r="Q870" s="4" t="s">
        <v>66</v>
      </c>
      <c r="R870" s="4" t="s">
        <v>61</v>
      </c>
      <c r="S870" s="4" t="s">
        <v>62</v>
      </c>
      <c r="T870" s="6" t="e">
        <v>#N/A</v>
      </c>
      <c r="U870" s="5">
        <v>55</v>
      </c>
      <c r="V870" s="5">
        <v>40</v>
      </c>
      <c r="W870" s="5">
        <v>58</v>
      </c>
      <c r="X870" s="5">
        <v>77</v>
      </c>
      <c r="Y870" s="5">
        <v>28.99</v>
      </c>
      <c r="Z870" s="6">
        <v>9.4700000000000006</v>
      </c>
      <c r="AA870" s="5">
        <v>42.6</v>
      </c>
      <c r="AB870" s="5">
        <v>92.31</v>
      </c>
      <c r="AC870" s="6">
        <v>0.4</v>
      </c>
      <c r="AD870" s="6">
        <v>0.35</v>
      </c>
      <c r="AE870" s="6">
        <v>0.25</v>
      </c>
      <c r="AF870" s="4" t="s">
        <v>6296</v>
      </c>
      <c r="AG870" s="4" t="s">
        <v>6296</v>
      </c>
      <c r="AH870" s="4" t="s">
        <v>6296</v>
      </c>
      <c r="AI870" s="4" t="s">
        <v>6296</v>
      </c>
      <c r="AJ870" s="4" t="s">
        <v>6296</v>
      </c>
      <c r="AK870" s="4" t="s">
        <v>6296</v>
      </c>
      <c r="AL870" s="4" t="s">
        <v>6296</v>
      </c>
      <c r="AM870" s="4" t="s">
        <v>6296</v>
      </c>
      <c r="AN870" s="4" t="s">
        <v>6296</v>
      </c>
      <c r="AO870" s="4" t="s">
        <v>6296</v>
      </c>
      <c r="AP870" s="4" t="s">
        <v>5864</v>
      </c>
      <c r="AQ870" s="4" t="s">
        <v>47</v>
      </c>
    </row>
    <row r="871" spans="1:43" ht="12.6" customHeight="1" x14ac:dyDescent="0.25">
      <c r="A871" s="8" t="s">
        <v>5801</v>
      </c>
      <c r="B871" s="9">
        <v>20151231</v>
      </c>
      <c r="C871" s="12">
        <f>_xll.FDS("SPX","FG_PRICE(12/30/2015)")</f>
        <v>2063.36</v>
      </c>
      <c r="D871" s="12">
        <f>_xll.FDS("SPX","FG_PRICE(12/30/2017)")</f>
        <v>2673.61</v>
      </c>
      <c r="E871" s="15">
        <f>D871/C871-1</f>
        <v>0.2957554668114144</v>
      </c>
      <c r="F871" s="8" t="s">
        <v>5802</v>
      </c>
      <c r="G871" s="8" t="s">
        <v>5803</v>
      </c>
      <c r="H871" s="13">
        <f>_xll.FDS(G871,"FG_PRICE(12/30/2015)")</f>
        <v>12.73</v>
      </c>
      <c r="I871" s="13">
        <f>_xll.FDS(G871,"FG_PRICE(12/31/2017)")</f>
        <v>3.1</v>
      </c>
      <c r="J871" s="13">
        <f>I871/H871-1</f>
        <v>-0.75648075412411631</v>
      </c>
      <c r="K871" s="13">
        <f>J871-E871</f>
        <v>-1.0522362209355307</v>
      </c>
      <c r="L871" s="13">
        <f>_xll.FDS(G871,"FF_ROE(ANN_R,12/30/2015)")</f>
        <v>-28.06629834254143</v>
      </c>
      <c r="M871" s="8" t="s">
        <v>5804</v>
      </c>
      <c r="N871" s="4" t="s">
        <v>5804</v>
      </c>
      <c r="O871" s="4" t="s">
        <v>5805</v>
      </c>
      <c r="P871" s="4" t="s">
        <v>96</v>
      </c>
      <c r="Q871" s="4" t="s">
        <v>66</v>
      </c>
      <c r="R871" s="4" t="s">
        <v>61</v>
      </c>
      <c r="S871" s="4" t="s">
        <v>62</v>
      </c>
      <c r="T871" s="6" t="e">
        <v>#N/A</v>
      </c>
      <c r="U871" s="5">
        <v>70</v>
      </c>
      <c r="V871" s="5">
        <v>70</v>
      </c>
      <c r="W871" s="5">
        <v>64</v>
      </c>
      <c r="X871" s="5">
        <v>79</v>
      </c>
      <c r="Y871" s="5">
        <v>72.19</v>
      </c>
      <c r="Z871" s="5">
        <v>66.27</v>
      </c>
      <c r="AA871" s="5">
        <v>61.54</v>
      </c>
      <c r="AB871" s="5">
        <v>96.45</v>
      </c>
      <c r="AC871" s="6">
        <v>0.4</v>
      </c>
      <c r="AD871" s="6">
        <v>0.35</v>
      </c>
      <c r="AE871" s="6">
        <v>0.25</v>
      </c>
      <c r="AF871" s="4" t="s">
        <v>6296</v>
      </c>
      <c r="AG871" s="4" t="s">
        <v>6296</v>
      </c>
      <c r="AH871" s="4" t="s">
        <v>6296</v>
      </c>
      <c r="AI871" s="4" t="s">
        <v>6296</v>
      </c>
      <c r="AJ871" s="4" t="s">
        <v>6296</v>
      </c>
      <c r="AK871" s="4" t="s">
        <v>6296</v>
      </c>
      <c r="AL871" s="4" t="s">
        <v>6296</v>
      </c>
      <c r="AM871" s="4" t="s">
        <v>42</v>
      </c>
      <c r="AN871" s="4" t="s">
        <v>42</v>
      </c>
      <c r="AO871" s="4" t="s">
        <v>6296</v>
      </c>
      <c r="AP871" s="4" t="s">
        <v>5806</v>
      </c>
      <c r="AQ871" s="4" t="s">
        <v>47</v>
      </c>
    </row>
    <row r="872" spans="1:43" ht="12.6" customHeight="1" x14ac:dyDescent="0.25">
      <c r="A872" s="8" t="s">
        <v>2385</v>
      </c>
      <c r="B872" s="9">
        <v>20151231</v>
      </c>
      <c r="C872" s="12">
        <f>_xll.FDS("SPX","FG_PRICE(12/30/2015)")</f>
        <v>2063.36</v>
      </c>
      <c r="D872" s="12">
        <f>_xll.FDS("SPX","FG_PRICE(12/30/2017)")</f>
        <v>2673.61</v>
      </c>
      <c r="E872" s="15">
        <f>D872/C872-1</f>
        <v>0.2957554668114144</v>
      </c>
      <c r="F872" s="8" t="s">
        <v>2386</v>
      </c>
      <c r="G872" s="8" t="s">
        <v>2387</v>
      </c>
      <c r="H872" s="13">
        <f>_xll.FDS(G872,"FG_PRICE(12/30/2015)")</f>
        <v>33.5</v>
      </c>
      <c r="I872" s="13" t="e">
        <f>_xll.FDS(G872,"FG_PRICE(12/31/2017)")</f>
        <v>#N/A</v>
      </c>
      <c r="J872" s="13" t="e">
        <f>I872/H872-1</f>
        <v>#N/A</v>
      </c>
      <c r="K872" s="13" t="e">
        <f>J872-E872</f>
        <v>#N/A</v>
      </c>
      <c r="L872" s="13">
        <f>_xll.FDS(G872,"FF_ROE(ANN_R,12/30/2015)")</f>
        <v>6.0115519075847388</v>
      </c>
      <c r="M872" s="8" t="s">
        <v>2388</v>
      </c>
      <c r="N872" s="4" t="s">
        <v>2389</v>
      </c>
      <c r="O872" s="4" t="s">
        <v>47</v>
      </c>
      <c r="P872" s="4" t="s">
        <v>96</v>
      </c>
      <c r="Q872" s="4" t="s">
        <v>66</v>
      </c>
      <c r="R872" s="4" t="s">
        <v>61</v>
      </c>
      <c r="S872" s="4" t="s">
        <v>62</v>
      </c>
      <c r="T872" s="6" t="e">
        <v>#N/A</v>
      </c>
      <c r="U872" s="5">
        <v>81</v>
      </c>
      <c r="V872" s="5">
        <v>91</v>
      </c>
      <c r="W872" s="5">
        <v>79</v>
      </c>
      <c r="X872" s="5">
        <v>69</v>
      </c>
      <c r="Y872" s="5">
        <v>96.45</v>
      </c>
      <c r="Z872" s="5">
        <v>97.04</v>
      </c>
      <c r="AA872" s="5">
        <v>92.9</v>
      </c>
      <c r="AB872" s="5">
        <v>67.459999999999994</v>
      </c>
      <c r="AC872" s="6">
        <v>0.4</v>
      </c>
      <c r="AD872" s="6">
        <v>0.35</v>
      </c>
      <c r="AE872" s="6">
        <v>0.25</v>
      </c>
      <c r="AF872" s="4" t="s">
        <v>6296</v>
      </c>
      <c r="AG872" s="4" t="s">
        <v>6296</v>
      </c>
      <c r="AH872" s="4" t="s">
        <v>6296</v>
      </c>
      <c r="AI872" s="4" t="s">
        <v>6296</v>
      </c>
      <c r="AJ872" s="4" t="s">
        <v>6296</v>
      </c>
      <c r="AK872" s="4" t="s">
        <v>6296</v>
      </c>
      <c r="AL872" s="4" t="s">
        <v>6296</v>
      </c>
      <c r="AM872" s="4" t="s">
        <v>6296</v>
      </c>
      <c r="AN872" s="4" t="s">
        <v>6296</v>
      </c>
      <c r="AO872" s="4" t="s">
        <v>6296</v>
      </c>
      <c r="AP872" s="4" t="s">
        <v>2390</v>
      </c>
      <c r="AQ872" s="4" t="s">
        <v>47</v>
      </c>
    </row>
    <row r="873" spans="1:43" ht="12.6" customHeight="1" x14ac:dyDescent="0.25">
      <c r="A873" s="8" t="s">
        <v>5313</v>
      </c>
      <c r="B873" s="9">
        <v>20151231</v>
      </c>
      <c r="C873" s="12">
        <f>_xll.FDS("SPX","FG_PRICE(12/30/2015)")</f>
        <v>2063.36</v>
      </c>
      <c r="D873" s="12">
        <f>_xll.FDS("SPX","FG_PRICE(12/30/2017)")</f>
        <v>2673.61</v>
      </c>
      <c r="E873" s="15">
        <f>D873/C873-1</f>
        <v>0.2957554668114144</v>
      </c>
      <c r="F873" s="8" t="s">
        <v>5314</v>
      </c>
      <c r="G873" s="8" t="s">
        <v>5315</v>
      </c>
      <c r="H873" s="13">
        <f>_xll.FDS(G873,"FG_PRICE(12/30/2015)")</f>
        <v>69.3</v>
      </c>
      <c r="I873" s="13">
        <f>_xll.FDS(G873,"FG_PRICE(12/31/2017)")</f>
        <v>90.34</v>
      </c>
      <c r="J873" s="13">
        <f>I873/H873-1</f>
        <v>0.30360750360750366</v>
      </c>
      <c r="K873" s="13">
        <f>J873-E873</f>
        <v>7.8520367960892568E-3</v>
      </c>
      <c r="L873" s="13">
        <f>_xll.FDS(G873,"FF_ROE(ANN_R,12/30/2015)")</f>
        <v>-21.8016890835158</v>
      </c>
      <c r="M873" s="8" t="s">
        <v>5316</v>
      </c>
      <c r="N873" s="4" t="s">
        <v>5317</v>
      </c>
      <c r="O873" s="4" t="s">
        <v>84</v>
      </c>
      <c r="P873" s="4" t="s">
        <v>96</v>
      </c>
      <c r="Q873" s="4" t="s">
        <v>66</v>
      </c>
      <c r="R873" s="4" t="s">
        <v>61</v>
      </c>
      <c r="S873" s="4" t="s">
        <v>62</v>
      </c>
      <c r="T873" s="6" t="e">
        <v>#N/A</v>
      </c>
      <c r="U873" s="5">
        <v>74</v>
      </c>
      <c r="V873" s="5">
        <v>80</v>
      </c>
      <c r="W873" s="5">
        <v>71</v>
      </c>
      <c r="X873" s="5">
        <v>66</v>
      </c>
      <c r="Y873" s="5">
        <v>82.84</v>
      </c>
      <c r="Z873" s="5">
        <v>85.21</v>
      </c>
      <c r="AA873" s="5">
        <v>78.11</v>
      </c>
      <c r="AB873" s="5">
        <v>53.25</v>
      </c>
      <c r="AC873" s="6">
        <v>0.4</v>
      </c>
      <c r="AD873" s="6">
        <v>0.35</v>
      </c>
      <c r="AE873" s="6">
        <v>0.25</v>
      </c>
      <c r="AF873" s="4" t="s">
        <v>6296</v>
      </c>
      <c r="AG873" s="4" t="s">
        <v>6296</v>
      </c>
      <c r="AH873" s="4" t="s">
        <v>6296</v>
      </c>
      <c r="AI873" s="4" t="s">
        <v>6296</v>
      </c>
      <c r="AJ873" s="4" t="s">
        <v>46</v>
      </c>
      <c r="AK873" s="4" t="s">
        <v>6296</v>
      </c>
      <c r="AL873" s="4" t="s">
        <v>45</v>
      </c>
      <c r="AM873" s="4" t="s">
        <v>42</v>
      </c>
      <c r="AN873" s="4" t="s">
        <v>6296</v>
      </c>
      <c r="AO873" s="4" t="s">
        <v>6296</v>
      </c>
      <c r="AP873" s="4" t="s">
        <v>5318</v>
      </c>
      <c r="AQ873" s="4" t="s">
        <v>47</v>
      </c>
    </row>
    <row r="874" spans="1:43" ht="12.6" customHeight="1" x14ac:dyDescent="0.25">
      <c r="A874" s="8" t="s">
        <v>2926</v>
      </c>
      <c r="B874" s="9">
        <v>20151231</v>
      </c>
      <c r="C874" s="12">
        <f>_xll.FDS("SPX","FG_PRICE(12/30/2015)")</f>
        <v>2063.36</v>
      </c>
      <c r="D874" s="12">
        <f>_xll.FDS("SPX","FG_PRICE(12/30/2017)")</f>
        <v>2673.61</v>
      </c>
      <c r="E874" s="15">
        <f>D874/C874-1</f>
        <v>0.2957554668114144</v>
      </c>
      <c r="F874" s="8" t="s">
        <v>2927</v>
      </c>
      <c r="G874" s="8" t="s">
        <v>2928</v>
      </c>
      <c r="H874" s="13">
        <f>_xll.FDS(G874,"FG_PRICE(12/30/2015)")</f>
        <v>29.13</v>
      </c>
      <c r="I874" s="13">
        <f>_xll.FDS(G874,"FG_PRICE(12/31/2017)")</f>
        <v>41.63</v>
      </c>
      <c r="J874" s="13">
        <f>I874/H874-1</f>
        <v>0.42911088225197402</v>
      </c>
      <c r="K874" s="13">
        <f>J874-E874</f>
        <v>0.13335541544055962</v>
      </c>
      <c r="L874" s="13">
        <f>_xll.FDS(G874,"FF_ROE(ANN_R,12/30/2015)")</f>
        <v>11.803623317044909</v>
      </c>
      <c r="M874" s="8" t="s">
        <v>2929</v>
      </c>
      <c r="N874" s="4" t="s">
        <v>2929</v>
      </c>
      <c r="O874" s="4" t="s">
        <v>2930</v>
      </c>
      <c r="P874" s="4" t="s">
        <v>106</v>
      </c>
      <c r="Q874" s="4" t="s">
        <v>66</v>
      </c>
      <c r="R874" s="4" t="s">
        <v>61</v>
      </c>
      <c r="S874" s="4" t="s">
        <v>62</v>
      </c>
      <c r="T874" s="6" t="e">
        <v>#N/A</v>
      </c>
      <c r="U874" s="5">
        <v>70</v>
      </c>
      <c r="V874" s="5">
        <v>70</v>
      </c>
      <c r="W874" s="5">
        <v>67</v>
      </c>
      <c r="X874" s="5">
        <v>74</v>
      </c>
      <c r="Y874" s="5">
        <v>72.19</v>
      </c>
      <c r="Z874" s="5">
        <v>66.27</v>
      </c>
      <c r="AA874" s="5">
        <v>66.27</v>
      </c>
      <c r="AB874" s="5">
        <v>88.76</v>
      </c>
      <c r="AC874" s="6">
        <v>0.4</v>
      </c>
      <c r="AD874" s="6">
        <v>0.35</v>
      </c>
      <c r="AE874" s="6">
        <v>0.25</v>
      </c>
      <c r="AF874" s="4" t="s">
        <v>6296</v>
      </c>
      <c r="AG874" s="4" t="s">
        <v>6296</v>
      </c>
      <c r="AH874" s="4" t="s">
        <v>6296</v>
      </c>
      <c r="AI874" s="4" t="s">
        <v>6296</v>
      </c>
      <c r="AJ874" s="4" t="s">
        <v>6296</v>
      </c>
      <c r="AK874" s="4" t="s">
        <v>6296</v>
      </c>
      <c r="AL874" s="4" t="s">
        <v>6296</v>
      </c>
      <c r="AM874" s="4" t="s">
        <v>6296</v>
      </c>
      <c r="AN874" s="4" t="s">
        <v>6296</v>
      </c>
      <c r="AO874" s="4" t="s">
        <v>6296</v>
      </c>
      <c r="AP874" s="4" t="s">
        <v>2931</v>
      </c>
      <c r="AQ874" s="4" t="s">
        <v>47</v>
      </c>
    </row>
    <row r="875" spans="1:43" ht="12.6" customHeight="1" x14ac:dyDescent="0.25">
      <c r="A875" s="8" t="s">
        <v>2845</v>
      </c>
      <c r="B875" s="9">
        <v>20151231</v>
      </c>
      <c r="C875" s="12">
        <f>_xll.FDS("SPX","FG_PRICE(12/30/2015)")</f>
        <v>2063.36</v>
      </c>
      <c r="D875" s="12">
        <f>_xll.FDS("SPX","FG_PRICE(12/30/2017)")</f>
        <v>2673.61</v>
      </c>
      <c r="E875" s="15">
        <f>D875/C875-1</f>
        <v>0.2957554668114144</v>
      </c>
      <c r="F875" s="8" t="s">
        <v>2846</v>
      </c>
      <c r="G875" s="8" t="s">
        <v>2847</v>
      </c>
      <c r="H875" s="13">
        <f>_xll.FDS(G875,"FG_PRICE(12/30/2015)")</f>
        <v>24.81</v>
      </c>
      <c r="I875" s="13">
        <f>_xll.FDS(G875,"FG_PRICE(12/31/2017)")</f>
        <v>33.99</v>
      </c>
      <c r="J875" s="13">
        <f>I875/H875-1</f>
        <v>0.37001209189842821</v>
      </c>
      <c r="K875" s="13">
        <f>J875-E875</f>
        <v>7.4256625087013806E-2</v>
      </c>
      <c r="L875" s="13">
        <f>_xll.FDS(G875,"FF_ROE(ANN_R,12/30/2015)")</f>
        <v>9.9450549450549453</v>
      </c>
      <c r="M875" s="8" t="s">
        <v>2848</v>
      </c>
      <c r="N875" s="4" t="s">
        <v>2849</v>
      </c>
      <c r="O875" s="4" t="s">
        <v>2850</v>
      </c>
      <c r="P875" s="4" t="s">
        <v>96</v>
      </c>
      <c r="Q875" s="4" t="s">
        <v>66</v>
      </c>
      <c r="R875" s="4" t="s">
        <v>61</v>
      </c>
      <c r="S875" s="4" t="s">
        <v>62</v>
      </c>
      <c r="T875" s="6" t="e">
        <v>#N/A</v>
      </c>
      <c r="U875" s="5">
        <v>53</v>
      </c>
      <c r="V875" s="5">
        <v>37</v>
      </c>
      <c r="W875" s="5">
        <v>57</v>
      </c>
      <c r="X875" s="5">
        <v>72</v>
      </c>
      <c r="Y875" s="5">
        <v>22.49</v>
      </c>
      <c r="Z875" s="6">
        <v>6.51</v>
      </c>
      <c r="AA875" s="5">
        <v>40.83</v>
      </c>
      <c r="AB875" s="5">
        <v>81.66</v>
      </c>
      <c r="AC875" s="6">
        <v>0.4</v>
      </c>
      <c r="AD875" s="6">
        <v>0.35</v>
      </c>
      <c r="AE875" s="6">
        <v>0.25</v>
      </c>
      <c r="AF875" s="4" t="s">
        <v>46</v>
      </c>
      <c r="AG875" s="4" t="s">
        <v>6296</v>
      </c>
      <c r="AH875" s="4" t="s">
        <v>6296</v>
      </c>
      <c r="AI875" s="4" t="s">
        <v>6296</v>
      </c>
      <c r="AJ875" s="4" t="s">
        <v>6296</v>
      </c>
      <c r="AK875" s="4" t="s">
        <v>6296</v>
      </c>
      <c r="AL875" s="4" t="s">
        <v>42</v>
      </c>
      <c r="AM875" s="4" t="s">
        <v>6296</v>
      </c>
      <c r="AN875" s="4" t="s">
        <v>6296</v>
      </c>
      <c r="AO875" s="4" t="s">
        <v>6296</v>
      </c>
      <c r="AP875" s="4" t="s">
        <v>2851</v>
      </c>
      <c r="AQ875" s="4" t="s">
        <v>47</v>
      </c>
    </row>
    <row r="876" spans="1:43" ht="12.6" customHeight="1" x14ac:dyDescent="0.25">
      <c r="A876" s="8" t="s">
        <v>2831</v>
      </c>
      <c r="B876" s="9">
        <v>20151231</v>
      </c>
      <c r="C876" s="12">
        <f>_xll.FDS("SPX","FG_PRICE(12/30/2015)")</f>
        <v>2063.36</v>
      </c>
      <c r="D876" s="12">
        <f>_xll.FDS("SPX","FG_PRICE(12/30/2017)")</f>
        <v>2673.61</v>
      </c>
      <c r="E876" s="15">
        <f>D876/C876-1</f>
        <v>0.2957554668114144</v>
      </c>
      <c r="F876" s="8" t="s">
        <v>2832</v>
      </c>
      <c r="G876" s="8" t="s">
        <v>2833</v>
      </c>
      <c r="H876" s="13">
        <f>_xll.FDS(G876,"FG_PRICE(12/30/2015)")</f>
        <v>26.87</v>
      </c>
      <c r="I876" s="13">
        <f>_xll.FDS(G876,"FG_PRICE(12/31/2017)")</f>
        <v>55.32</v>
      </c>
      <c r="J876" s="13">
        <f>I876/H876-1</f>
        <v>1.0588016375139562</v>
      </c>
      <c r="K876" s="13">
        <f>J876-E876</f>
        <v>0.76304617070254177</v>
      </c>
      <c r="L876" s="13">
        <f>_xll.FDS(G876,"FF_ROE(ANN_R,12/30/2015)")</f>
        <v>15.55148182095936</v>
      </c>
      <c r="M876" s="8" t="s">
        <v>2834</v>
      </c>
      <c r="N876" s="4" t="s">
        <v>2835</v>
      </c>
      <c r="O876" s="4" t="s">
        <v>2836</v>
      </c>
      <c r="P876" s="4" t="s">
        <v>106</v>
      </c>
      <c r="Q876" s="4" t="s">
        <v>66</v>
      </c>
      <c r="R876" s="4" t="s">
        <v>61</v>
      </c>
      <c r="S876" s="4" t="s">
        <v>62</v>
      </c>
      <c r="T876" s="6" t="e">
        <v>#N/A</v>
      </c>
      <c r="U876" s="5">
        <v>69</v>
      </c>
      <c r="V876" s="5">
        <v>76</v>
      </c>
      <c r="W876" s="5">
        <v>66</v>
      </c>
      <c r="X876" s="5">
        <v>62</v>
      </c>
      <c r="Y876" s="5">
        <v>68.64</v>
      </c>
      <c r="Z876" s="5">
        <v>78.11</v>
      </c>
      <c r="AA876" s="5">
        <v>65.09</v>
      </c>
      <c r="AB876" s="5">
        <v>39.64</v>
      </c>
      <c r="AC876" s="6">
        <v>0.4</v>
      </c>
      <c r="AD876" s="6">
        <v>0.35</v>
      </c>
      <c r="AE876" s="6">
        <v>0.25</v>
      </c>
      <c r="AF876" s="4" t="s">
        <v>6296</v>
      </c>
      <c r="AG876" s="4" t="s">
        <v>6296</v>
      </c>
      <c r="AH876" s="4" t="s">
        <v>6296</v>
      </c>
      <c r="AI876" s="4" t="s">
        <v>6296</v>
      </c>
      <c r="AJ876" s="4" t="s">
        <v>6296</v>
      </c>
      <c r="AK876" s="4" t="s">
        <v>6296</v>
      </c>
      <c r="AL876" s="4" t="s">
        <v>42</v>
      </c>
      <c r="AM876" s="4" t="s">
        <v>42</v>
      </c>
      <c r="AN876" s="4" t="s">
        <v>6296</v>
      </c>
      <c r="AO876" s="4" t="s">
        <v>6296</v>
      </c>
      <c r="AP876" s="4" t="s">
        <v>2837</v>
      </c>
      <c r="AQ876" s="4" t="s">
        <v>47</v>
      </c>
    </row>
    <row r="877" spans="1:43" ht="12.6" customHeight="1" x14ac:dyDescent="0.25">
      <c r="A877" s="8" t="s">
        <v>5578</v>
      </c>
      <c r="B877" s="9">
        <v>20151231</v>
      </c>
      <c r="C877" s="12">
        <f>_xll.FDS("SPX","FG_PRICE(12/30/2015)")</f>
        <v>2063.36</v>
      </c>
      <c r="D877" s="12">
        <f>_xll.FDS("SPX","FG_PRICE(12/30/2017)")</f>
        <v>2673.61</v>
      </c>
      <c r="E877" s="15">
        <f>D877/C877-1</f>
        <v>0.2957554668114144</v>
      </c>
      <c r="F877" s="8" t="s">
        <v>5579</v>
      </c>
      <c r="G877" s="8" t="s">
        <v>5580</v>
      </c>
      <c r="H877" s="13">
        <f>_xll.FDS(G877,"FG_PRICE(12/30/2015)")</f>
        <v>176.79</v>
      </c>
      <c r="I877" s="13">
        <f>_xll.FDS(G877,"FG_PRICE(12/31/2017)")</f>
        <v>144.94</v>
      </c>
      <c r="J877" s="13">
        <f>I877/H877-1</f>
        <v>-0.18015724871316252</v>
      </c>
      <c r="K877" s="13">
        <f>J877-E877</f>
        <v>-0.47591271552457692</v>
      </c>
      <c r="L877" s="13">
        <f>_xll.FDS(G877,"FF_ROE(ANN_R,12/30/2015)")</f>
        <v>-34.497669585000033</v>
      </c>
      <c r="M877" s="8" t="s">
        <v>5581</v>
      </c>
      <c r="N877" s="4" t="s">
        <v>5582</v>
      </c>
      <c r="O877" s="4" t="s">
        <v>5583</v>
      </c>
      <c r="P877" s="4" t="s">
        <v>96</v>
      </c>
      <c r="Q877" s="4" t="s">
        <v>66</v>
      </c>
      <c r="R877" s="4" t="s">
        <v>61</v>
      </c>
      <c r="S877" s="4" t="s">
        <v>62</v>
      </c>
      <c r="T877" s="6" t="e">
        <v>#N/A</v>
      </c>
      <c r="U877" s="5">
        <v>47</v>
      </c>
      <c r="V877" s="5">
        <v>44</v>
      </c>
      <c r="W877" s="5">
        <v>42</v>
      </c>
      <c r="X877" s="5">
        <v>59</v>
      </c>
      <c r="Y877" s="6">
        <v>5.33</v>
      </c>
      <c r="Z877" s="5">
        <v>19.53</v>
      </c>
      <c r="AA877" s="6">
        <v>1.18</v>
      </c>
      <c r="AB877" s="5">
        <v>30.18</v>
      </c>
      <c r="AC877" s="6">
        <v>0.4</v>
      </c>
      <c r="AD877" s="6">
        <v>0.35</v>
      </c>
      <c r="AE877" s="6">
        <v>0.25</v>
      </c>
      <c r="AF877" s="4" t="s">
        <v>6296</v>
      </c>
      <c r="AG877" s="4" t="s">
        <v>6296</v>
      </c>
      <c r="AH877" s="4" t="s">
        <v>6296</v>
      </c>
      <c r="AI877" s="4" t="s">
        <v>6296</v>
      </c>
      <c r="AJ877" s="4" t="s">
        <v>6296</v>
      </c>
      <c r="AK877" s="4" t="s">
        <v>6296</v>
      </c>
      <c r="AL877" s="4" t="s">
        <v>6296</v>
      </c>
      <c r="AM877" s="4" t="s">
        <v>6296</v>
      </c>
      <c r="AN877" s="4" t="s">
        <v>6296</v>
      </c>
      <c r="AO877" s="4" t="s">
        <v>6296</v>
      </c>
      <c r="AP877" s="4" t="s">
        <v>5584</v>
      </c>
      <c r="AQ877" s="4" t="s">
        <v>47</v>
      </c>
    </row>
    <row r="878" spans="1:43" ht="12.6" customHeight="1" x14ac:dyDescent="0.25">
      <c r="A878" s="8" t="s">
        <v>6383</v>
      </c>
      <c r="B878" s="9">
        <v>20151231</v>
      </c>
      <c r="C878" s="12">
        <f>_xll.FDS("SPX","FG_PRICE(12/30/2015)")</f>
        <v>2063.36</v>
      </c>
      <c r="D878" s="12">
        <f>_xll.FDS("SPX","FG_PRICE(12/30/2017)")</f>
        <v>2673.61</v>
      </c>
      <c r="E878" s="15">
        <f>D878/C878-1</f>
        <v>0.2957554668114144</v>
      </c>
      <c r="F878" s="8" t="s">
        <v>6384</v>
      </c>
      <c r="G878" s="8" t="s">
        <v>6385</v>
      </c>
      <c r="H878" s="13">
        <f>_xll.FDS(G878,"FG_PRICE(12/30/2015)")</f>
        <v>12.83</v>
      </c>
      <c r="I878" s="13" t="e">
        <f>_xll.FDS(G878,"FG_PRICE(12/31/2017)")</f>
        <v>#N/A</v>
      </c>
      <c r="J878" s="13" t="e">
        <f>I878/H878-1</f>
        <v>#N/A</v>
      </c>
      <c r="K878" s="13" t="e">
        <f>J878-E878</f>
        <v>#N/A</v>
      </c>
      <c r="L878" s="13">
        <f>_xll.FDS(G878,"FF_ROE(ANN_R,12/30/2015)")</f>
        <v>4.205693920997871</v>
      </c>
      <c r="M878" s="8" t="s">
        <v>6386</v>
      </c>
      <c r="N878" s="4" t="s">
        <v>6387</v>
      </c>
      <c r="O878" s="4" t="s">
        <v>6388</v>
      </c>
      <c r="P878" s="4" t="s">
        <v>106</v>
      </c>
      <c r="Q878" s="4" t="s">
        <v>66</v>
      </c>
      <c r="R878" s="4" t="s">
        <v>61</v>
      </c>
      <c r="S878" s="4" t="s">
        <v>62</v>
      </c>
      <c r="T878" s="6" t="e">
        <v>#N/A</v>
      </c>
      <c r="U878" s="5">
        <v>50</v>
      </c>
      <c r="V878" s="5">
        <v>40</v>
      </c>
      <c r="W878" s="5">
        <v>47</v>
      </c>
      <c r="X878" s="5">
        <v>70</v>
      </c>
      <c r="Y878" s="5">
        <v>14.2</v>
      </c>
      <c r="Z878" s="6">
        <v>9.4700000000000006</v>
      </c>
      <c r="AA878" s="6">
        <v>7.1</v>
      </c>
      <c r="AB878" s="5">
        <v>73.959999999999994</v>
      </c>
      <c r="AC878" s="6">
        <v>0.4</v>
      </c>
      <c r="AD878" s="6">
        <v>0.35</v>
      </c>
      <c r="AE878" s="6">
        <v>0.25</v>
      </c>
      <c r="AF878" s="4" t="s">
        <v>6296</v>
      </c>
      <c r="AG878" s="4" t="s">
        <v>6296</v>
      </c>
      <c r="AH878" s="4" t="s">
        <v>6296</v>
      </c>
      <c r="AI878" s="4" t="s">
        <v>6296</v>
      </c>
      <c r="AJ878" s="4" t="s">
        <v>6296</v>
      </c>
      <c r="AK878" s="4" t="s">
        <v>6296</v>
      </c>
      <c r="AL878" s="4" t="s">
        <v>6296</v>
      </c>
      <c r="AM878" s="4" t="s">
        <v>37</v>
      </c>
      <c r="AN878" s="4" t="s">
        <v>6296</v>
      </c>
      <c r="AO878" s="4" t="s">
        <v>6296</v>
      </c>
      <c r="AP878" s="4" t="s">
        <v>6389</v>
      </c>
      <c r="AQ878" s="4" t="s">
        <v>47</v>
      </c>
    </row>
    <row r="879" spans="1:43" ht="12.6" customHeight="1" x14ac:dyDescent="0.25">
      <c r="A879" s="8" t="s">
        <v>3297</v>
      </c>
      <c r="B879" s="9">
        <v>20151231</v>
      </c>
      <c r="C879" s="12">
        <f>_xll.FDS("SPX","FG_PRICE(12/30/2015)")</f>
        <v>2063.36</v>
      </c>
      <c r="D879" s="12">
        <f>_xll.FDS("SPX","FG_PRICE(12/30/2017)")</f>
        <v>2673.61</v>
      </c>
      <c r="E879" s="15">
        <f>D879/C879-1</f>
        <v>0.2957554668114144</v>
      </c>
      <c r="F879" s="8" t="s">
        <v>3298</v>
      </c>
      <c r="G879" s="8" t="s">
        <v>3299</v>
      </c>
      <c r="H879" s="13">
        <f>_xll.FDS(G879,"FG_PRICE(12/30/2015)")</f>
        <v>50.41</v>
      </c>
      <c r="I879" s="13">
        <f>_xll.FDS(G879,"FG_PRICE(12/31/2017)")</f>
        <v>64.02</v>
      </c>
      <c r="J879" s="13">
        <f>I879/H879-1</f>
        <v>0.26998611386629645</v>
      </c>
      <c r="K879" s="13">
        <f>J879-E879</f>
        <v>-2.5769352945117951E-2</v>
      </c>
      <c r="L879" s="13">
        <f>_xll.FDS(G879,"FF_ROE(ANN_R,12/30/2015)")</f>
        <v>14.93412664683383</v>
      </c>
      <c r="M879" s="8" t="s">
        <v>3300</v>
      </c>
      <c r="N879" s="4" t="s">
        <v>3300</v>
      </c>
      <c r="O879" s="4" t="s">
        <v>3301</v>
      </c>
      <c r="P879" s="4" t="s">
        <v>106</v>
      </c>
      <c r="Q879" s="4" t="s">
        <v>66</v>
      </c>
      <c r="R879" s="4" t="s">
        <v>61</v>
      </c>
      <c r="S879" s="4" t="s">
        <v>62</v>
      </c>
      <c r="T879" s="6" t="e">
        <v>#N/A</v>
      </c>
      <c r="U879" s="5">
        <v>74</v>
      </c>
      <c r="V879" s="5">
        <v>74</v>
      </c>
      <c r="W879" s="5">
        <v>78</v>
      </c>
      <c r="X879" s="5">
        <v>69</v>
      </c>
      <c r="Y879" s="5">
        <v>82.84</v>
      </c>
      <c r="Z879" s="5">
        <v>72.78</v>
      </c>
      <c r="AA879" s="5">
        <v>91.12</v>
      </c>
      <c r="AB879" s="5">
        <v>67.459999999999994</v>
      </c>
      <c r="AC879" s="6">
        <v>0.4</v>
      </c>
      <c r="AD879" s="6">
        <v>0.35</v>
      </c>
      <c r="AE879" s="6">
        <v>0.25</v>
      </c>
      <c r="AF879" s="4" t="s">
        <v>6296</v>
      </c>
      <c r="AG879" s="4" t="s">
        <v>6296</v>
      </c>
      <c r="AH879" s="4" t="s">
        <v>6296</v>
      </c>
      <c r="AI879" s="4" t="s">
        <v>6296</v>
      </c>
      <c r="AJ879" s="4" t="s">
        <v>6296</v>
      </c>
      <c r="AK879" s="4" t="s">
        <v>46</v>
      </c>
      <c r="AL879" s="4" t="s">
        <v>6296</v>
      </c>
      <c r="AM879" s="4" t="s">
        <v>37</v>
      </c>
      <c r="AN879" s="4" t="s">
        <v>42</v>
      </c>
      <c r="AO879" s="4" t="s">
        <v>6296</v>
      </c>
      <c r="AP879" s="4" t="s">
        <v>3302</v>
      </c>
      <c r="AQ879" s="4" t="s">
        <v>47</v>
      </c>
    </row>
    <row r="880" spans="1:43" ht="12.6" customHeight="1" x14ac:dyDescent="0.25">
      <c r="A880" s="8" t="s">
        <v>6390</v>
      </c>
      <c r="B880" s="9">
        <v>20151231</v>
      </c>
      <c r="C880" s="12">
        <f>_xll.FDS("SPX","FG_PRICE(12/30/2015)")</f>
        <v>2063.36</v>
      </c>
      <c r="D880" s="12">
        <f>_xll.FDS("SPX","FG_PRICE(12/30/2017)")</f>
        <v>2673.61</v>
      </c>
      <c r="E880" s="15">
        <f>D880/C880-1</f>
        <v>0.2957554668114144</v>
      </c>
      <c r="F880" s="8" t="s">
        <v>6391</v>
      </c>
      <c r="G880" s="8" t="s">
        <v>6392</v>
      </c>
      <c r="H880" s="13">
        <f>_xll.FDS(G880,"FG_PRICE(12/30/2015)")</f>
        <v>12.41</v>
      </c>
      <c r="I880" s="13" t="e">
        <f>_xll.FDS(G880,"FG_PRICE(12/31/2017)")</f>
        <v>#N/A</v>
      </c>
      <c r="J880" s="13" t="e">
        <f>I880/H880-1</f>
        <v>#N/A</v>
      </c>
      <c r="K880" s="13" t="e">
        <f>J880-E880</f>
        <v>#N/A</v>
      </c>
      <c r="L880" s="13">
        <f>_xll.FDS(G880,"FF_ROE(ANN_R,12/30/2015)")</f>
        <v>7.0246493784546704</v>
      </c>
      <c r="M880" s="8" t="s">
        <v>6393</v>
      </c>
      <c r="N880" s="4" t="s">
        <v>4530</v>
      </c>
      <c r="O880" s="4" t="s">
        <v>6394</v>
      </c>
      <c r="P880" s="4" t="s">
        <v>106</v>
      </c>
      <c r="Q880" s="4" t="s">
        <v>66</v>
      </c>
      <c r="R880" s="4" t="s">
        <v>61</v>
      </c>
      <c r="S880" s="4" t="s">
        <v>62</v>
      </c>
      <c r="T880" s="6" t="e">
        <v>#N/A</v>
      </c>
      <c r="U880" s="5">
        <v>59</v>
      </c>
      <c r="V880" s="5">
        <v>54</v>
      </c>
      <c r="W880" s="5">
        <v>61</v>
      </c>
      <c r="X880" s="5">
        <v>64</v>
      </c>
      <c r="Y880" s="5">
        <v>41.42</v>
      </c>
      <c r="Z880" s="5">
        <v>37.869999999999997</v>
      </c>
      <c r="AA880" s="5">
        <v>55.03</v>
      </c>
      <c r="AB880" s="5">
        <v>47.34</v>
      </c>
      <c r="AC880" s="6">
        <v>0.4</v>
      </c>
      <c r="AD880" s="6">
        <v>0.35</v>
      </c>
      <c r="AE880" s="6">
        <v>0.25</v>
      </c>
      <c r="AF880" s="4" t="s">
        <v>6296</v>
      </c>
      <c r="AG880" s="4" t="s">
        <v>6296</v>
      </c>
      <c r="AH880" s="4" t="s">
        <v>6296</v>
      </c>
      <c r="AI880" s="4" t="s">
        <v>6296</v>
      </c>
      <c r="AJ880" s="4" t="s">
        <v>6296</v>
      </c>
      <c r="AK880" s="4" t="s">
        <v>6296</v>
      </c>
      <c r="AL880" s="4" t="s">
        <v>6296</v>
      </c>
      <c r="AM880" s="4" t="s">
        <v>6296</v>
      </c>
      <c r="AN880" s="4" t="s">
        <v>42</v>
      </c>
      <c r="AO880" s="4" t="s">
        <v>6296</v>
      </c>
      <c r="AP880" s="4" t="s">
        <v>6395</v>
      </c>
      <c r="AQ880" s="4" t="s">
        <v>47</v>
      </c>
    </row>
    <row r="881" spans="1:43" ht="12.6" customHeight="1" x14ac:dyDescent="0.25">
      <c r="A881" s="8" t="s">
        <v>5634</v>
      </c>
      <c r="B881" s="9">
        <v>20151231</v>
      </c>
      <c r="C881" s="12">
        <f>_xll.FDS("SPX","FG_PRICE(12/30/2015)")</f>
        <v>2063.36</v>
      </c>
      <c r="D881" s="12">
        <f>_xll.FDS("SPX","FG_PRICE(12/30/2017)")</f>
        <v>2673.61</v>
      </c>
      <c r="E881" s="15">
        <f>D881/C881-1</f>
        <v>0.2957554668114144</v>
      </c>
      <c r="F881" s="8" t="s">
        <v>5635</v>
      </c>
      <c r="G881" s="8" t="s">
        <v>5636</v>
      </c>
      <c r="H881" s="13">
        <f>_xll.FDS(G881,"FG_PRICE(12/30/2015)")</f>
        <v>21.12</v>
      </c>
      <c r="I881" s="13">
        <f>_xll.FDS(G881,"FG_PRICE(12/31/2017)")</f>
        <v>33</v>
      </c>
      <c r="J881" s="13">
        <f>I881/H881-1</f>
        <v>0.5625</v>
      </c>
      <c r="K881" s="13">
        <f>J881-E881</f>
        <v>0.2667445331885856</v>
      </c>
      <c r="L881" s="13">
        <f>_xll.FDS(G881,"FF_ROE(ANN_R,12/30/2015)")</f>
        <v>27.266367112769249</v>
      </c>
      <c r="M881" s="8" t="s">
        <v>5637</v>
      </c>
      <c r="N881" s="4" t="s">
        <v>5638</v>
      </c>
      <c r="O881" s="4" t="s">
        <v>5639</v>
      </c>
      <c r="P881" s="4" t="s">
        <v>106</v>
      </c>
      <c r="Q881" s="4" t="s">
        <v>66</v>
      </c>
      <c r="R881" s="4" t="s">
        <v>61</v>
      </c>
      <c r="S881" s="4" t="s">
        <v>62</v>
      </c>
      <c r="T881" s="6" t="e">
        <v>#N/A</v>
      </c>
      <c r="U881" s="5">
        <v>54</v>
      </c>
      <c r="V881" s="5">
        <v>45</v>
      </c>
      <c r="W881" s="5">
        <v>56</v>
      </c>
      <c r="X881" s="5">
        <v>64</v>
      </c>
      <c r="Y881" s="5">
        <v>26.04</v>
      </c>
      <c r="Z881" s="5">
        <v>20.71</v>
      </c>
      <c r="AA881" s="5">
        <v>37.28</v>
      </c>
      <c r="AB881" s="5">
        <v>47.34</v>
      </c>
      <c r="AC881" s="6">
        <v>0.4</v>
      </c>
      <c r="AD881" s="6">
        <v>0.35</v>
      </c>
      <c r="AE881" s="6">
        <v>0.25</v>
      </c>
      <c r="AF881" s="4" t="s">
        <v>6296</v>
      </c>
      <c r="AG881" s="4" t="s">
        <v>6296</v>
      </c>
      <c r="AH881" s="4" t="s">
        <v>6296</v>
      </c>
      <c r="AI881" s="4" t="s">
        <v>6296</v>
      </c>
      <c r="AJ881" s="4" t="s">
        <v>6296</v>
      </c>
      <c r="AK881" s="4" t="s">
        <v>6296</v>
      </c>
      <c r="AL881" s="4" t="s">
        <v>6296</v>
      </c>
      <c r="AM881" s="4" t="s">
        <v>6296</v>
      </c>
      <c r="AN881" s="4" t="s">
        <v>6296</v>
      </c>
      <c r="AO881" s="4" t="s">
        <v>6296</v>
      </c>
      <c r="AP881" s="4" t="s">
        <v>5640</v>
      </c>
      <c r="AQ881" s="4" t="s">
        <v>47</v>
      </c>
    </row>
    <row r="882" spans="1:43" ht="12.6" customHeight="1" x14ac:dyDescent="0.25">
      <c r="A882" s="8" t="s">
        <v>4983</v>
      </c>
      <c r="B882" s="9">
        <v>20151231</v>
      </c>
      <c r="C882" s="12">
        <f>_xll.FDS("SPX","FG_PRICE(12/30/2015)")</f>
        <v>2063.36</v>
      </c>
      <c r="D882" s="12">
        <f>_xll.FDS("SPX","FG_PRICE(12/30/2017)")</f>
        <v>2673.61</v>
      </c>
      <c r="E882" s="15">
        <f>D882/C882-1</f>
        <v>0.2957554668114144</v>
      </c>
      <c r="F882" s="8" t="s">
        <v>4984</v>
      </c>
      <c r="G882" s="8" t="s">
        <v>4985</v>
      </c>
      <c r="H882" s="13">
        <f>_xll.FDS(G882,"FG_PRICE(12/30/2015)")</f>
        <v>38.369999999999997</v>
      </c>
      <c r="I882" s="13">
        <f>_xll.FDS(G882,"FG_PRICE(12/31/2017)")</f>
        <v>59.9</v>
      </c>
      <c r="J882" s="13">
        <f>I882/H882-1</f>
        <v>0.56111545478238223</v>
      </c>
      <c r="K882" s="13">
        <f>J882-E882</f>
        <v>0.26535998797096783</v>
      </c>
      <c r="L882" s="13">
        <f>_xll.FDS(G882,"FF_ROE(ANN_R,12/30/2015)")</f>
        <v>4.5292390028765119</v>
      </c>
      <c r="M882" s="8" t="s">
        <v>4986</v>
      </c>
      <c r="N882" s="4" t="s">
        <v>4987</v>
      </c>
      <c r="O882" s="4" t="s">
        <v>4988</v>
      </c>
      <c r="P882" s="4" t="s">
        <v>106</v>
      </c>
      <c r="Q882" s="4" t="s">
        <v>66</v>
      </c>
      <c r="R882" s="4" t="s">
        <v>61</v>
      </c>
      <c r="S882" s="4" t="s">
        <v>62</v>
      </c>
      <c r="T882" s="6" t="e">
        <v>#N/A</v>
      </c>
      <c r="U882" s="5">
        <v>43</v>
      </c>
      <c r="V882" s="5">
        <v>38</v>
      </c>
      <c r="W882" s="5">
        <v>41</v>
      </c>
      <c r="X882" s="5">
        <v>53</v>
      </c>
      <c r="Y882" s="6">
        <v>2.96</v>
      </c>
      <c r="Z882" s="6">
        <v>7.69</v>
      </c>
      <c r="AA882" s="6">
        <v>0.59</v>
      </c>
      <c r="AB882" s="5">
        <v>11.83</v>
      </c>
      <c r="AC882" s="6">
        <v>0.4</v>
      </c>
      <c r="AD882" s="6">
        <v>0.35</v>
      </c>
      <c r="AE882" s="6">
        <v>0.25</v>
      </c>
      <c r="AF882" s="4" t="s">
        <v>6296</v>
      </c>
      <c r="AG882" s="4" t="s">
        <v>6296</v>
      </c>
      <c r="AH882" s="4" t="s">
        <v>6296</v>
      </c>
      <c r="AI882" s="4" t="s">
        <v>6296</v>
      </c>
      <c r="AJ882" s="4" t="s">
        <v>6296</v>
      </c>
      <c r="AK882" s="4" t="s">
        <v>6296</v>
      </c>
      <c r="AL882" s="4" t="s">
        <v>6296</v>
      </c>
      <c r="AM882" s="4" t="s">
        <v>6296</v>
      </c>
      <c r="AN882" s="4" t="s">
        <v>6296</v>
      </c>
      <c r="AO882" s="4" t="s">
        <v>6296</v>
      </c>
      <c r="AP882" s="4" t="s">
        <v>4989</v>
      </c>
      <c r="AQ882" s="4" t="s">
        <v>47</v>
      </c>
    </row>
    <row r="883" spans="1:43" ht="12.6" customHeight="1" x14ac:dyDescent="0.25">
      <c r="A883" s="8" t="s">
        <v>3501</v>
      </c>
      <c r="B883" s="9">
        <v>20151231</v>
      </c>
      <c r="C883" s="12">
        <f>_xll.FDS("SPX","FG_PRICE(12/30/2015)")</f>
        <v>2063.36</v>
      </c>
      <c r="D883" s="12">
        <f>_xll.FDS("SPX","FG_PRICE(12/30/2017)")</f>
        <v>2673.61</v>
      </c>
      <c r="E883" s="15">
        <f>D883/C883-1</f>
        <v>0.2957554668114144</v>
      </c>
      <c r="F883" s="8" t="s">
        <v>3502</v>
      </c>
      <c r="G883" s="8" t="s">
        <v>3503</v>
      </c>
      <c r="H883" s="13">
        <f>_xll.FDS(G883,"FG_PRICE(12/30/2015)")</f>
        <v>76.069999999999993</v>
      </c>
      <c r="I883" s="13" t="e">
        <f>_xll.FDS(G883,"FG_PRICE(12/31/2017)")</f>
        <v>#N/A</v>
      </c>
      <c r="J883" s="13" t="e">
        <f>I883/H883-1</f>
        <v>#N/A</v>
      </c>
      <c r="K883" s="13" t="e">
        <f>J883-E883</f>
        <v>#N/A</v>
      </c>
      <c r="L883" s="13">
        <f>_xll.FDS(G883,"FF_ROE(ANN_R,12/30/2015)")</f>
        <v>14.929625825739629</v>
      </c>
      <c r="M883" s="8" t="s">
        <v>3504</v>
      </c>
      <c r="N883" s="4" t="s">
        <v>3505</v>
      </c>
      <c r="O883" s="4" t="s">
        <v>47</v>
      </c>
      <c r="P883" s="4" t="s">
        <v>106</v>
      </c>
      <c r="Q883" s="4" t="s">
        <v>66</v>
      </c>
      <c r="R883" s="4" t="s">
        <v>61</v>
      </c>
      <c r="S883" s="4" t="s">
        <v>62</v>
      </c>
      <c r="T883" s="6" t="e">
        <v>#N/A</v>
      </c>
      <c r="U883" s="5">
        <v>75</v>
      </c>
      <c r="V883" s="5">
        <v>75</v>
      </c>
      <c r="W883" s="5">
        <v>80</v>
      </c>
      <c r="X883" s="5">
        <v>67</v>
      </c>
      <c r="Y883" s="5">
        <v>84.62</v>
      </c>
      <c r="Z883" s="5">
        <v>75.150000000000006</v>
      </c>
      <c r="AA883" s="5">
        <v>95.27</v>
      </c>
      <c r="AB883" s="5">
        <v>57.4</v>
      </c>
      <c r="AC883" s="6">
        <v>0.4</v>
      </c>
      <c r="AD883" s="6">
        <v>0.35</v>
      </c>
      <c r="AE883" s="6">
        <v>0.25</v>
      </c>
      <c r="AF883" s="4" t="s">
        <v>6296</v>
      </c>
      <c r="AG883" s="4" t="s">
        <v>6296</v>
      </c>
      <c r="AH883" s="4" t="s">
        <v>6296</v>
      </c>
      <c r="AI883" s="4" t="s">
        <v>6296</v>
      </c>
      <c r="AJ883" s="4" t="s">
        <v>6296</v>
      </c>
      <c r="AK883" s="4" t="s">
        <v>42</v>
      </c>
      <c r="AL883" s="4" t="s">
        <v>6296</v>
      </c>
      <c r="AM883" s="4" t="s">
        <v>42</v>
      </c>
      <c r="AN883" s="4" t="s">
        <v>6296</v>
      </c>
      <c r="AO883" s="4" t="s">
        <v>6296</v>
      </c>
      <c r="AP883" s="4" t="s">
        <v>3506</v>
      </c>
      <c r="AQ883" s="4" t="s">
        <v>47</v>
      </c>
    </row>
    <row r="884" spans="1:43" ht="12.6" customHeight="1" x14ac:dyDescent="0.25">
      <c r="A884" s="8" t="s">
        <v>3946</v>
      </c>
      <c r="B884" s="9">
        <v>20151231</v>
      </c>
      <c r="C884" s="12">
        <f>_xll.FDS("SPX","FG_PRICE(12/30/2015)")</f>
        <v>2063.36</v>
      </c>
      <c r="D884" s="12">
        <f>_xll.FDS("SPX","FG_PRICE(12/30/2017)")</f>
        <v>2673.61</v>
      </c>
      <c r="E884" s="15">
        <f>D884/C884-1</f>
        <v>0.2957554668114144</v>
      </c>
      <c r="F884" s="8" t="s">
        <v>3947</v>
      </c>
      <c r="G884" s="8" t="s">
        <v>3948</v>
      </c>
      <c r="H884" s="13">
        <f>_xll.FDS(G884,"FG_PRICE(12/30/2015)")</f>
        <v>67.83</v>
      </c>
      <c r="I884" s="13">
        <f>_xll.FDS(G884,"FG_PRICE(12/31/2017)")</f>
        <v>97.97</v>
      </c>
      <c r="J884" s="13">
        <f>I884/H884-1</f>
        <v>0.44434615951643819</v>
      </c>
      <c r="K884" s="13">
        <f>J884-E884</f>
        <v>0.14859069270502379</v>
      </c>
      <c r="L884" s="13">
        <f>_xll.FDS(G884,"FF_ROE(ANN_R,12/30/2015)")</f>
        <v>8.631811634802208</v>
      </c>
      <c r="M884" s="8" t="s">
        <v>3949</v>
      </c>
      <c r="N884" s="4" t="s">
        <v>3949</v>
      </c>
      <c r="O884" s="4" t="s">
        <v>3950</v>
      </c>
      <c r="P884" s="4" t="s">
        <v>106</v>
      </c>
      <c r="Q884" s="4" t="s">
        <v>66</v>
      </c>
      <c r="R884" s="4" t="s">
        <v>61</v>
      </c>
      <c r="S884" s="4" t="s">
        <v>62</v>
      </c>
      <c r="T884" s="6" t="e">
        <v>#N/A</v>
      </c>
      <c r="U884" s="5">
        <v>50</v>
      </c>
      <c r="V884" s="5">
        <v>35</v>
      </c>
      <c r="W884" s="5">
        <v>47</v>
      </c>
      <c r="X884" s="5">
        <v>77</v>
      </c>
      <c r="Y884" s="5">
        <v>14.2</v>
      </c>
      <c r="Z884" s="6">
        <v>1.78</v>
      </c>
      <c r="AA884" s="6">
        <v>7.1</v>
      </c>
      <c r="AB884" s="5">
        <v>92.31</v>
      </c>
      <c r="AC884" s="6">
        <v>0.4</v>
      </c>
      <c r="AD884" s="6">
        <v>0.35</v>
      </c>
      <c r="AE884" s="6">
        <v>0.25</v>
      </c>
      <c r="AF884" s="4" t="s">
        <v>6296</v>
      </c>
      <c r="AG884" s="4" t="s">
        <v>6296</v>
      </c>
      <c r="AH884" s="4" t="s">
        <v>6296</v>
      </c>
      <c r="AI884" s="4" t="s">
        <v>6296</v>
      </c>
      <c r="AJ884" s="4" t="s">
        <v>6296</v>
      </c>
      <c r="AK884" s="4" t="s">
        <v>6296</v>
      </c>
      <c r="AL884" s="4" t="s">
        <v>6296</v>
      </c>
      <c r="AM884" s="4" t="s">
        <v>6296</v>
      </c>
      <c r="AN884" s="4" t="s">
        <v>6296</v>
      </c>
      <c r="AO884" s="4" t="s">
        <v>6296</v>
      </c>
      <c r="AP884" s="4" t="s">
        <v>3951</v>
      </c>
      <c r="AQ884" s="4" t="s">
        <v>47</v>
      </c>
    </row>
    <row r="885" spans="1:43" ht="12.6" customHeight="1" x14ac:dyDescent="0.25">
      <c r="A885" s="8" t="s">
        <v>4095</v>
      </c>
      <c r="B885" s="9">
        <v>20151231</v>
      </c>
      <c r="C885" s="12">
        <f>_xll.FDS("SPX","FG_PRICE(12/30/2015)")</f>
        <v>2063.36</v>
      </c>
      <c r="D885" s="12">
        <f>_xll.FDS("SPX","FG_PRICE(12/30/2017)")</f>
        <v>2673.61</v>
      </c>
      <c r="E885" s="15">
        <f>D885/C885-1</f>
        <v>0.2957554668114144</v>
      </c>
      <c r="F885" s="8" t="s">
        <v>4096</v>
      </c>
      <c r="G885" s="8" t="s">
        <v>4097</v>
      </c>
      <c r="H885" s="13">
        <f>_xll.FDS(G885,"FG_PRICE(12/30/2015)")</f>
        <v>21.71</v>
      </c>
      <c r="I885" s="13">
        <f>_xll.FDS(G885,"FG_PRICE(12/31/2017)")</f>
        <v>40.64</v>
      </c>
      <c r="J885" s="13">
        <f>I885/H885-1</f>
        <v>0.8719484108705664</v>
      </c>
      <c r="K885" s="13">
        <f>J885-E885</f>
        <v>0.576192944059152</v>
      </c>
      <c r="L885" s="13">
        <f>_xll.FDS(G885,"FF_ROE(ANN_R,12/30/2015)")</f>
        <v>9.3543792814203837</v>
      </c>
      <c r="M885" s="8" t="s">
        <v>4098</v>
      </c>
      <c r="N885" s="4" t="s">
        <v>4098</v>
      </c>
      <c r="O885" s="4" t="s">
        <v>4099</v>
      </c>
      <c r="P885" s="4" t="s">
        <v>106</v>
      </c>
      <c r="Q885" s="4" t="s">
        <v>66</v>
      </c>
      <c r="R885" s="4" t="s">
        <v>61</v>
      </c>
      <c r="S885" s="4" t="s">
        <v>62</v>
      </c>
      <c r="T885" s="6" t="e">
        <v>#N/A</v>
      </c>
      <c r="U885" s="5">
        <v>51</v>
      </c>
      <c r="V885" s="5">
        <v>43</v>
      </c>
      <c r="W885" s="5">
        <v>55</v>
      </c>
      <c r="X885" s="5">
        <v>59</v>
      </c>
      <c r="Y885" s="5">
        <v>15.38</v>
      </c>
      <c r="Z885" s="5">
        <v>17.75</v>
      </c>
      <c r="AA885" s="5">
        <v>33.729999999999997</v>
      </c>
      <c r="AB885" s="5">
        <v>30.18</v>
      </c>
      <c r="AC885" s="6">
        <v>0.4</v>
      </c>
      <c r="AD885" s="6">
        <v>0.35</v>
      </c>
      <c r="AE885" s="6">
        <v>0.25</v>
      </c>
      <c r="AF885" s="4" t="s">
        <v>6296</v>
      </c>
      <c r="AG885" s="4" t="s">
        <v>6296</v>
      </c>
      <c r="AH885" s="4" t="s">
        <v>6296</v>
      </c>
      <c r="AI885" s="4" t="s">
        <v>6296</v>
      </c>
      <c r="AJ885" s="4" t="s">
        <v>6296</v>
      </c>
      <c r="AK885" s="4" t="s">
        <v>6296</v>
      </c>
      <c r="AL885" s="4" t="s">
        <v>6296</v>
      </c>
      <c r="AM885" s="4" t="s">
        <v>6296</v>
      </c>
      <c r="AN885" s="4" t="s">
        <v>6296</v>
      </c>
      <c r="AO885" s="4" t="s">
        <v>6296</v>
      </c>
      <c r="AP885" s="4" t="s">
        <v>4100</v>
      </c>
      <c r="AQ885" s="4" t="s">
        <v>47</v>
      </c>
    </row>
    <row r="886" spans="1:43" ht="12.6" customHeight="1" x14ac:dyDescent="0.25">
      <c r="A886" s="8" t="s">
        <v>6212</v>
      </c>
      <c r="B886" s="9">
        <v>20151231</v>
      </c>
      <c r="C886" s="12">
        <f>_xll.FDS("SPX","FG_PRICE(12/30/2015)")</f>
        <v>2063.36</v>
      </c>
      <c r="D886" s="12">
        <f>_xll.FDS("SPX","FG_PRICE(12/30/2017)")</f>
        <v>2673.61</v>
      </c>
      <c r="E886" s="15">
        <f>D886/C886-1</f>
        <v>0.2957554668114144</v>
      </c>
      <c r="F886" s="8" t="s">
        <v>6213</v>
      </c>
      <c r="G886" s="8" t="s">
        <v>6214</v>
      </c>
      <c r="H886" s="13">
        <f>_xll.FDS(G886,"FG_PRICE(12/30/2015)")</f>
        <v>6.09</v>
      </c>
      <c r="I886" s="13">
        <f>_xll.FDS(G886,"FG_PRICE(12/31/2017)")</f>
        <v>8.74</v>
      </c>
      <c r="J886" s="13">
        <f>I886/H886-1</f>
        <v>0.43513957307060758</v>
      </c>
      <c r="K886" s="13">
        <f>J886-E886</f>
        <v>0.13938410625919317</v>
      </c>
      <c r="L886" s="13">
        <f>_xll.FDS(G886,"FF_ROE(ANN_R,12/30/2015)")</f>
        <v>-11.480494517495959</v>
      </c>
      <c r="M886" s="8" t="s">
        <v>6215</v>
      </c>
      <c r="N886" s="4" t="s">
        <v>6215</v>
      </c>
      <c r="O886" s="4" t="s">
        <v>6216</v>
      </c>
      <c r="P886" s="4" t="s">
        <v>106</v>
      </c>
      <c r="Q886" s="4" t="s">
        <v>66</v>
      </c>
      <c r="R886" s="4" t="s">
        <v>61</v>
      </c>
      <c r="S886" s="4" t="s">
        <v>62</v>
      </c>
      <c r="T886" s="6" t="e">
        <v>#N/A</v>
      </c>
      <c r="U886" s="5">
        <v>57</v>
      </c>
      <c r="V886" s="5">
        <v>57</v>
      </c>
      <c r="W886" s="5">
        <v>48</v>
      </c>
      <c r="X886" s="5">
        <v>69</v>
      </c>
      <c r="Y886" s="5">
        <v>35.5</v>
      </c>
      <c r="Z886" s="5">
        <v>40.83</v>
      </c>
      <c r="AA886" s="5">
        <v>11.83</v>
      </c>
      <c r="AB886" s="5">
        <v>67.459999999999994</v>
      </c>
      <c r="AC886" s="6">
        <v>0.4</v>
      </c>
      <c r="AD886" s="6">
        <v>0.35</v>
      </c>
      <c r="AE886" s="6">
        <v>0.25</v>
      </c>
      <c r="AF886" s="4" t="s">
        <v>6296</v>
      </c>
      <c r="AG886" s="4" t="s">
        <v>6296</v>
      </c>
      <c r="AH886" s="4" t="s">
        <v>6296</v>
      </c>
      <c r="AI886" s="4" t="s">
        <v>6296</v>
      </c>
      <c r="AJ886" s="4" t="s">
        <v>6296</v>
      </c>
      <c r="AK886" s="4" t="s">
        <v>6296</v>
      </c>
      <c r="AL886" s="4" t="s">
        <v>6296</v>
      </c>
      <c r="AM886" s="4" t="s">
        <v>6296</v>
      </c>
      <c r="AN886" s="4" t="s">
        <v>6296</v>
      </c>
      <c r="AO886" s="4" t="s">
        <v>6296</v>
      </c>
      <c r="AP886" s="4" t="s">
        <v>6217</v>
      </c>
      <c r="AQ886" s="4" t="s">
        <v>47</v>
      </c>
    </row>
    <row r="887" spans="1:43" ht="12.6" customHeight="1" x14ac:dyDescent="0.25">
      <c r="A887" s="8" t="s">
        <v>4218</v>
      </c>
      <c r="B887" s="9">
        <v>20151231</v>
      </c>
      <c r="C887" s="12">
        <f>_xll.FDS("SPX","FG_PRICE(12/30/2015)")</f>
        <v>2063.36</v>
      </c>
      <c r="D887" s="12">
        <f>_xll.FDS("SPX","FG_PRICE(12/30/2017)")</f>
        <v>2673.61</v>
      </c>
      <c r="E887" s="15">
        <f>D887/C887-1</f>
        <v>0.2957554668114144</v>
      </c>
      <c r="F887" s="8" t="s">
        <v>4219</v>
      </c>
      <c r="G887" s="8" t="s">
        <v>4220</v>
      </c>
      <c r="H887" s="13">
        <f>_xll.FDS(G887,"FG_PRICE(12/30/2015)")</f>
        <v>12.19</v>
      </c>
      <c r="I887" s="13">
        <f>_xll.FDS(G887,"FG_PRICE(12/31/2017)")</f>
        <v>20.75</v>
      </c>
      <c r="J887" s="13">
        <f>I887/H887-1</f>
        <v>0.70221493027071369</v>
      </c>
      <c r="K887" s="13">
        <f>J887-E887</f>
        <v>0.40645946345929929</v>
      </c>
      <c r="L887" s="13">
        <f>_xll.FDS(G887,"FF_ROE(ANN_R,12/30/2015)")</f>
        <v>6.3615532424295349</v>
      </c>
      <c r="M887" s="8" t="s">
        <v>4221</v>
      </c>
      <c r="N887" s="4" t="s">
        <v>4222</v>
      </c>
      <c r="O887" s="4" t="s">
        <v>4223</v>
      </c>
      <c r="P887" s="4" t="s">
        <v>96</v>
      </c>
      <c r="Q887" s="4" t="s">
        <v>66</v>
      </c>
      <c r="R887" s="4" t="s">
        <v>61</v>
      </c>
      <c r="S887" s="4" t="s">
        <v>62</v>
      </c>
      <c r="T887" s="6" t="e">
        <v>#N/A</v>
      </c>
      <c r="U887" s="5">
        <v>57</v>
      </c>
      <c r="V887" s="5">
        <v>44</v>
      </c>
      <c r="W887" s="5">
        <v>65</v>
      </c>
      <c r="X887" s="5">
        <v>67</v>
      </c>
      <c r="Y887" s="5">
        <v>35.5</v>
      </c>
      <c r="Z887" s="5">
        <v>19.53</v>
      </c>
      <c r="AA887" s="5">
        <v>62.72</v>
      </c>
      <c r="AB887" s="5">
        <v>57.4</v>
      </c>
      <c r="AC887" s="6">
        <v>0.4</v>
      </c>
      <c r="AD887" s="6">
        <v>0.35</v>
      </c>
      <c r="AE887" s="6">
        <v>0.25</v>
      </c>
      <c r="AF887" s="4" t="s">
        <v>6296</v>
      </c>
      <c r="AG887" s="4" t="s">
        <v>6296</v>
      </c>
      <c r="AH887" s="4" t="s">
        <v>6296</v>
      </c>
      <c r="AI887" s="4" t="s">
        <v>6296</v>
      </c>
      <c r="AJ887" s="4" t="s">
        <v>6296</v>
      </c>
      <c r="AK887" s="4" t="s">
        <v>6296</v>
      </c>
      <c r="AL887" s="4" t="s">
        <v>6296</v>
      </c>
      <c r="AM887" s="4" t="s">
        <v>6296</v>
      </c>
      <c r="AN887" s="4" t="s">
        <v>6296</v>
      </c>
      <c r="AO887" s="4" t="s">
        <v>6296</v>
      </c>
      <c r="AP887" s="4" t="s">
        <v>4224</v>
      </c>
      <c r="AQ887" s="4" t="s">
        <v>47</v>
      </c>
    </row>
    <row r="888" spans="1:43" ht="12.6" customHeight="1" x14ac:dyDescent="0.25">
      <c r="A888" s="8" t="s">
        <v>4321</v>
      </c>
      <c r="B888" s="9">
        <v>20151231</v>
      </c>
      <c r="C888" s="12">
        <f>_xll.FDS("SPX","FG_PRICE(12/30/2015)")</f>
        <v>2063.36</v>
      </c>
      <c r="D888" s="12">
        <f>_xll.FDS("SPX","FG_PRICE(12/30/2017)")</f>
        <v>2673.61</v>
      </c>
      <c r="E888" s="15">
        <f>D888/C888-1</f>
        <v>0.2957554668114144</v>
      </c>
      <c r="F888" s="8" t="s">
        <v>4322</v>
      </c>
      <c r="G888" s="8" t="s">
        <v>4323</v>
      </c>
      <c r="H888" s="13">
        <f>_xll.FDS(G888,"FG_PRICE(12/30/2015)")</f>
        <v>61.09</v>
      </c>
      <c r="I888" s="13">
        <f>_xll.FDS(G888,"FG_PRICE(12/31/2017)")</f>
        <v>79.53</v>
      </c>
      <c r="J888" s="13">
        <f>I888/H888-1</f>
        <v>0.3018497299066949</v>
      </c>
      <c r="K888" s="13">
        <f>J888-E888</f>
        <v>6.0942630952804944E-3</v>
      </c>
      <c r="L888" s="13">
        <f>_xll.FDS(G888,"FF_ROE(ANN_R,12/30/2015)")</f>
        <v>16.222800509384861</v>
      </c>
      <c r="M888" s="8" t="s">
        <v>4324</v>
      </c>
      <c r="N888" s="4" t="s">
        <v>4324</v>
      </c>
      <c r="O888" s="4" t="s">
        <v>4325</v>
      </c>
      <c r="P888" s="4" t="s">
        <v>106</v>
      </c>
      <c r="Q888" s="4" t="s">
        <v>66</v>
      </c>
      <c r="R888" s="4" t="s">
        <v>61</v>
      </c>
      <c r="S888" s="4" t="s">
        <v>62</v>
      </c>
      <c r="T888" s="6" t="e">
        <v>#N/A</v>
      </c>
      <c r="U888" s="5">
        <v>67</v>
      </c>
      <c r="V888" s="5">
        <v>65</v>
      </c>
      <c r="W888" s="5">
        <v>65</v>
      </c>
      <c r="X888" s="5">
        <v>73</v>
      </c>
      <c r="Y888" s="5">
        <v>66.86</v>
      </c>
      <c r="Z888" s="5">
        <v>52.66</v>
      </c>
      <c r="AA888" s="5">
        <v>62.72</v>
      </c>
      <c r="AB888" s="5">
        <v>84.02</v>
      </c>
      <c r="AC888" s="6">
        <v>0.4</v>
      </c>
      <c r="AD888" s="6">
        <v>0.35</v>
      </c>
      <c r="AE888" s="6">
        <v>0.25</v>
      </c>
      <c r="AF888" s="4" t="s">
        <v>6296</v>
      </c>
      <c r="AG888" s="4" t="s">
        <v>6296</v>
      </c>
      <c r="AH888" s="4" t="s">
        <v>6296</v>
      </c>
      <c r="AI888" s="4" t="s">
        <v>6296</v>
      </c>
      <c r="AJ888" s="4" t="s">
        <v>6296</v>
      </c>
      <c r="AK888" s="4" t="s">
        <v>6296</v>
      </c>
      <c r="AL888" s="4" t="s">
        <v>6296</v>
      </c>
      <c r="AM888" s="4" t="s">
        <v>42</v>
      </c>
      <c r="AN888" s="4" t="s">
        <v>6296</v>
      </c>
      <c r="AO888" s="4" t="s">
        <v>6296</v>
      </c>
      <c r="AP888" s="4" t="s">
        <v>4326</v>
      </c>
      <c r="AQ888" s="4" t="s">
        <v>47</v>
      </c>
    </row>
    <row r="889" spans="1:43" ht="12.6" customHeight="1" x14ac:dyDescent="0.25">
      <c r="A889" s="8" t="s">
        <v>4475</v>
      </c>
      <c r="B889" s="9">
        <v>20151231</v>
      </c>
      <c r="C889" s="12">
        <f>_xll.FDS("SPX","FG_PRICE(12/30/2015)")</f>
        <v>2063.36</v>
      </c>
      <c r="D889" s="12">
        <f>_xll.FDS("SPX","FG_PRICE(12/30/2017)")</f>
        <v>2673.61</v>
      </c>
      <c r="E889" s="15">
        <f>D889/C889-1</f>
        <v>0.2957554668114144</v>
      </c>
      <c r="F889" s="8" t="s">
        <v>4476</v>
      </c>
      <c r="G889" s="8" t="s">
        <v>4477</v>
      </c>
      <c r="H889" s="13">
        <f>_xll.FDS(G889,"FG_PRICE(12/30/2015)")</f>
        <v>69.45</v>
      </c>
      <c r="I889" s="13">
        <f>_xll.FDS(G889,"FG_PRICE(12/31/2017)")</f>
        <v>103.8</v>
      </c>
      <c r="J889" s="13">
        <f>I889/H889-1</f>
        <v>0.49460043196544268</v>
      </c>
      <c r="K889" s="13">
        <f>J889-E889</f>
        <v>0.19884496515402827</v>
      </c>
      <c r="L889" s="13">
        <f>_xll.FDS(G889,"FF_ROE(ANN_R,12/30/2015)")</f>
        <v>3.245226827635415</v>
      </c>
      <c r="M889" s="8" t="s">
        <v>4478</v>
      </c>
      <c r="N889" s="4" t="s">
        <v>4479</v>
      </c>
      <c r="O889" s="4" t="s">
        <v>4480</v>
      </c>
      <c r="P889" s="4" t="s">
        <v>106</v>
      </c>
      <c r="Q889" s="4" t="s">
        <v>66</v>
      </c>
      <c r="R889" s="4" t="s">
        <v>61</v>
      </c>
      <c r="S889" s="4" t="s">
        <v>62</v>
      </c>
      <c r="T889" s="6" t="e">
        <v>#N/A</v>
      </c>
      <c r="U889" s="5">
        <v>53</v>
      </c>
      <c r="V889" s="5">
        <v>38</v>
      </c>
      <c r="W889" s="5">
        <v>54</v>
      </c>
      <c r="X889" s="5">
        <v>75</v>
      </c>
      <c r="Y889" s="5">
        <v>22.49</v>
      </c>
      <c r="Z889" s="6">
        <v>7.69</v>
      </c>
      <c r="AA889" s="5">
        <v>28.99</v>
      </c>
      <c r="AB889" s="5">
        <v>89.35</v>
      </c>
      <c r="AC889" s="6">
        <v>0.4</v>
      </c>
      <c r="AD889" s="6">
        <v>0.35</v>
      </c>
      <c r="AE889" s="6">
        <v>0.25</v>
      </c>
      <c r="AF889" s="4" t="s">
        <v>6296</v>
      </c>
      <c r="AG889" s="4" t="s">
        <v>6296</v>
      </c>
      <c r="AH889" s="4" t="s">
        <v>6296</v>
      </c>
      <c r="AI889" s="4" t="s">
        <v>6296</v>
      </c>
      <c r="AJ889" s="4" t="s">
        <v>6296</v>
      </c>
      <c r="AK889" s="4" t="s">
        <v>6296</v>
      </c>
      <c r="AL889" s="4" t="s">
        <v>6296</v>
      </c>
      <c r="AM889" s="4" t="s">
        <v>6296</v>
      </c>
      <c r="AN889" s="4" t="s">
        <v>6296</v>
      </c>
      <c r="AO889" s="4" t="s">
        <v>6296</v>
      </c>
      <c r="AP889" s="4" t="s">
        <v>4481</v>
      </c>
      <c r="AQ889" s="4" t="s">
        <v>47</v>
      </c>
    </row>
    <row r="890" spans="1:43" ht="12.6" customHeight="1" x14ac:dyDescent="0.25">
      <c r="A890" s="8" t="s">
        <v>954</v>
      </c>
      <c r="B890" s="9">
        <v>20151231</v>
      </c>
      <c r="C890" s="12">
        <f>_xll.FDS("SPX","FG_PRICE(12/30/2015)")</f>
        <v>2063.36</v>
      </c>
      <c r="D890" s="12">
        <f>_xll.FDS("SPX","FG_PRICE(12/30/2017)")</f>
        <v>2673.61</v>
      </c>
      <c r="E890" s="15">
        <f>D890/C890-1</f>
        <v>0.2957554668114144</v>
      </c>
      <c r="F890" s="8" t="s">
        <v>955</v>
      </c>
      <c r="G890" s="8" t="s">
        <v>956</v>
      </c>
      <c r="H890" s="13">
        <f>_xll.FDS(G890,"FG_PRICE(12/30/2015)")</f>
        <v>25.38</v>
      </c>
      <c r="I890" s="13">
        <f>_xll.FDS(G890,"FG_PRICE(12/31/2017)")</f>
        <v>16.68</v>
      </c>
      <c r="J890" s="13">
        <f>I890/H890-1</f>
        <v>-0.34278959810874698</v>
      </c>
      <c r="K890" s="13">
        <f>J890-E890</f>
        <v>-0.63854506492016139</v>
      </c>
      <c r="L890" s="13">
        <f>_xll.FDS(G890,"FF_ROE(ANN_R,12/30/2015)")</f>
        <v>4.7929471658285223</v>
      </c>
      <c r="M890" s="8" t="s">
        <v>957</v>
      </c>
      <c r="N890" s="4" t="s">
        <v>958</v>
      </c>
      <c r="O890" s="4" t="s">
        <v>959</v>
      </c>
      <c r="P890" s="4" t="s">
        <v>96</v>
      </c>
      <c r="Q890" s="4" t="s">
        <v>68</v>
      </c>
      <c r="R890" s="4" t="s">
        <v>61</v>
      </c>
      <c r="S890" s="4" t="s">
        <v>62</v>
      </c>
      <c r="T890" s="6" t="e">
        <v>#N/A</v>
      </c>
      <c r="U890" s="5">
        <v>58</v>
      </c>
      <c r="V890" s="5">
        <v>60</v>
      </c>
      <c r="W890" s="5">
        <v>47</v>
      </c>
      <c r="X890" s="5">
        <v>74</v>
      </c>
      <c r="Y890" s="5">
        <v>54.33</v>
      </c>
      <c r="Z890" s="5">
        <v>59.84</v>
      </c>
      <c r="AA890" s="5">
        <v>33.86</v>
      </c>
      <c r="AB890" s="5">
        <v>72.44</v>
      </c>
      <c r="AC890" s="6">
        <v>0.3</v>
      </c>
      <c r="AD890" s="6">
        <v>0.45</v>
      </c>
      <c r="AE890" s="6">
        <v>0.25</v>
      </c>
      <c r="AF890" s="4" t="s">
        <v>6296</v>
      </c>
      <c r="AG890" s="4" t="s">
        <v>6296</v>
      </c>
      <c r="AH890" s="4" t="s">
        <v>6296</v>
      </c>
      <c r="AI890" s="4" t="s">
        <v>42</v>
      </c>
      <c r="AJ890" s="4" t="s">
        <v>6296</v>
      </c>
      <c r="AK890" s="4" t="s">
        <v>37</v>
      </c>
      <c r="AL890" s="4" t="s">
        <v>42</v>
      </c>
      <c r="AM890" s="4" t="s">
        <v>6296</v>
      </c>
      <c r="AN890" s="4" t="s">
        <v>6296</v>
      </c>
      <c r="AO890" s="4" t="s">
        <v>6296</v>
      </c>
      <c r="AP890" s="4" t="s">
        <v>960</v>
      </c>
      <c r="AQ890" s="4" t="s">
        <v>47</v>
      </c>
    </row>
    <row r="891" spans="1:43" ht="12.6" customHeight="1" x14ac:dyDescent="0.25">
      <c r="A891" s="8" t="s">
        <v>1023</v>
      </c>
      <c r="B891" s="9">
        <v>20151231</v>
      </c>
      <c r="C891" s="12">
        <f>_xll.FDS("SPX","FG_PRICE(12/30/2015)")</f>
        <v>2063.36</v>
      </c>
      <c r="D891" s="12">
        <f>_xll.FDS("SPX","FG_PRICE(12/30/2017)")</f>
        <v>2673.61</v>
      </c>
      <c r="E891" s="15">
        <f>D891/C891-1</f>
        <v>0.2957554668114144</v>
      </c>
      <c r="F891" s="8" t="s">
        <v>1024</v>
      </c>
      <c r="G891" s="8" t="s">
        <v>1025</v>
      </c>
      <c r="H891" s="13">
        <f>_xll.FDS(G891,"FG_PRICE(12/30/2015)")</f>
        <v>69.899994000000007</v>
      </c>
      <c r="I891" s="13">
        <f>_xll.FDS(G891,"FG_PRICE(12/31/2017)")</f>
        <v>6.76</v>
      </c>
      <c r="J891" s="13">
        <f>I891/H891-1</f>
        <v>-0.9032904065771451</v>
      </c>
      <c r="K891" s="13">
        <f>J891-E891</f>
        <v>-1.1990458733885596</v>
      </c>
      <c r="L891" s="13">
        <f>_xll.FDS(G891,"FF_ROE(ANN_R,12/30/2015)")</f>
        <v>3.366973683152866</v>
      </c>
      <c r="M891" s="8" t="s">
        <v>1026</v>
      </c>
      <c r="N891" s="4" t="s">
        <v>1027</v>
      </c>
      <c r="O891" s="4" t="s">
        <v>1028</v>
      </c>
      <c r="P891" s="4" t="s">
        <v>106</v>
      </c>
      <c r="Q891" s="4" t="s">
        <v>68</v>
      </c>
      <c r="R891" s="4" t="s">
        <v>61</v>
      </c>
      <c r="S891" s="4" t="s">
        <v>62</v>
      </c>
      <c r="T891" s="6" t="e">
        <v>#N/A</v>
      </c>
      <c r="U891" s="5">
        <v>48</v>
      </c>
      <c r="V891" s="5">
        <v>43</v>
      </c>
      <c r="W891" s="5">
        <v>40</v>
      </c>
      <c r="X891" s="5">
        <v>69</v>
      </c>
      <c r="Y891" s="5">
        <v>14.96</v>
      </c>
      <c r="Z891" s="5">
        <v>18.899999999999999</v>
      </c>
      <c r="AA891" s="6">
        <v>7.09</v>
      </c>
      <c r="AB891" s="5">
        <v>51.97</v>
      </c>
      <c r="AC891" s="6">
        <v>0.3</v>
      </c>
      <c r="AD891" s="6">
        <v>0.45</v>
      </c>
      <c r="AE891" s="6">
        <v>0.25</v>
      </c>
      <c r="AF891" s="4" t="s">
        <v>6296</v>
      </c>
      <c r="AG891" s="4" t="s">
        <v>6296</v>
      </c>
      <c r="AH891" s="4" t="s">
        <v>6296</v>
      </c>
      <c r="AI891" s="4" t="s">
        <v>6296</v>
      </c>
      <c r="AJ891" s="4" t="s">
        <v>6296</v>
      </c>
      <c r="AK891" s="4" t="s">
        <v>37</v>
      </c>
      <c r="AL891" s="4" t="s">
        <v>6296</v>
      </c>
      <c r="AM891" s="4" t="s">
        <v>6296</v>
      </c>
      <c r="AN891" s="4" t="s">
        <v>6296</v>
      </c>
      <c r="AO891" s="4" t="s">
        <v>6296</v>
      </c>
      <c r="AP891" s="4" t="s">
        <v>1029</v>
      </c>
      <c r="AQ891" s="4" t="s">
        <v>47</v>
      </c>
    </row>
    <row r="892" spans="1:43" ht="12.6" customHeight="1" x14ac:dyDescent="0.25">
      <c r="A892" s="8" t="s">
        <v>5326</v>
      </c>
      <c r="B892" s="9">
        <v>20151231</v>
      </c>
      <c r="C892" s="12">
        <f>_xll.FDS("SPX","FG_PRICE(12/30/2015)")</f>
        <v>2063.36</v>
      </c>
      <c r="D892" s="12">
        <f>_xll.FDS("SPX","FG_PRICE(12/30/2017)")</f>
        <v>2673.61</v>
      </c>
      <c r="E892" s="15">
        <f>D892/C892-1</f>
        <v>0.2957554668114144</v>
      </c>
      <c r="F892" s="8" t="s">
        <v>5327</v>
      </c>
      <c r="G892" s="8" t="s">
        <v>5328</v>
      </c>
      <c r="H892" s="13">
        <f>_xll.FDS(G892,"FG_PRICE(12/30/2015)")</f>
        <v>54.2</v>
      </c>
      <c r="I892" s="13" t="e">
        <f>_xll.FDS(G892,"FG_PRICE(12/31/2017)")</f>
        <v>#N/A</v>
      </c>
      <c r="J892" s="13" t="e">
        <f>I892/H892-1</f>
        <v>#N/A</v>
      </c>
      <c r="K892" s="13" t="e">
        <f>J892-E892</f>
        <v>#N/A</v>
      </c>
      <c r="L892" s="13">
        <f>_xll.FDS(G892,"FF_ROE(ANN_R,12/30/2015)")</f>
        <v>8.078209416002057</v>
      </c>
      <c r="M892" s="8" t="s">
        <v>5329</v>
      </c>
      <c r="N892" s="4" t="s">
        <v>5330</v>
      </c>
      <c r="O892" s="4" t="s">
        <v>5331</v>
      </c>
      <c r="P892" s="4" t="s">
        <v>96</v>
      </c>
      <c r="Q892" s="4" t="s">
        <v>68</v>
      </c>
      <c r="R892" s="4" t="s">
        <v>61</v>
      </c>
      <c r="S892" s="4" t="s">
        <v>62</v>
      </c>
      <c r="T892" s="6" t="e">
        <v>#N/A</v>
      </c>
      <c r="U892" s="5">
        <v>46</v>
      </c>
      <c r="V892" s="5">
        <v>44</v>
      </c>
      <c r="W892" s="5">
        <v>36</v>
      </c>
      <c r="X892" s="5">
        <v>66</v>
      </c>
      <c r="Y892" s="6">
        <v>7.87</v>
      </c>
      <c r="Z892" s="5">
        <v>22.83</v>
      </c>
      <c r="AA892" s="6">
        <v>0.79</v>
      </c>
      <c r="AB892" s="5">
        <v>34.65</v>
      </c>
      <c r="AC892" s="6">
        <v>0.3</v>
      </c>
      <c r="AD892" s="6">
        <v>0.45</v>
      </c>
      <c r="AE892" s="6">
        <v>0.25</v>
      </c>
      <c r="AF892" s="4" t="s">
        <v>6296</v>
      </c>
      <c r="AG892" s="4" t="s">
        <v>6296</v>
      </c>
      <c r="AH892" s="4" t="s">
        <v>6296</v>
      </c>
      <c r="AI892" s="4" t="s">
        <v>6296</v>
      </c>
      <c r="AJ892" s="4" t="s">
        <v>6296</v>
      </c>
      <c r="AK892" s="4" t="s">
        <v>46</v>
      </c>
      <c r="AL892" s="4" t="s">
        <v>6296</v>
      </c>
      <c r="AM892" s="4" t="s">
        <v>6296</v>
      </c>
      <c r="AN892" s="4" t="s">
        <v>6296</v>
      </c>
      <c r="AO892" s="4" t="s">
        <v>6296</v>
      </c>
      <c r="AP892" s="4" t="s">
        <v>5332</v>
      </c>
      <c r="AQ892" s="4" t="s">
        <v>47</v>
      </c>
    </row>
    <row r="893" spans="1:43" ht="12.6" customHeight="1" x14ac:dyDescent="0.25">
      <c r="A893" s="8" t="s">
        <v>6353</v>
      </c>
      <c r="B893" s="9">
        <v>20151231</v>
      </c>
      <c r="C893" s="12">
        <f>_xll.FDS("SPX","FG_PRICE(12/30/2015)")</f>
        <v>2063.36</v>
      </c>
      <c r="D893" s="12">
        <f>_xll.FDS("SPX","FG_PRICE(12/30/2017)")</f>
        <v>2673.61</v>
      </c>
      <c r="E893" s="15">
        <f>D893/C893-1</f>
        <v>0.2957554668114144</v>
      </c>
      <c r="F893" s="8" t="s">
        <v>6272</v>
      </c>
      <c r="G893" s="8" t="s">
        <v>6273</v>
      </c>
      <c r="H893" s="13">
        <f>_xll.FDS(G893,"FG_PRICE(12/30/2015)")</f>
        <v>105.1</v>
      </c>
      <c r="I893" s="13">
        <f>_xll.FDS(G893,"FG_PRICE(12/31/2017)")</f>
        <v>163.36000000000001</v>
      </c>
      <c r="J893" s="13">
        <f>I893/H893-1</f>
        <v>0.55432921027592785</v>
      </c>
      <c r="K893" s="13">
        <f>J893-E893</f>
        <v>0.25857374346451345</v>
      </c>
      <c r="L893" s="13" t="e">
        <f>_xll.FDS(G893,"FF_ROE(ANN_R,12/30/2015)")</f>
        <v>#N/A</v>
      </c>
      <c r="M893" s="8" t="s">
        <v>6274</v>
      </c>
      <c r="N893" s="4" t="s">
        <v>6275</v>
      </c>
      <c r="O893" s="4" t="s">
        <v>6276</v>
      </c>
      <c r="P893" s="4" t="s">
        <v>106</v>
      </c>
      <c r="Q893" s="4" t="s">
        <v>68</v>
      </c>
      <c r="R893" s="4" t="s">
        <v>61</v>
      </c>
      <c r="S893" s="4" t="s">
        <v>62</v>
      </c>
      <c r="T893" s="6" t="e">
        <v>#N/A</v>
      </c>
      <c r="U893" s="5">
        <v>45</v>
      </c>
      <c r="V893" s="5">
        <v>40</v>
      </c>
      <c r="W893" s="5">
        <v>39</v>
      </c>
      <c r="X893" s="5">
        <v>64</v>
      </c>
      <c r="Y893" s="6">
        <v>4.72</v>
      </c>
      <c r="Z893" s="5">
        <v>10.24</v>
      </c>
      <c r="AA893" s="6">
        <v>6.3</v>
      </c>
      <c r="AB893" s="5">
        <v>28.35</v>
      </c>
      <c r="AC893" s="6">
        <v>0.3</v>
      </c>
      <c r="AD893" s="6">
        <v>0.45</v>
      </c>
      <c r="AE893" s="6">
        <v>0.25</v>
      </c>
      <c r="AF893" s="4" t="s">
        <v>6296</v>
      </c>
      <c r="AG893" s="4" t="s">
        <v>6296</v>
      </c>
      <c r="AH893" s="4" t="s">
        <v>6296</v>
      </c>
      <c r="AI893" s="4" t="s">
        <v>6296</v>
      </c>
      <c r="AJ893" s="4" t="s">
        <v>6296</v>
      </c>
      <c r="AK893" s="4" t="s">
        <v>6296</v>
      </c>
      <c r="AL893" s="4" t="s">
        <v>6296</v>
      </c>
      <c r="AM893" s="4" t="s">
        <v>6296</v>
      </c>
      <c r="AN893" s="4" t="s">
        <v>6296</v>
      </c>
      <c r="AO893" s="4" t="s">
        <v>6296</v>
      </c>
      <c r="AP893" s="4" t="s">
        <v>6354</v>
      </c>
      <c r="AQ893" s="4" t="s">
        <v>47</v>
      </c>
    </row>
    <row r="894" spans="1:43" ht="12.6" customHeight="1" x14ac:dyDescent="0.25">
      <c r="A894" s="8" t="s">
        <v>5714</v>
      </c>
      <c r="B894" s="9">
        <v>20151231</v>
      </c>
      <c r="C894" s="12">
        <f>_xll.FDS("SPX","FG_PRICE(12/30/2015)")</f>
        <v>2063.36</v>
      </c>
      <c r="D894" s="12">
        <f>_xll.FDS("SPX","FG_PRICE(12/30/2017)")</f>
        <v>2673.61</v>
      </c>
      <c r="E894" s="15">
        <f>D894/C894-1</f>
        <v>0.2957554668114144</v>
      </c>
      <c r="F894" s="8" t="s">
        <v>5715</v>
      </c>
      <c r="G894" s="8" t="s">
        <v>5716</v>
      </c>
      <c r="H894" s="13">
        <f>_xll.FDS(G894,"FG_PRICE(12/30/2015)")</f>
        <v>3.63</v>
      </c>
      <c r="I894" s="13">
        <f>_xll.FDS(G894,"FG_PRICE(12/31/2017)")</f>
        <v>5.89</v>
      </c>
      <c r="J894" s="13">
        <f>I894/H894-1</f>
        <v>0.62258953168044062</v>
      </c>
      <c r="K894" s="13">
        <f>J894-E894</f>
        <v>0.32683406486902622</v>
      </c>
      <c r="L894" s="13">
        <f>_xll.FDS(G894,"FF_ROE(ANN_R,12/30/2015)")</f>
        <v>-14.227382927140489</v>
      </c>
      <c r="M894" s="8" t="s">
        <v>5717</v>
      </c>
      <c r="N894" s="4" t="s">
        <v>5718</v>
      </c>
      <c r="O894" s="4" t="s">
        <v>5719</v>
      </c>
      <c r="P894" s="4" t="s">
        <v>96</v>
      </c>
      <c r="Q894" s="4" t="s">
        <v>68</v>
      </c>
      <c r="R894" s="4" t="s">
        <v>61</v>
      </c>
      <c r="S894" s="4" t="s">
        <v>62</v>
      </c>
      <c r="T894" s="6" t="e">
        <v>#N/A</v>
      </c>
      <c r="U894" s="5">
        <v>71</v>
      </c>
      <c r="V894" s="5">
        <v>89</v>
      </c>
      <c r="W894" s="5">
        <v>60</v>
      </c>
      <c r="X894" s="5">
        <v>71</v>
      </c>
      <c r="Y894" s="5">
        <v>85.83</v>
      </c>
      <c r="Z894" s="5">
        <v>99.21</v>
      </c>
      <c r="AA894" s="5">
        <v>74.8</v>
      </c>
      <c r="AB894" s="5">
        <v>62.99</v>
      </c>
      <c r="AC894" s="6">
        <v>0.3</v>
      </c>
      <c r="AD894" s="6">
        <v>0.45</v>
      </c>
      <c r="AE894" s="6">
        <v>0.25</v>
      </c>
      <c r="AF894" s="4" t="s">
        <v>6296</v>
      </c>
      <c r="AG894" s="4" t="s">
        <v>6296</v>
      </c>
      <c r="AH894" s="4" t="s">
        <v>6296</v>
      </c>
      <c r="AI894" s="4" t="s">
        <v>6296</v>
      </c>
      <c r="AJ894" s="4" t="s">
        <v>6296</v>
      </c>
      <c r="AK894" s="4" t="s">
        <v>46</v>
      </c>
      <c r="AL894" s="4" t="s">
        <v>42</v>
      </c>
      <c r="AM894" s="4" t="s">
        <v>42</v>
      </c>
      <c r="AN894" s="4" t="s">
        <v>6296</v>
      </c>
      <c r="AO894" s="4" t="s">
        <v>6296</v>
      </c>
      <c r="AP894" s="4" t="s">
        <v>5720</v>
      </c>
      <c r="AQ894" s="4" t="s">
        <v>47</v>
      </c>
    </row>
    <row r="895" spans="1:43" ht="12.6" customHeight="1" x14ac:dyDescent="0.25">
      <c r="A895" s="8" t="s">
        <v>5421</v>
      </c>
      <c r="B895" s="9">
        <v>20151231</v>
      </c>
      <c r="C895" s="12">
        <f>_xll.FDS("SPX","FG_PRICE(12/30/2015)")</f>
        <v>2063.36</v>
      </c>
      <c r="D895" s="12">
        <f>_xll.FDS("SPX","FG_PRICE(12/30/2017)")</f>
        <v>2673.61</v>
      </c>
      <c r="E895" s="15">
        <f>D895/C895-1</f>
        <v>0.2957554668114144</v>
      </c>
      <c r="F895" s="8" t="s">
        <v>5422</v>
      </c>
      <c r="G895" s="8" t="s">
        <v>5423</v>
      </c>
      <c r="H895" s="13">
        <f>_xll.FDS(G895,"FG_PRICE(12/30/2015)")</f>
        <v>26.24</v>
      </c>
      <c r="I895" s="13">
        <f>_xll.FDS(G895,"FG_PRICE(12/31/2017)")</f>
        <v>27.8</v>
      </c>
      <c r="J895" s="13">
        <f>I895/H895-1</f>
        <v>5.945121951219523E-2</v>
      </c>
      <c r="K895" s="13">
        <f>J895-E895</f>
        <v>-0.23630424729921917</v>
      </c>
      <c r="L895" s="13">
        <f>_xll.FDS(G895,"FF_ROE(ANN_R,12/30/2015)")</f>
        <v>-3.3894858697677268</v>
      </c>
      <c r="M895" s="8" t="s">
        <v>5424</v>
      </c>
      <c r="N895" s="4" t="s">
        <v>5425</v>
      </c>
      <c r="O895" s="4" t="s">
        <v>5426</v>
      </c>
      <c r="P895" s="4" t="s">
        <v>96</v>
      </c>
      <c r="Q895" s="4" t="s">
        <v>68</v>
      </c>
      <c r="R895" s="4" t="s">
        <v>61</v>
      </c>
      <c r="S895" s="4" t="s">
        <v>62</v>
      </c>
      <c r="T895" s="6" t="e">
        <v>#N/A</v>
      </c>
      <c r="U895" s="5">
        <v>48</v>
      </c>
      <c r="V895" s="5">
        <v>40</v>
      </c>
      <c r="W895" s="5">
        <v>43</v>
      </c>
      <c r="X895" s="5">
        <v>68</v>
      </c>
      <c r="Y895" s="5">
        <v>14.96</v>
      </c>
      <c r="Z895" s="5">
        <v>10.24</v>
      </c>
      <c r="AA895" s="5">
        <v>14.96</v>
      </c>
      <c r="AB895" s="5">
        <v>46.46</v>
      </c>
      <c r="AC895" s="6">
        <v>0.3</v>
      </c>
      <c r="AD895" s="6">
        <v>0.45</v>
      </c>
      <c r="AE895" s="6">
        <v>0.25</v>
      </c>
      <c r="AF895" s="4" t="s">
        <v>6296</v>
      </c>
      <c r="AG895" s="4" t="s">
        <v>6296</v>
      </c>
      <c r="AH895" s="4" t="s">
        <v>6296</v>
      </c>
      <c r="AI895" s="4" t="s">
        <v>6296</v>
      </c>
      <c r="AJ895" s="4" t="s">
        <v>6296</v>
      </c>
      <c r="AK895" s="4" t="s">
        <v>6296</v>
      </c>
      <c r="AL895" s="4" t="s">
        <v>6296</v>
      </c>
      <c r="AM895" s="4" t="s">
        <v>6296</v>
      </c>
      <c r="AN895" s="4" t="s">
        <v>6296</v>
      </c>
      <c r="AO895" s="4" t="s">
        <v>6296</v>
      </c>
      <c r="AP895" s="4" t="s">
        <v>5427</v>
      </c>
      <c r="AQ895" s="4" t="s">
        <v>47</v>
      </c>
    </row>
    <row r="896" spans="1:43" ht="12.6" customHeight="1" x14ac:dyDescent="0.25">
      <c r="A896" s="8" t="s">
        <v>5648</v>
      </c>
      <c r="B896" s="9">
        <v>20151231</v>
      </c>
      <c r="C896" s="12">
        <f>_xll.FDS("SPX","FG_PRICE(12/30/2015)")</f>
        <v>2063.36</v>
      </c>
      <c r="D896" s="12">
        <f>_xll.FDS("SPX","FG_PRICE(12/30/2017)")</f>
        <v>2673.61</v>
      </c>
      <c r="E896" s="15">
        <f>D896/C896-1</f>
        <v>0.2957554668114144</v>
      </c>
      <c r="F896" s="8" t="s">
        <v>5649</v>
      </c>
      <c r="G896" s="8" t="s">
        <v>5650</v>
      </c>
      <c r="H896" s="13">
        <f>_xll.FDS(G896,"FG_PRICE(12/30/2015)")</f>
        <v>39.74</v>
      </c>
      <c r="I896" s="13">
        <f>_xll.FDS(G896,"FG_PRICE(12/31/2017)")</f>
        <v>63.51</v>
      </c>
      <c r="J896" s="13">
        <f>I896/H896-1</f>
        <v>0.59813789632611969</v>
      </c>
      <c r="K896" s="13">
        <f>J896-E896</f>
        <v>0.30238242951470529</v>
      </c>
      <c r="L896" s="13">
        <f>_xll.FDS(G896,"FF_ROE(ANN_R,12/30/2015)")</f>
        <v>1.6517319780660691</v>
      </c>
      <c r="M896" s="8" t="s">
        <v>5651</v>
      </c>
      <c r="N896" s="4" t="s">
        <v>5652</v>
      </c>
      <c r="O896" s="4" t="s">
        <v>5653</v>
      </c>
      <c r="P896" s="4" t="s">
        <v>106</v>
      </c>
      <c r="Q896" s="4" t="s">
        <v>68</v>
      </c>
      <c r="R896" s="4" t="s">
        <v>61</v>
      </c>
      <c r="S896" s="4" t="s">
        <v>62</v>
      </c>
      <c r="T896" s="6" t="e">
        <v>#N/A</v>
      </c>
      <c r="U896" s="5">
        <v>56</v>
      </c>
      <c r="V896" s="5">
        <v>60</v>
      </c>
      <c r="W896" s="5">
        <v>49</v>
      </c>
      <c r="X896" s="5">
        <v>63</v>
      </c>
      <c r="Y896" s="5">
        <v>49.61</v>
      </c>
      <c r="Z896" s="5">
        <v>59.84</v>
      </c>
      <c r="AA896" s="5">
        <v>40.159999999999997</v>
      </c>
      <c r="AB896" s="5">
        <v>24.41</v>
      </c>
      <c r="AC896" s="6">
        <v>0.3</v>
      </c>
      <c r="AD896" s="6">
        <v>0.45</v>
      </c>
      <c r="AE896" s="6">
        <v>0.25</v>
      </c>
      <c r="AF896" s="4" t="s">
        <v>6296</v>
      </c>
      <c r="AG896" s="4" t="s">
        <v>6296</v>
      </c>
      <c r="AH896" s="4" t="s">
        <v>6296</v>
      </c>
      <c r="AI896" s="4" t="s">
        <v>46</v>
      </c>
      <c r="AJ896" s="4" t="s">
        <v>6296</v>
      </c>
      <c r="AK896" s="4" t="s">
        <v>46</v>
      </c>
      <c r="AL896" s="4" t="s">
        <v>6296</v>
      </c>
      <c r="AM896" s="4" t="s">
        <v>37</v>
      </c>
      <c r="AN896" s="4" t="s">
        <v>42</v>
      </c>
      <c r="AO896" s="4" t="s">
        <v>6296</v>
      </c>
      <c r="AP896" s="4" t="s">
        <v>5654</v>
      </c>
      <c r="AQ896" s="4" t="s">
        <v>47</v>
      </c>
    </row>
    <row r="897" spans="1:43" ht="12.6" customHeight="1" x14ac:dyDescent="0.25">
      <c r="A897" s="8" t="s">
        <v>3776</v>
      </c>
      <c r="B897" s="9">
        <v>20151231</v>
      </c>
      <c r="C897" s="12">
        <f>_xll.FDS("SPX","FG_PRICE(12/30/2015)")</f>
        <v>2063.36</v>
      </c>
      <c r="D897" s="12">
        <f>_xll.FDS("SPX","FG_PRICE(12/30/2017)")</f>
        <v>2673.61</v>
      </c>
      <c r="E897" s="15">
        <f>D897/C897-1</f>
        <v>0.2957554668114144</v>
      </c>
      <c r="F897" s="8" t="s">
        <v>3777</v>
      </c>
      <c r="G897" s="8" t="s">
        <v>3778</v>
      </c>
      <c r="H897" s="13">
        <f>_xll.FDS(G897,"FG_PRICE(12/30/2015)")</f>
        <v>34.74</v>
      </c>
      <c r="I897" s="13">
        <f>_xll.FDS(G897,"FG_PRICE(12/31/2017)")</f>
        <v>38.880000000000003</v>
      </c>
      <c r="J897" s="13">
        <f>I897/H897-1</f>
        <v>0.11917098445595853</v>
      </c>
      <c r="K897" s="13">
        <f>J897-E897</f>
        <v>-0.17658448235545587</v>
      </c>
      <c r="L897" s="13">
        <f>_xll.FDS(G897,"FF_ROE(ANN_R,12/30/2015)")</f>
        <v>7.0185726045625234</v>
      </c>
      <c r="M897" s="8" t="s">
        <v>3779</v>
      </c>
      <c r="N897" s="4" t="s">
        <v>3779</v>
      </c>
      <c r="O897" s="4" t="s">
        <v>1807</v>
      </c>
      <c r="P897" s="4" t="s">
        <v>96</v>
      </c>
      <c r="Q897" s="4" t="s">
        <v>68</v>
      </c>
      <c r="R897" s="4" t="s">
        <v>61</v>
      </c>
      <c r="S897" s="4" t="s">
        <v>62</v>
      </c>
      <c r="T897" s="6" t="e">
        <v>#N/A</v>
      </c>
      <c r="U897" s="5">
        <v>63</v>
      </c>
      <c r="V897" s="5">
        <v>68</v>
      </c>
      <c r="W897" s="5">
        <v>56</v>
      </c>
      <c r="X897" s="5">
        <v>71</v>
      </c>
      <c r="Y897" s="5">
        <v>68.5</v>
      </c>
      <c r="Z897" s="5">
        <v>73.23</v>
      </c>
      <c r="AA897" s="5">
        <v>61.42</v>
      </c>
      <c r="AB897" s="5">
        <v>62.99</v>
      </c>
      <c r="AC897" s="6">
        <v>0.3</v>
      </c>
      <c r="AD897" s="6">
        <v>0.45</v>
      </c>
      <c r="AE897" s="6">
        <v>0.25</v>
      </c>
      <c r="AF897" s="4" t="s">
        <v>46</v>
      </c>
      <c r="AG897" s="4" t="s">
        <v>6296</v>
      </c>
      <c r="AH897" s="4" t="s">
        <v>6296</v>
      </c>
      <c r="AI897" s="4" t="s">
        <v>46</v>
      </c>
      <c r="AJ897" s="4" t="s">
        <v>6296</v>
      </c>
      <c r="AK897" s="4" t="s">
        <v>46</v>
      </c>
      <c r="AL897" s="4" t="s">
        <v>42</v>
      </c>
      <c r="AM897" s="4" t="s">
        <v>42</v>
      </c>
      <c r="AN897" s="4" t="s">
        <v>6296</v>
      </c>
      <c r="AO897" s="4" t="s">
        <v>6296</v>
      </c>
      <c r="AP897" s="4" t="s">
        <v>3780</v>
      </c>
      <c r="AQ897" s="4" t="s">
        <v>47</v>
      </c>
    </row>
    <row r="898" spans="1:43" ht="12.6" customHeight="1" x14ac:dyDescent="0.25">
      <c r="A898" s="8" t="s">
        <v>4152</v>
      </c>
      <c r="B898" s="9">
        <v>20151231</v>
      </c>
      <c r="C898" s="12">
        <f>_xll.FDS("SPX","FG_PRICE(12/30/2015)")</f>
        <v>2063.36</v>
      </c>
      <c r="D898" s="12">
        <f>_xll.FDS("SPX","FG_PRICE(12/30/2017)")</f>
        <v>2673.61</v>
      </c>
      <c r="E898" s="15">
        <f>D898/C898-1</f>
        <v>0.2957554668114144</v>
      </c>
      <c r="F898" s="8" t="s">
        <v>4153</v>
      </c>
      <c r="G898" s="8" t="s">
        <v>4154</v>
      </c>
      <c r="H898" s="13">
        <f>_xll.FDS(G898,"FG_PRICE(12/30/2015)")</f>
        <v>40.94</v>
      </c>
      <c r="I898" s="13">
        <f>_xll.FDS(G898,"FG_PRICE(12/31/2017)")</f>
        <v>37.630000000000003</v>
      </c>
      <c r="J898" s="13">
        <f>I898/H898-1</f>
        <v>-8.0850024425989098E-2</v>
      </c>
      <c r="K898" s="13">
        <f>J898-E898</f>
        <v>-0.3766054912374035</v>
      </c>
      <c r="L898" s="13">
        <f>_xll.FDS(G898,"FF_ROE(ANN_R,12/30/2015)")</f>
        <v>-1.279269084713927</v>
      </c>
      <c r="M898" s="8" t="s">
        <v>4155</v>
      </c>
      <c r="N898" s="4" t="s">
        <v>4155</v>
      </c>
      <c r="O898" s="4" t="s">
        <v>4156</v>
      </c>
      <c r="P898" s="4" t="s">
        <v>96</v>
      </c>
      <c r="Q898" s="4" t="s">
        <v>68</v>
      </c>
      <c r="R898" s="4" t="s">
        <v>61</v>
      </c>
      <c r="S898" s="4" t="s">
        <v>62</v>
      </c>
      <c r="T898" s="6" t="e">
        <v>#N/A</v>
      </c>
      <c r="U898" s="5">
        <v>50</v>
      </c>
      <c r="V898" s="5">
        <v>46</v>
      </c>
      <c r="W898" s="5">
        <v>43</v>
      </c>
      <c r="X898" s="5">
        <v>66</v>
      </c>
      <c r="Y898" s="5">
        <v>24.41</v>
      </c>
      <c r="Z898" s="5">
        <v>33.07</v>
      </c>
      <c r="AA898" s="5">
        <v>14.96</v>
      </c>
      <c r="AB898" s="5">
        <v>34.65</v>
      </c>
      <c r="AC898" s="6">
        <v>0.3</v>
      </c>
      <c r="AD898" s="6">
        <v>0.45</v>
      </c>
      <c r="AE898" s="6">
        <v>0.25</v>
      </c>
      <c r="AF898" s="4" t="s">
        <v>6296</v>
      </c>
      <c r="AG898" s="4" t="s">
        <v>6296</v>
      </c>
      <c r="AH898" s="4" t="s">
        <v>6296</v>
      </c>
      <c r="AI898" s="4" t="s">
        <v>6296</v>
      </c>
      <c r="AJ898" s="4" t="s">
        <v>6296</v>
      </c>
      <c r="AK898" s="4" t="s">
        <v>6296</v>
      </c>
      <c r="AL898" s="4" t="s">
        <v>6296</v>
      </c>
      <c r="AM898" s="4" t="s">
        <v>6296</v>
      </c>
      <c r="AN898" s="4" t="s">
        <v>6296</v>
      </c>
      <c r="AO898" s="4" t="s">
        <v>6296</v>
      </c>
      <c r="AP898" s="4" t="s">
        <v>4157</v>
      </c>
      <c r="AQ898" s="4" t="s">
        <v>47</v>
      </c>
    </row>
    <row r="899" spans="1:43" ht="12.6" customHeight="1" x14ac:dyDescent="0.25">
      <c r="A899" s="8" t="s">
        <v>600</v>
      </c>
      <c r="B899" s="9">
        <v>20151231</v>
      </c>
      <c r="C899" s="12">
        <f>_xll.FDS("SPX","FG_PRICE(12/30/2015)")</f>
        <v>2063.36</v>
      </c>
      <c r="D899" s="12">
        <f>_xll.FDS("SPX","FG_PRICE(12/30/2017)")</f>
        <v>2673.61</v>
      </c>
      <c r="E899" s="15">
        <f>D899/C899-1</f>
        <v>0.2957554668114144</v>
      </c>
      <c r="F899" s="8" t="s">
        <v>601</v>
      </c>
      <c r="G899" s="8" t="s">
        <v>602</v>
      </c>
      <c r="H899" s="13">
        <f>_xll.FDS(G899,"FG_PRICE(12/30/2015)")</f>
        <v>46.77</v>
      </c>
      <c r="I899" s="13">
        <f>_xll.FDS(G899,"FG_PRICE(12/31/2017)")</f>
        <v>52.93</v>
      </c>
      <c r="J899" s="13">
        <f>I899/H899-1</f>
        <v>0.13170836005986741</v>
      </c>
      <c r="K899" s="13">
        <f>J899-E899</f>
        <v>-0.16404710675154699</v>
      </c>
      <c r="L899" s="13">
        <f>_xll.FDS(G899,"FF_ROE(ANN_R,12/30/2015)")</f>
        <v>37.646184534751832</v>
      </c>
      <c r="M899" s="8" t="s">
        <v>603</v>
      </c>
      <c r="N899" s="4" t="s">
        <v>603</v>
      </c>
      <c r="O899" s="4" t="s">
        <v>604</v>
      </c>
      <c r="P899" s="4" t="s">
        <v>96</v>
      </c>
      <c r="Q899" s="4" t="s">
        <v>68</v>
      </c>
      <c r="R899" s="4" t="s">
        <v>61</v>
      </c>
      <c r="S899" s="4" t="s">
        <v>62</v>
      </c>
      <c r="T899" s="6" t="e">
        <v>#N/A</v>
      </c>
      <c r="U899" s="5">
        <v>67</v>
      </c>
      <c r="V899" s="5">
        <v>80</v>
      </c>
      <c r="W899" s="5">
        <v>56</v>
      </c>
      <c r="X899" s="5">
        <v>73</v>
      </c>
      <c r="Y899" s="5">
        <v>75.59</v>
      </c>
      <c r="Z899" s="5">
        <v>90.55</v>
      </c>
      <c r="AA899" s="5">
        <v>61.42</v>
      </c>
      <c r="AB899" s="5">
        <v>70.87</v>
      </c>
      <c r="AC899" s="6">
        <v>0.3</v>
      </c>
      <c r="AD899" s="6">
        <v>0.45</v>
      </c>
      <c r="AE899" s="6">
        <v>0.25</v>
      </c>
      <c r="AF899" s="4" t="s">
        <v>6296</v>
      </c>
      <c r="AG899" s="4" t="s">
        <v>6296</v>
      </c>
      <c r="AH899" s="4" t="s">
        <v>6296</v>
      </c>
      <c r="AI899" s="4" t="s">
        <v>37</v>
      </c>
      <c r="AJ899" s="4" t="s">
        <v>6296</v>
      </c>
      <c r="AK899" s="4" t="s">
        <v>46</v>
      </c>
      <c r="AL899" s="4" t="s">
        <v>37</v>
      </c>
      <c r="AM899" s="4" t="s">
        <v>42</v>
      </c>
      <c r="AN899" s="4" t="s">
        <v>6296</v>
      </c>
      <c r="AO899" s="4" t="s">
        <v>6296</v>
      </c>
      <c r="AP899" s="4" t="s">
        <v>605</v>
      </c>
      <c r="AQ899" s="4" t="s">
        <v>47</v>
      </c>
    </row>
    <row r="900" spans="1:43" ht="12.6" customHeight="1" x14ac:dyDescent="0.25">
      <c r="A900" s="8" t="s">
        <v>6098</v>
      </c>
      <c r="B900" s="9">
        <v>20151231</v>
      </c>
      <c r="C900" s="12">
        <f>_xll.FDS("SPX","FG_PRICE(12/30/2015)")</f>
        <v>2063.36</v>
      </c>
      <c r="D900" s="12">
        <f>_xll.FDS("SPX","FG_PRICE(12/30/2017)")</f>
        <v>2673.61</v>
      </c>
      <c r="E900" s="15">
        <f>D900/C900-1</f>
        <v>0.2957554668114144</v>
      </c>
      <c r="F900" s="8" t="s">
        <v>6099</v>
      </c>
      <c r="G900" s="8" t="s">
        <v>6100</v>
      </c>
      <c r="H900" s="13">
        <f>_xll.FDS(G900,"FG_PRICE(12/30/2015)")</f>
        <v>6.48</v>
      </c>
      <c r="I900" s="13">
        <f>_xll.FDS(G900,"FG_PRICE(12/31/2017)")</f>
        <v>1.85</v>
      </c>
      <c r="J900" s="13">
        <f>I900/H900-1</f>
        <v>-0.71450617283950613</v>
      </c>
      <c r="K900" s="13">
        <f>J900-E900</f>
        <v>-1.0102616396509205</v>
      </c>
      <c r="L900" s="13">
        <f>_xll.FDS(G900,"FF_ROE(ANN_R,12/30/2015)")</f>
        <v>-8.3568075117370899</v>
      </c>
      <c r="M900" s="8" t="s">
        <v>6101</v>
      </c>
      <c r="N900" s="4" t="s">
        <v>6102</v>
      </c>
      <c r="O900" s="4" t="s">
        <v>4488</v>
      </c>
      <c r="P900" s="4" t="s">
        <v>106</v>
      </c>
      <c r="Q900" s="4" t="s">
        <v>68</v>
      </c>
      <c r="R900" s="4" t="s">
        <v>61</v>
      </c>
      <c r="S900" s="4" t="s">
        <v>62</v>
      </c>
      <c r="T900" s="6" t="e">
        <v>#N/A</v>
      </c>
      <c r="U900" s="5">
        <v>49</v>
      </c>
      <c r="V900" s="5">
        <v>43</v>
      </c>
      <c r="W900" s="5">
        <v>41</v>
      </c>
      <c r="X900" s="5">
        <v>70</v>
      </c>
      <c r="Y900" s="5">
        <v>17.32</v>
      </c>
      <c r="Z900" s="5">
        <v>18.899999999999999</v>
      </c>
      <c r="AA900" s="6">
        <v>8.66</v>
      </c>
      <c r="AB900" s="5">
        <v>56.69</v>
      </c>
      <c r="AC900" s="6">
        <v>0.3</v>
      </c>
      <c r="AD900" s="6">
        <v>0.45</v>
      </c>
      <c r="AE900" s="6">
        <v>0.25</v>
      </c>
      <c r="AF900" s="4" t="s">
        <v>6296</v>
      </c>
      <c r="AG900" s="4" t="s">
        <v>6296</v>
      </c>
      <c r="AH900" s="4" t="s">
        <v>6296</v>
      </c>
      <c r="AI900" s="4" t="s">
        <v>6296</v>
      </c>
      <c r="AJ900" s="4" t="s">
        <v>6296</v>
      </c>
      <c r="AK900" s="4" t="s">
        <v>6296</v>
      </c>
      <c r="AL900" s="4" t="s">
        <v>6296</v>
      </c>
      <c r="AM900" s="4" t="s">
        <v>42</v>
      </c>
      <c r="AN900" s="4" t="s">
        <v>6296</v>
      </c>
      <c r="AO900" s="4" t="s">
        <v>6296</v>
      </c>
      <c r="AP900" s="4" t="s">
        <v>6103</v>
      </c>
      <c r="AQ900" s="4" t="s">
        <v>47</v>
      </c>
    </row>
    <row r="901" spans="1:43" ht="12.6" customHeight="1" x14ac:dyDescent="0.25">
      <c r="A901" s="8" t="s">
        <v>1316</v>
      </c>
      <c r="B901" s="9">
        <v>20151231</v>
      </c>
      <c r="C901" s="12">
        <f>_xll.FDS("SPX","FG_PRICE(12/30/2015)")</f>
        <v>2063.36</v>
      </c>
      <c r="D901" s="12">
        <f>_xll.FDS("SPX","FG_PRICE(12/30/2017)")</f>
        <v>2673.61</v>
      </c>
      <c r="E901" s="15">
        <f>D901/C901-1</f>
        <v>0.2957554668114144</v>
      </c>
      <c r="F901" s="8" t="s">
        <v>1317</v>
      </c>
      <c r="G901" s="8" t="s">
        <v>1318</v>
      </c>
      <c r="H901" s="13">
        <f>_xll.FDS(G901,"FG_PRICE(12/30/2015)")</f>
        <v>47.85</v>
      </c>
      <c r="I901" s="13">
        <f>_xll.FDS(G901,"FG_PRICE(12/31/2017)")</f>
        <v>80.25</v>
      </c>
      <c r="J901" s="13">
        <f>I901/H901-1</f>
        <v>0.67711598746081503</v>
      </c>
      <c r="K901" s="13">
        <f>J901-E901</f>
        <v>0.38136052064940063</v>
      </c>
      <c r="L901" s="13">
        <f>_xll.FDS(G901,"FF_ROE(ANN_R,12/30/2015)")</f>
        <v>17.720954661937579</v>
      </c>
      <c r="M901" s="8" t="s">
        <v>1319</v>
      </c>
      <c r="N901" s="4" t="s">
        <v>1319</v>
      </c>
      <c r="O901" s="4" t="s">
        <v>1320</v>
      </c>
      <c r="P901" s="4" t="s">
        <v>96</v>
      </c>
      <c r="Q901" s="4" t="s">
        <v>57</v>
      </c>
      <c r="R901" s="4" t="s">
        <v>61</v>
      </c>
      <c r="S901" s="4" t="s">
        <v>62</v>
      </c>
      <c r="T901" s="6" t="e">
        <v>#N/A</v>
      </c>
      <c r="U901" s="5">
        <v>67</v>
      </c>
      <c r="V901" s="5">
        <v>59</v>
      </c>
      <c r="W901" s="5">
        <v>74</v>
      </c>
      <c r="X901" s="5">
        <v>69</v>
      </c>
      <c r="Y901" s="5">
        <v>79.66</v>
      </c>
      <c r="Z901" s="5">
        <v>74.58</v>
      </c>
      <c r="AA901" s="5">
        <v>86.44</v>
      </c>
      <c r="AB901" s="5">
        <v>81.36</v>
      </c>
      <c r="AC901" s="6">
        <v>0.35</v>
      </c>
      <c r="AD901" s="6">
        <v>0.4</v>
      </c>
      <c r="AE901" s="6">
        <v>0.25</v>
      </c>
      <c r="AF901" s="4" t="s">
        <v>6296</v>
      </c>
      <c r="AG901" s="4" t="s">
        <v>6296</v>
      </c>
      <c r="AH901" s="4" t="s">
        <v>6296</v>
      </c>
      <c r="AI901" s="4" t="s">
        <v>6296</v>
      </c>
      <c r="AJ901" s="4" t="s">
        <v>6296</v>
      </c>
      <c r="AK901" s="4" t="s">
        <v>6296</v>
      </c>
      <c r="AL901" s="4" t="s">
        <v>6296</v>
      </c>
      <c r="AM901" s="4" t="s">
        <v>6296</v>
      </c>
      <c r="AN901" s="4" t="s">
        <v>6296</v>
      </c>
      <c r="AO901" s="4" t="s">
        <v>6296</v>
      </c>
      <c r="AP901" s="4" t="s">
        <v>1321</v>
      </c>
      <c r="AQ901" s="4" t="s">
        <v>47</v>
      </c>
    </row>
    <row r="902" spans="1:43" ht="12.6" customHeight="1" x14ac:dyDescent="0.25">
      <c r="A902" s="8" t="s">
        <v>5693</v>
      </c>
      <c r="B902" s="9">
        <v>20151231</v>
      </c>
      <c r="C902" s="12">
        <f>_xll.FDS("SPX","FG_PRICE(12/30/2015)")</f>
        <v>2063.36</v>
      </c>
      <c r="D902" s="12">
        <f>_xll.FDS("SPX","FG_PRICE(12/30/2017)")</f>
        <v>2673.61</v>
      </c>
      <c r="E902" s="15">
        <f>D902/C902-1</f>
        <v>0.2957554668114144</v>
      </c>
      <c r="F902" s="8" t="s">
        <v>5694</v>
      </c>
      <c r="G902" s="8" t="s">
        <v>5695</v>
      </c>
      <c r="H902" s="13">
        <f>_xll.FDS(G902,"FG_PRICE(12/30/2015)")</f>
        <v>37.130000000000003</v>
      </c>
      <c r="I902" s="13">
        <f>_xll.FDS(G902,"FG_PRICE(12/31/2017)")</f>
        <v>7.77</v>
      </c>
      <c r="J902" s="13">
        <f>I902/H902-1</f>
        <v>-0.79073525451117699</v>
      </c>
      <c r="K902" s="13">
        <f>J902-E902</f>
        <v>-1.0864907213225914</v>
      </c>
      <c r="L902" s="13">
        <f>_xll.FDS(G902,"FF_ROE(ANN_R,12/30/2015)")</f>
        <v>36.814091316208803</v>
      </c>
      <c r="M902" s="8" t="s">
        <v>5696</v>
      </c>
      <c r="N902" s="4" t="s">
        <v>5697</v>
      </c>
      <c r="O902" s="4" t="s">
        <v>5698</v>
      </c>
      <c r="P902" s="4" t="s">
        <v>106</v>
      </c>
      <c r="Q902" s="4" t="s">
        <v>57</v>
      </c>
      <c r="R902" s="4" t="s">
        <v>61</v>
      </c>
      <c r="S902" s="4" t="s">
        <v>62</v>
      </c>
      <c r="T902" s="6" t="e">
        <v>#N/A</v>
      </c>
      <c r="U902" s="5">
        <v>47</v>
      </c>
      <c r="V902" s="5">
        <v>36</v>
      </c>
      <c r="W902" s="5">
        <v>48</v>
      </c>
      <c r="X902" s="5">
        <v>63</v>
      </c>
      <c r="Y902" s="5">
        <v>22.03</v>
      </c>
      <c r="Z902" s="5">
        <v>20.34</v>
      </c>
      <c r="AA902" s="5">
        <v>25.42</v>
      </c>
      <c r="AB902" s="5">
        <v>54.24</v>
      </c>
      <c r="AC902" s="6">
        <v>0.35</v>
      </c>
      <c r="AD902" s="6">
        <v>0.4</v>
      </c>
      <c r="AE902" s="6">
        <v>0.25</v>
      </c>
      <c r="AF902" s="4" t="s">
        <v>6296</v>
      </c>
      <c r="AG902" s="4" t="s">
        <v>6296</v>
      </c>
      <c r="AH902" s="4" t="s">
        <v>6296</v>
      </c>
      <c r="AI902" s="4" t="s">
        <v>6296</v>
      </c>
      <c r="AJ902" s="4" t="s">
        <v>6296</v>
      </c>
      <c r="AK902" s="4" t="s">
        <v>6296</v>
      </c>
      <c r="AL902" s="4" t="s">
        <v>6296</v>
      </c>
      <c r="AM902" s="4" t="s">
        <v>6296</v>
      </c>
      <c r="AN902" s="4" t="s">
        <v>6296</v>
      </c>
      <c r="AO902" s="4" t="s">
        <v>6296</v>
      </c>
      <c r="AP902" s="4" t="s">
        <v>5699</v>
      </c>
      <c r="AQ902" s="4" t="s">
        <v>47</v>
      </c>
    </row>
    <row r="903" spans="1:43" ht="12.6" customHeight="1" x14ac:dyDescent="0.25">
      <c r="A903" s="8" t="s">
        <v>4783</v>
      </c>
      <c r="B903" s="9">
        <v>20151231</v>
      </c>
      <c r="C903" s="12">
        <f>_xll.FDS("SPX","FG_PRICE(12/30/2015)")</f>
        <v>2063.36</v>
      </c>
      <c r="D903" s="12">
        <f>_xll.FDS("SPX","FG_PRICE(12/30/2017)")</f>
        <v>2673.61</v>
      </c>
      <c r="E903" s="15">
        <f>D903/C903-1</f>
        <v>0.2957554668114144</v>
      </c>
      <c r="F903" s="8" t="s">
        <v>4784</v>
      </c>
      <c r="G903" s="8" t="s">
        <v>4785</v>
      </c>
      <c r="H903" s="13">
        <f>_xll.FDS(G903,"FG_PRICE(12/30/2015)")</f>
        <v>29.08</v>
      </c>
      <c r="I903" s="13">
        <f>_xll.FDS(G903,"FG_PRICE(12/31/2017)")</f>
        <v>20.91</v>
      </c>
      <c r="J903" s="13">
        <f>I903/H903-1</f>
        <v>-0.280949105914718</v>
      </c>
      <c r="K903" s="13">
        <f>J903-E903</f>
        <v>-0.5767045727261324</v>
      </c>
      <c r="L903" s="13">
        <f>_xll.FDS(G903,"FF_ROE(ANN_R,12/30/2015)")</f>
        <v>30.910046057243939</v>
      </c>
      <c r="M903" s="8" t="s">
        <v>4786</v>
      </c>
      <c r="N903" s="4" t="s">
        <v>4786</v>
      </c>
      <c r="O903" s="4" t="s">
        <v>4787</v>
      </c>
      <c r="P903" s="4" t="s">
        <v>96</v>
      </c>
      <c r="Q903" s="4" t="s">
        <v>57</v>
      </c>
      <c r="R903" s="4" t="s">
        <v>61</v>
      </c>
      <c r="S903" s="4" t="s">
        <v>62</v>
      </c>
      <c r="T903" s="6" t="e">
        <v>#N/A</v>
      </c>
      <c r="U903" s="5">
        <v>59</v>
      </c>
      <c r="V903" s="5">
        <v>51</v>
      </c>
      <c r="W903" s="5">
        <v>64</v>
      </c>
      <c r="X903" s="5">
        <v>64</v>
      </c>
      <c r="Y903" s="5">
        <v>62.71</v>
      </c>
      <c r="Z903" s="5">
        <v>62.71</v>
      </c>
      <c r="AA903" s="5">
        <v>57.63</v>
      </c>
      <c r="AB903" s="5">
        <v>57.63</v>
      </c>
      <c r="AC903" s="6">
        <v>0.35</v>
      </c>
      <c r="AD903" s="6">
        <v>0.4</v>
      </c>
      <c r="AE903" s="6">
        <v>0.25</v>
      </c>
      <c r="AF903" s="4" t="s">
        <v>6296</v>
      </c>
      <c r="AG903" s="4" t="s">
        <v>6296</v>
      </c>
      <c r="AH903" s="4" t="s">
        <v>6296</v>
      </c>
      <c r="AI903" s="4" t="s">
        <v>42</v>
      </c>
      <c r="AJ903" s="4" t="s">
        <v>37</v>
      </c>
      <c r="AK903" s="4" t="s">
        <v>6296</v>
      </c>
      <c r="AL903" s="4" t="s">
        <v>6296</v>
      </c>
      <c r="AM903" s="4" t="s">
        <v>42</v>
      </c>
      <c r="AN903" s="4" t="s">
        <v>6296</v>
      </c>
      <c r="AO903" s="4" t="s">
        <v>6296</v>
      </c>
      <c r="AP903" s="4" t="s">
        <v>4788</v>
      </c>
      <c r="AQ903" s="4" t="s">
        <v>47</v>
      </c>
    </row>
    <row r="904" spans="1:43" ht="12.6" customHeight="1" x14ac:dyDescent="0.25">
      <c r="A904" s="8" t="s">
        <v>2893</v>
      </c>
      <c r="B904" s="9">
        <v>20151231</v>
      </c>
      <c r="C904" s="12">
        <f>_xll.FDS("SPX","FG_PRICE(12/30/2015)")</f>
        <v>2063.36</v>
      </c>
      <c r="D904" s="12">
        <f>_xll.FDS("SPX","FG_PRICE(12/30/2017)")</f>
        <v>2673.61</v>
      </c>
      <c r="E904" s="15">
        <f>D904/C904-1</f>
        <v>0.2957554668114144</v>
      </c>
      <c r="F904" s="8" t="s">
        <v>2894</v>
      </c>
      <c r="G904" s="8" t="s">
        <v>2895</v>
      </c>
      <c r="H904" s="13">
        <f>_xll.FDS(G904,"FG_PRICE(12/30/2015)")</f>
        <v>63.25</v>
      </c>
      <c r="I904" s="13">
        <f>_xll.FDS(G904,"FG_PRICE(12/31/2017)")</f>
        <v>62.55</v>
      </c>
      <c r="J904" s="13">
        <f>I904/H904-1</f>
        <v>-1.1067193675889375E-2</v>
      </c>
      <c r="K904" s="13">
        <f>J904-E904</f>
        <v>-0.30682266048730378</v>
      </c>
      <c r="L904" s="13">
        <f>_xll.FDS(G904,"FF_ROE(ANN_R,12/30/2015)")</f>
        <v>27.8186222429986</v>
      </c>
      <c r="M904" s="8" t="s">
        <v>2896</v>
      </c>
      <c r="N904" s="4" t="s">
        <v>2897</v>
      </c>
      <c r="O904" s="4" t="s">
        <v>2898</v>
      </c>
      <c r="P904" s="4" t="s">
        <v>96</v>
      </c>
      <c r="Q904" s="4" t="s">
        <v>57</v>
      </c>
      <c r="R904" s="4" t="s">
        <v>61</v>
      </c>
      <c r="S904" s="4" t="s">
        <v>62</v>
      </c>
      <c r="T904" s="6" t="e">
        <v>#N/A</v>
      </c>
      <c r="U904" s="5">
        <v>69</v>
      </c>
      <c r="V904" s="5">
        <v>68</v>
      </c>
      <c r="W904" s="5">
        <v>72</v>
      </c>
      <c r="X904" s="5">
        <v>64</v>
      </c>
      <c r="Y904" s="5">
        <v>83.05</v>
      </c>
      <c r="Z904" s="5">
        <v>84.75</v>
      </c>
      <c r="AA904" s="5">
        <v>81.36</v>
      </c>
      <c r="AB904" s="5">
        <v>57.63</v>
      </c>
      <c r="AC904" s="6">
        <v>0.35</v>
      </c>
      <c r="AD904" s="6">
        <v>0.4</v>
      </c>
      <c r="AE904" s="6">
        <v>0.25</v>
      </c>
      <c r="AF904" s="4" t="s">
        <v>6296</v>
      </c>
      <c r="AG904" s="4" t="s">
        <v>6296</v>
      </c>
      <c r="AH904" s="4" t="s">
        <v>6296</v>
      </c>
      <c r="AI904" s="4" t="s">
        <v>6296</v>
      </c>
      <c r="AJ904" s="4" t="s">
        <v>37</v>
      </c>
      <c r="AK904" s="4" t="s">
        <v>42</v>
      </c>
      <c r="AL904" s="4" t="s">
        <v>6296</v>
      </c>
      <c r="AM904" s="4" t="s">
        <v>46</v>
      </c>
      <c r="AN904" s="4" t="s">
        <v>6296</v>
      </c>
      <c r="AO904" s="4" t="s">
        <v>6296</v>
      </c>
      <c r="AP904" s="4" t="s">
        <v>2899</v>
      </c>
      <c r="AQ904" s="4" t="s">
        <v>47</v>
      </c>
    </row>
    <row r="905" spans="1:43" ht="12.6" customHeight="1" x14ac:dyDescent="0.25">
      <c r="A905" s="8" t="s">
        <v>5126</v>
      </c>
      <c r="B905" s="9">
        <v>20151231</v>
      </c>
      <c r="C905" s="12">
        <f>_xll.FDS("SPX","FG_PRICE(12/30/2015)")</f>
        <v>2063.36</v>
      </c>
      <c r="D905" s="12">
        <f>_xll.FDS("SPX","FG_PRICE(12/30/2017)")</f>
        <v>2673.61</v>
      </c>
      <c r="E905" s="15">
        <f>D905/C905-1</f>
        <v>0.2957554668114144</v>
      </c>
      <c r="F905" s="8" t="s">
        <v>5127</v>
      </c>
      <c r="G905" s="8" t="s">
        <v>5128</v>
      </c>
      <c r="H905" s="13">
        <f>_xll.FDS(G905,"FG_PRICE(12/30/2015)")</f>
        <v>73.150000000000006</v>
      </c>
      <c r="I905" s="13">
        <f>_xll.FDS(G905,"FG_PRICE(12/31/2017)")</f>
        <v>137.21</v>
      </c>
      <c r="J905" s="13">
        <f>I905/H905-1</f>
        <v>0.87573479152426525</v>
      </c>
      <c r="K905" s="13">
        <f>J905-E905</f>
        <v>0.57997932471285085</v>
      </c>
      <c r="L905" s="13">
        <f>_xll.FDS(G905,"FF_ROE(ANN_R,12/30/2015)")</f>
        <v>10.092558416429309</v>
      </c>
      <c r="M905" s="8" t="s">
        <v>5129</v>
      </c>
      <c r="N905" s="4" t="s">
        <v>5129</v>
      </c>
      <c r="O905" s="4" t="s">
        <v>5130</v>
      </c>
      <c r="P905" s="4" t="s">
        <v>96</v>
      </c>
      <c r="Q905" s="4" t="s">
        <v>57</v>
      </c>
      <c r="R905" s="4" t="s">
        <v>61</v>
      </c>
      <c r="S905" s="4" t="s">
        <v>62</v>
      </c>
      <c r="T905" s="6" t="e">
        <v>#N/A</v>
      </c>
      <c r="U905" s="5">
        <v>66</v>
      </c>
      <c r="V905" s="5">
        <v>65</v>
      </c>
      <c r="W905" s="5">
        <v>71</v>
      </c>
      <c r="X905" s="5">
        <v>61</v>
      </c>
      <c r="Y905" s="5">
        <v>77.97</v>
      </c>
      <c r="Z905" s="5">
        <v>83.05</v>
      </c>
      <c r="AA905" s="5">
        <v>77.97</v>
      </c>
      <c r="AB905" s="5">
        <v>49.15</v>
      </c>
      <c r="AC905" s="6">
        <v>0.35</v>
      </c>
      <c r="AD905" s="6">
        <v>0.4</v>
      </c>
      <c r="AE905" s="6">
        <v>0.25</v>
      </c>
      <c r="AF905" s="4" t="s">
        <v>6296</v>
      </c>
      <c r="AG905" s="4" t="s">
        <v>42</v>
      </c>
      <c r="AH905" s="4" t="s">
        <v>6296</v>
      </c>
      <c r="AI905" s="4" t="s">
        <v>6296</v>
      </c>
      <c r="AJ905" s="4" t="s">
        <v>42</v>
      </c>
      <c r="AK905" s="4" t="s">
        <v>6296</v>
      </c>
      <c r="AL905" s="4" t="s">
        <v>6296</v>
      </c>
      <c r="AM905" s="4" t="s">
        <v>42</v>
      </c>
      <c r="AN905" s="4" t="s">
        <v>6296</v>
      </c>
      <c r="AO905" s="4" t="s">
        <v>6296</v>
      </c>
      <c r="AP905" s="4" t="s">
        <v>5131</v>
      </c>
      <c r="AQ905" s="4" t="s">
        <v>47</v>
      </c>
    </row>
    <row r="906" spans="1:43" ht="12.6" customHeight="1" x14ac:dyDescent="0.25">
      <c r="A906" s="8" t="s">
        <v>5221</v>
      </c>
      <c r="B906" s="9">
        <v>20151231</v>
      </c>
      <c r="C906" s="12">
        <f>_xll.FDS("SPX","FG_PRICE(12/30/2015)")</f>
        <v>2063.36</v>
      </c>
      <c r="D906" s="12">
        <f>_xll.FDS("SPX","FG_PRICE(12/30/2017)")</f>
        <v>2673.61</v>
      </c>
      <c r="E906" s="15">
        <f>D906/C906-1</f>
        <v>0.2957554668114144</v>
      </c>
      <c r="F906" s="8" t="s">
        <v>5222</v>
      </c>
      <c r="G906" s="8" t="s">
        <v>5223</v>
      </c>
      <c r="H906" s="13">
        <f>_xll.FDS(G906,"FG_PRICE(12/30/2015)")</f>
        <v>112.66</v>
      </c>
      <c r="I906" s="13">
        <f>_xll.FDS(G906,"FG_PRICE(12/31/2017)")</f>
        <v>103.69</v>
      </c>
      <c r="J906" s="13">
        <f>I906/H906-1</f>
        <v>-7.9620095863660589E-2</v>
      </c>
      <c r="K906" s="13">
        <f>J906-E906</f>
        <v>-0.37537556267507499</v>
      </c>
      <c r="L906" s="13">
        <f>_xll.FDS(G906,"FF_ROE(ANN_R,12/30/2015)")</f>
        <v>17.71608832807571</v>
      </c>
      <c r="M906" s="8" t="s">
        <v>5224</v>
      </c>
      <c r="N906" s="4" t="s">
        <v>5225</v>
      </c>
      <c r="O906" s="4" t="s">
        <v>5226</v>
      </c>
      <c r="P906" s="4" t="s">
        <v>96</v>
      </c>
      <c r="Q906" s="4" t="s">
        <v>57</v>
      </c>
      <c r="R906" s="4" t="s">
        <v>61</v>
      </c>
      <c r="S906" s="4" t="s">
        <v>62</v>
      </c>
      <c r="T906" s="6" t="e">
        <v>#N/A</v>
      </c>
      <c r="U906" s="5">
        <v>53</v>
      </c>
      <c r="V906" s="5">
        <v>39</v>
      </c>
      <c r="W906" s="5">
        <v>62</v>
      </c>
      <c r="X906" s="5">
        <v>60</v>
      </c>
      <c r="Y906" s="5">
        <v>42.37</v>
      </c>
      <c r="Z906" s="5">
        <v>33.9</v>
      </c>
      <c r="AA906" s="5">
        <v>52.54</v>
      </c>
      <c r="AB906" s="5">
        <v>42.37</v>
      </c>
      <c r="AC906" s="6">
        <v>0.35</v>
      </c>
      <c r="AD906" s="6">
        <v>0.4</v>
      </c>
      <c r="AE906" s="6">
        <v>0.25</v>
      </c>
      <c r="AF906" s="4" t="s">
        <v>6296</v>
      </c>
      <c r="AG906" s="4" t="s">
        <v>42</v>
      </c>
      <c r="AH906" s="4" t="s">
        <v>42</v>
      </c>
      <c r="AI906" s="4" t="s">
        <v>42</v>
      </c>
      <c r="AJ906" s="4" t="s">
        <v>42</v>
      </c>
      <c r="AK906" s="4" t="s">
        <v>6296</v>
      </c>
      <c r="AL906" s="4" t="s">
        <v>6296</v>
      </c>
      <c r="AM906" s="4" t="s">
        <v>42</v>
      </c>
      <c r="AN906" s="4" t="s">
        <v>6296</v>
      </c>
      <c r="AO906" s="4" t="s">
        <v>6296</v>
      </c>
      <c r="AP906" s="4" t="s">
        <v>5227</v>
      </c>
      <c r="AQ906" s="4" t="s">
        <v>47</v>
      </c>
    </row>
    <row r="907" spans="1:43" ht="12.6" customHeight="1" x14ac:dyDescent="0.25">
      <c r="A907" s="8" t="s">
        <v>2939</v>
      </c>
      <c r="B907" s="9">
        <v>20151231</v>
      </c>
      <c r="C907" s="12">
        <f>_xll.FDS("SPX","FG_PRICE(12/30/2015)")</f>
        <v>2063.36</v>
      </c>
      <c r="D907" s="12">
        <f>_xll.FDS("SPX","FG_PRICE(12/30/2017)")</f>
        <v>2673.61</v>
      </c>
      <c r="E907" s="15">
        <f>D907/C907-1</f>
        <v>0.2957554668114144</v>
      </c>
      <c r="F907" s="8" t="s">
        <v>2940</v>
      </c>
      <c r="G907" s="8" t="s">
        <v>2941</v>
      </c>
      <c r="H907" s="13">
        <f>_xll.FDS(G907,"FG_PRICE(12/30/2015)")</f>
        <v>32.67</v>
      </c>
      <c r="I907" s="13">
        <f>_xll.FDS(G907,"FG_PRICE(12/31/2017)")</f>
        <v>44.23</v>
      </c>
      <c r="J907" s="13">
        <f>I907/H907-1</f>
        <v>0.35384144475053558</v>
      </c>
      <c r="K907" s="13">
        <f>J907-E907</f>
        <v>5.8085977939121181E-2</v>
      </c>
      <c r="L907" s="13">
        <f>_xll.FDS(G907,"FF_ROE(ANN_R,12/30/2015)")</f>
        <v>16.389192826144019</v>
      </c>
      <c r="M907" s="8" t="s">
        <v>2942</v>
      </c>
      <c r="N907" s="4" t="s">
        <v>2943</v>
      </c>
      <c r="O907" s="4" t="s">
        <v>2944</v>
      </c>
      <c r="P907" s="4" t="s">
        <v>96</v>
      </c>
      <c r="Q907" s="4" t="s">
        <v>57</v>
      </c>
      <c r="R907" s="4" t="s">
        <v>61</v>
      </c>
      <c r="S907" s="4" t="s">
        <v>62</v>
      </c>
      <c r="T907" s="6" t="e">
        <v>#N/A</v>
      </c>
      <c r="U907" s="5">
        <v>65</v>
      </c>
      <c r="V907" s="5">
        <v>53</v>
      </c>
      <c r="W907" s="5">
        <v>73</v>
      </c>
      <c r="X907" s="5">
        <v>71</v>
      </c>
      <c r="Y907" s="5">
        <v>76.27</v>
      </c>
      <c r="Z907" s="5">
        <v>66.099999999999994</v>
      </c>
      <c r="AA907" s="5">
        <v>83.05</v>
      </c>
      <c r="AB907" s="5">
        <v>86.44</v>
      </c>
      <c r="AC907" s="6">
        <v>0.35</v>
      </c>
      <c r="AD907" s="6">
        <v>0.4</v>
      </c>
      <c r="AE907" s="6">
        <v>0.25</v>
      </c>
      <c r="AF907" s="4" t="s">
        <v>6296</v>
      </c>
      <c r="AG907" s="4" t="s">
        <v>6296</v>
      </c>
      <c r="AH907" s="4" t="s">
        <v>6296</v>
      </c>
      <c r="AI907" s="4" t="s">
        <v>6296</v>
      </c>
      <c r="AJ907" s="4" t="s">
        <v>42</v>
      </c>
      <c r="AK907" s="4" t="s">
        <v>6296</v>
      </c>
      <c r="AL907" s="4" t="s">
        <v>6296</v>
      </c>
      <c r="AM907" s="4" t="s">
        <v>42</v>
      </c>
      <c r="AN907" s="4" t="s">
        <v>6296</v>
      </c>
      <c r="AO907" s="4" t="s">
        <v>6296</v>
      </c>
      <c r="AP907" s="4" t="s">
        <v>2945</v>
      </c>
      <c r="AQ907" s="4" t="s">
        <v>47</v>
      </c>
    </row>
    <row r="908" spans="1:43" ht="12.6" customHeight="1" x14ac:dyDescent="0.25">
      <c r="A908" s="8" t="s">
        <v>4700</v>
      </c>
      <c r="B908" s="9">
        <v>20151231</v>
      </c>
      <c r="C908" s="12">
        <f>_xll.FDS("SPX","FG_PRICE(12/30/2015)")</f>
        <v>2063.36</v>
      </c>
      <c r="D908" s="12">
        <f>_xll.FDS("SPX","FG_PRICE(12/30/2017)")</f>
        <v>2673.61</v>
      </c>
      <c r="E908" s="15">
        <f>D908/C908-1</f>
        <v>0.2957554668114144</v>
      </c>
      <c r="F908" s="8" t="s">
        <v>4701</v>
      </c>
      <c r="G908" s="8" t="s">
        <v>4702</v>
      </c>
      <c r="H908" s="13">
        <f>_xll.FDS(G908,"FG_PRICE(12/30/2015)")</f>
        <v>41.821956999999998</v>
      </c>
      <c r="I908" s="13">
        <f>_xll.FDS(G908,"FG_PRICE(12/31/2017)")</f>
        <v>14.43</v>
      </c>
      <c r="J908" s="13">
        <f>I908/H908-1</f>
        <v>-0.65496593093431765</v>
      </c>
      <c r="K908" s="13">
        <f>J908-E908</f>
        <v>-0.95072139774573206</v>
      </c>
      <c r="L908" s="13">
        <f>_xll.FDS(G908,"FF_ROE(ANN_R,12/30/2015)")</f>
        <v>17.310478130379831</v>
      </c>
      <c r="M908" s="8" t="s">
        <v>4703</v>
      </c>
      <c r="N908" s="4" t="s">
        <v>4704</v>
      </c>
      <c r="O908" s="4" t="s">
        <v>4705</v>
      </c>
      <c r="P908" s="4" t="s">
        <v>96</v>
      </c>
      <c r="Q908" s="4" t="s">
        <v>57</v>
      </c>
      <c r="R908" s="4" t="s">
        <v>61</v>
      </c>
      <c r="S908" s="4" t="s">
        <v>62</v>
      </c>
      <c r="T908" s="6" t="e">
        <v>#N/A</v>
      </c>
      <c r="U908" s="5">
        <v>53</v>
      </c>
      <c r="V908" s="5">
        <v>38</v>
      </c>
      <c r="W908" s="5">
        <v>56</v>
      </c>
      <c r="X908" s="5">
        <v>69</v>
      </c>
      <c r="Y908" s="5">
        <v>42.37</v>
      </c>
      <c r="Z908" s="5">
        <v>27.12</v>
      </c>
      <c r="AA908" s="5">
        <v>42.37</v>
      </c>
      <c r="AB908" s="5">
        <v>81.36</v>
      </c>
      <c r="AC908" s="6">
        <v>0.35</v>
      </c>
      <c r="AD908" s="6">
        <v>0.4</v>
      </c>
      <c r="AE908" s="6">
        <v>0.25</v>
      </c>
      <c r="AF908" s="4" t="s">
        <v>6296</v>
      </c>
      <c r="AG908" s="4" t="s">
        <v>6296</v>
      </c>
      <c r="AH908" s="4" t="s">
        <v>6296</v>
      </c>
      <c r="AI908" s="4" t="s">
        <v>6296</v>
      </c>
      <c r="AJ908" s="4" t="s">
        <v>42</v>
      </c>
      <c r="AK908" s="4" t="s">
        <v>6296</v>
      </c>
      <c r="AL908" s="4" t="s">
        <v>6296</v>
      </c>
      <c r="AM908" s="4" t="s">
        <v>6296</v>
      </c>
      <c r="AN908" s="4" t="s">
        <v>42</v>
      </c>
      <c r="AO908" s="4" t="s">
        <v>6296</v>
      </c>
      <c r="AP908" s="4" t="s">
        <v>4706</v>
      </c>
      <c r="AQ908" s="4" t="s">
        <v>47</v>
      </c>
    </row>
    <row r="909" spans="1:43" ht="12.6" customHeight="1" x14ac:dyDescent="0.25">
      <c r="A909" s="8" t="s">
        <v>4212</v>
      </c>
      <c r="B909" s="9">
        <v>20151231</v>
      </c>
      <c r="C909" s="12">
        <f>_xll.FDS("SPX","FG_PRICE(12/30/2015)")</f>
        <v>2063.36</v>
      </c>
      <c r="D909" s="12">
        <f>_xll.FDS("SPX","FG_PRICE(12/30/2017)")</f>
        <v>2673.61</v>
      </c>
      <c r="E909" s="15">
        <f>D909/C909-1</f>
        <v>0.2957554668114144</v>
      </c>
      <c r="F909" s="8" t="s">
        <v>4213</v>
      </c>
      <c r="G909" s="8" t="s">
        <v>4214</v>
      </c>
      <c r="H909" s="13">
        <f>_xll.FDS(G909,"FG_PRICE(12/30/2015)")</f>
        <v>62.66</v>
      </c>
      <c r="I909" s="13">
        <f>_xll.FDS(G909,"FG_PRICE(12/31/2017)")</f>
        <v>74</v>
      </c>
      <c r="J909" s="13">
        <f>I909/H909-1</f>
        <v>0.18097669964889884</v>
      </c>
      <c r="K909" s="13">
        <f>J909-E909</f>
        <v>-0.11477876716251556</v>
      </c>
      <c r="L909" s="13">
        <f>_xll.FDS(G909,"FF_ROE(ANN_R,12/30/2015)")</f>
        <v>17.893955544622791</v>
      </c>
      <c r="M909" s="8" t="s">
        <v>4215</v>
      </c>
      <c r="N909" s="4" t="s">
        <v>4215</v>
      </c>
      <c r="O909" s="4" t="s">
        <v>4216</v>
      </c>
      <c r="P909" s="4" t="s">
        <v>96</v>
      </c>
      <c r="Q909" s="4" t="s">
        <v>57</v>
      </c>
      <c r="R909" s="4" t="s">
        <v>61</v>
      </c>
      <c r="S909" s="4" t="s">
        <v>62</v>
      </c>
      <c r="T909" s="6" t="e">
        <v>#N/A</v>
      </c>
      <c r="U909" s="5">
        <v>70</v>
      </c>
      <c r="V909" s="5">
        <v>68</v>
      </c>
      <c r="W909" s="5">
        <v>73</v>
      </c>
      <c r="X909" s="5">
        <v>67</v>
      </c>
      <c r="Y909" s="5">
        <v>86.44</v>
      </c>
      <c r="Z909" s="5">
        <v>84.75</v>
      </c>
      <c r="AA909" s="5">
        <v>83.05</v>
      </c>
      <c r="AB909" s="5">
        <v>74.58</v>
      </c>
      <c r="AC909" s="6">
        <v>0.35</v>
      </c>
      <c r="AD909" s="6">
        <v>0.4</v>
      </c>
      <c r="AE909" s="6">
        <v>0.25</v>
      </c>
      <c r="AF909" s="4" t="s">
        <v>6296</v>
      </c>
      <c r="AG909" s="4" t="s">
        <v>6296</v>
      </c>
      <c r="AH909" s="4" t="s">
        <v>6296</v>
      </c>
      <c r="AI909" s="4" t="s">
        <v>6296</v>
      </c>
      <c r="AJ909" s="4" t="s">
        <v>42</v>
      </c>
      <c r="AK909" s="4" t="s">
        <v>42</v>
      </c>
      <c r="AL909" s="4" t="s">
        <v>6296</v>
      </c>
      <c r="AM909" s="4" t="s">
        <v>6296</v>
      </c>
      <c r="AN909" s="4" t="s">
        <v>6296</v>
      </c>
      <c r="AO909" s="4" t="s">
        <v>6296</v>
      </c>
      <c r="AP909" s="4" t="s">
        <v>4217</v>
      </c>
      <c r="AQ909" s="4" t="s">
        <v>47</v>
      </c>
    </row>
    <row r="910" spans="1:43" ht="12.6" customHeight="1" x14ac:dyDescent="0.25">
      <c r="A910" s="8" t="s">
        <v>5898</v>
      </c>
      <c r="B910" s="9">
        <v>20151231</v>
      </c>
      <c r="C910" s="12">
        <f>_xll.FDS("SPX","FG_PRICE(12/30/2015)")</f>
        <v>2063.36</v>
      </c>
      <c r="D910" s="12">
        <f>_xll.FDS("SPX","FG_PRICE(12/30/2017)")</f>
        <v>2673.61</v>
      </c>
      <c r="E910" s="15">
        <f>D910/C910-1</f>
        <v>0.2957554668114144</v>
      </c>
      <c r="F910" s="8" t="s">
        <v>5899</v>
      </c>
      <c r="G910" s="8" t="s">
        <v>5900</v>
      </c>
      <c r="H910" s="13">
        <f>_xll.FDS(G910,"FG_PRICE(12/30/2015)")</f>
        <v>16.02</v>
      </c>
      <c r="I910" s="13">
        <f>_xll.FDS(G910,"FG_PRICE(12/31/2017)")</f>
        <v>11.03</v>
      </c>
      <c r="J910" s="13">
        <f>I910/H910-1</f>
        <v>-0.31148564294631709</v>
      </c>
      <c r="K910" s="13">
        <f>J910-E910</f>
        <v>-0.60724110975773149</v>
      </c>
      <c r="L910" s="13">
        <f>_xll.FDS(G910,"FF_ROE(ANN_R,12/30/2015)")</f>
        <v>6.1040339702760082</v>
      </c>
      <c r="M910" s="8" t="s">
        <v>5901</v>
      </c>
      <c r="N910" s="4" t="s">
        <v>5902</v>
      </c>
      <c r="O910" s="4" t="s">
        <v>5903</v>
      </c>
      <c r="P910" s="4" t="s">
        <v>96</v>
      </c>
      <c r="Q910" s="4" t="s">
        <v>39</v>
      </c>
      <c r="R910" s="4" t="s">
        <v>61</v>
      </c>
      <c r="S910" s="4" t="s">
        <v>62</v>
      </c>
      <c r="T910" s="6" t="e">
        <v>#N/A</v>
      </c>
      <c r="U910" s="5">
        <v>57</v>
      </c>
      <c r="V910" s="5">
        <v>41</v>
      </c>
      <c r="W910" s="5">
        <v>61</v>
      </c>
      <c r="X910" s="5">
        <v>74</v>
      </c>
      <c r="Y910" s="5">
        <v>46</v>
      </c>
      <c r="Z910" s="6">
        <v>6</v>
      </c>
      <c r="AA910" s="5">
        <v>70</v>
      </c>
      <c r="AB910" s="5">
        <v>76</v>
      </c>
      <c r="AC910" s="6">
        <v>0.35</v>
      </c>
      <c r="AD910" s="6">
        <v>0.4</v>
      </c>
      <c r="AE910" s="6">
        <v>0.25</v>
      </c>
      <c r="AF910" s="4" t="s">
        <v>6296</v>
      </c>
      <c r="AG910" s="4" t="s">
        <v>6296</v>
      </c>
      <c r="AH910" s="4" t="s">
        <v>6296</v>
      </c>
      <c r="AI910" s="4" t="s">
        <v>6296</v>
      </c>
      <c r="AJ910" s="4" t="s">
        <v>6296</v>
      </c>
      <c r="AK910" s="4" t="s">
        <v>6296</v>
      </c>
      <c r="AL910" s="4" t="s">
        <v>6296</v>
      </c>
      <c r="AM910" s="4" t="s">
        <v>6296</v>
      </c>
      <c r="AN910" s="4" t="s">
        <v>6296</v>
      </c>
      <c r="AO910" s="4" t="s">
        <v>6296</v>
      </c>
      <c r="AP910" s="4" t="s">
        <v>5904</v>
      </c>
      <c r="AQ910" s="4" t="s">
        <v>47</v>
      </c>
    </row>
    <row r="911" spans="1:43" ht="12.6" customHeight="1" x14ac:dyDescent="0.25">
      <c r="A911" s="8" t="s">
        <v>1600</v>
      </c>
      <c r="B911" s="9">
        <v>20151231</v>
      </c>
      <c r="C911" s="12">
        <f>_xll.FDS("SPX","FG_PRICE(12/30/2015)")</f>
        <v>2063.36</v>
      </c>
      <c r="D911" s="12">
        <f>_xll.FDS("SPX","FG_PRICE(12/30/2017)")</f>
        <v>2673.61</v>
      </c>
      <c r="E911" s="15">
        <f>D911/C911-1</f>
        <v>0.2957554668114144</v>
      </c>
      <c r="F911" s="8" t="s">
        <v>1601</v>
      </c>
      <c r="G911" s="8" t="s">
        <v>1602</v>
      </c>
      <c r="H911" s="13">
        <f>_xll.FDS(G911,"FG_PRICE(12/30/2015)")</f>
        <v>41.51</v>
      </c>
      <c r="I911" s="13">
        <f>_xll.FDS(G911,"FG_PRICE(12/31/2017)")</f>
        <v>54.69</v>
      </c>
      <c r="J911" s="13">
        <f>I911/H911-1</f>
        <v>0.3175138520838352</v>
      </c>
      <c r="K911" s="13">
        <f>J911-E911</f>
        <v>2.1758385272420799E-2</v>
      </c>
      <c r="L911" s="13">
        <f>_xll.FDS(G911,"FF_ROE(ANN_R,12/30/2015)")</f>
        <v>26.79834724996299</v>
      </c>
      <c r="M911" s="8" t="s">
        <v>1603</v>
      </c>
      <c r="N911" s="4" t="s">
        <v>1603</v>
      </c>
      <c r="O911" s="4" t="s">
        <v>1604</v>
      </c>
      <c r="P911" s="4" t="s">
        <v>106</v>
      </c>
      <c r="Q911" s="4" t="s">
        <v>39</v>
      </c>
      <c r="R911" s="4" t="s">
        <v>61</v>
      </c>
      <c r="S911" s="4" t="s">
        <v>62</v>
      </c>
      <c r="T911" s="6" t="e">
        <v>#N/A</v>
      </c>
      <c r="U911" s="5">
        <v>58</v>
      </c>
      <c r="V911" s="5">
        <v>62</v>
      </c>
      <c r="W911" s="5">
        <v>48</v>
      </c>
      <c r="X911" s="5">
        <v>70</v>
      </c>
      <c r="Y911" s="5">
        <v>50</v>
      </c>
      <c r="Z911" s="5">
        <v>70</v>
      </c>
      <c r="AA911" s="5">
        <v>10</v>
      </c>
      <c r="AB911" s="5">
        <v>62</v>
      </c>
      <c r="AC911" s="6">
        <v>0.35</v>
      </c>
      <c r="AD911" s="6">
        <v>0.4</v>
      </c>
      <c r="AE911" s="6">
        <v>0.25</v>
      </c>
      <c r="AF911" s="4" t="s">
        <v>6296</v>
      </c>
      <c r="AG911" s="4" t="s">
        <v>6296</v>
      </c>
      <c r="AH911" s="4" t="s">
        <v>6296</v>
      </c>
      <c r="AI911" s="4" t="s">
        <v>37</v>
      </c>
      <c r="AJ911" s="4" t="s">
        <v>6296</v>
      </c>
      <c r="AK911" s="4" t="s">
        <v>6296</v>
      </c>
      <c r="AL911" s="4" t="s">
        <v>6296</v>
      </c>
      <c r="AM911" s="4" t="s">
        <v>6296</v>
      </c>
      <c r="AN911" s="4" t="s">
        <v>6296</v>
      </c>
      <c r="AO911" s="4" t="s">
        <v>6296</v>
      </c>
      <c r="AP911" s="4" t="s">
        <v>1605</v>
      </c>
      <c r="AQ911" s="4" t="s">
        <v>47</v>
      </c>
    </row>
    <row r="912" spans="1:43" ht="12.6" customHeight="1" x14ac:dyDescent="0.25">
      <c r="A912" s="8" t="s">
        <v>1718</v>
      </c>
      <c r="B912" s="9">
        <v>20151231</v>
      </c>
      <c r="C912" s="12">
        <f>_xll.FDS("SPX","FG_PRICE(12/30/2015)")</f>
        <v>2063.36</v>
      </c>
      <c r="D912" s="12">
        <f>_xll.FDS("SPX","FG_PRICE(12/30/2017)")</f>
        <v>2673.61</v>
      </c>
      <c r="E912" s="15">
        <f>D912/C912-1</f>
        <v>0.2957554668114144</v>
      </c>
      <c r="F912" s="8" t="s">
        <v>1719</v>
      </c>
      <c r="G912" s="8" t="s">
        <v>1720</v>
      </c>
      <c r="H912" s="13">
        <f>_xll.FDS(G912,"FG_PRICE(12/30/2015)")</f>
        <v>43.03</v>
      </c>
      <c r="I912" s="13">
        <f>_xll.FDS(G912,"FG_PRICE(12/31/2017)")</f>
        <v>62.16</v>
      </c>
      <c r="J912" s="13">
        <f>I912/H912-1</f>
        <v>0.44457355333488247</v>
      </c>
      <c r="K912" s="13">
        <f>J912-E912</f>
        <v>0.14881808652346806</v>
      </c>
      <c r="L912" s="13">
        <f>_xll.FDS(G912,"FF_ROE(ANN_R,12/30/2015)")</f>
        <v>15.12357063814091</v>
      </c>
      <c r="M912" s="8" t="s">
        <v>1721</v>
      </c>
      <c r="N912" s="4" t="s">
        <v>1721</v>
      </c>
      <c r="O912" s="4" t="s">
        <v>1722</v>
      </c>
      <c r="P912" s="4" t="s">
        <v>96</v>
      </c>
      <c r="Q912" s="4" t="s">
        <v>39</v>
      </c>
      <c r="R912" s="4" t="s">
        <v>61</v>
      </c>
      <c r="S912" s="4" t="s">
        <v>62</v>
      </c>
      <c r="T912" s="6" t="e">
        <v>#N/A</v>
      </c>
      <c r="U912" s="5">
        <v>51</v>
      </c>
      <c r="V912" s="5">
        <v>39</v>
      </c>
      <c r="W912" s="5">
        <v>53</v>
      </c>
      <c r="X912" s="5">
        <v>67</v>
      </c>
      <c r="Y912" s="5">
        <v>20</v>
      </c>
      <c r="Z912" s="6">
        <v>2</v>
      </c>
      <c r="AA912" s="5">
        <v>38</v>
      </c>
      <c r="AB912" s="5">
        <v>54</v>
      </c>
      <c r="AC912" s="6">
        <v>0.35</v>
      </c>
      <c r="AD912" s="6">
        <v>0.4</v>
      </c>
      <c r="AE912" s="6">
        <v>0.25</v>
      </c>
      <c r="AF912" s="4" t="s">
        <v>6296</v>
      </c>
      <c r="AG912" s="4" t="s">
        <v>6296</v>
      </c>
      <c r="AH912" s="4" t="s">
        <v>6296</v>
      </c>
      <c r="AI912" s="4" t="s">
        <v>6296</v>
      </c>
      <c r="AJ912" s="4" t="s">
        <v>6296</v>
      </c>
      <c r="AK912" s="4" t="s">
        <v>6296</v>
      </c>
      <c r="AL912" s="4" t="s">
        <v>6296</v>
      </c>
      <c r="AM912" s="4" t="s">
        <v>6296</v>
      </c>
      <c r="AN912" s="4" t="s">
        <v>6296</v>
      </c>
      <c r="AO912" s="4" t="s">
        <v>6296</v>
      </c>
      <c r="AP912" s="4" t="s">
        <v>1723</v>
      </c>
      <c r="AQ912" s="4" t="s">
        <v>47</v>
      </c>
    </row>
    <row r="913" spans="1:43" ht="12.6" customHeight="1" x14ac:dyDescent="0.25">
      <c r="A913" s="8" t="s">
        <v>1800</v>
      </c>
      <c r="B913" s="9">
        <v>20151231</v>
      </c>
      <c r="C913" s="12">
        <f>_xll.FDS("SPX","FG_PRICE(12/30/2015)")</f>
        <v>2063.36</v>
      </c>
      <c r="D913" s="12">
        <f>_xll.FDS("SPX","FG_PRICE(12/30/2017)")</f>
        <v>2673.61</v>
      </c>
      <c r="E913" s="15">
        <f>D913/C913-1</f>
        <v>0.2957554668114144</v>
      </c>
      <c r="F913" s="8" t="s">
        <v>1801</v>
      </c>
      <c r="G913" s="8" t="s">
        <v>1802</v>
      </c>
      <c r="H913" s="13">
        <f>_xll.FDS(G913,"FG_PRICE(12/30/2015)")</f>
        <v>204.7</v>
      </c>
      <c r="I913" s="13">
        <f>_xll.FDS(G913,"FG_PRICE(12/31/2017)")</f>
        <v>236.25</v>
      </c>
      <c r="J913" s="13">
        <f>I913/H913-1</f>
        <v>0.15412799218368356</v>
      </c>
      <c r="K913" s="13">
        <f>J913-E913</f>
        <v>-0.14162747462773084</v>
      </c>
      <c r="L913" s="13">
        <f>_xll.FDS(G913,"FF_ROE(ANN_R,12/30/2015)")</f>
        <v>24.525293677857569</v>
      </c>
      <c r="M913" s="8" t="s">
        <v>1803</v>
      </c>
      <c r="N913" s="4" t="s">
        <v>1804</v>
      </c>
      <c r="O913" s="4" t="s">
        <v>1805</v>
      </c>
      <c r="P913" s="4" t="s">
        <v>96</v>
      </c>
      <c r="Q913" s="4" t="s">
        <v>39</v>
      </c>
      <c r="R913" s="4" t="s">
        <v>61</v>
      </c>
      <c r="S913" s="4" t="s">
        <v>62</v>
      </c>
      <c r="T913" s="6" t="e">
        <v>#N/A</v>
      </c>
      <c r="U913" s="5">
        <v>74</v>
      </c>
      <c r="V913" s="5">
        <v>80</v>
      </c>
      <c r="W913" s="5">
        <v>67</v>
      </c>
      <c r="X913" s="5">
        <v>77</v>
      </c>
      <c r="Y913" s="5">
        <v>92</v>
      </c>
      <c r="Z913" s="5">
        <v>94</v>
      </c>
      <c r="AA913" s="5">
        <v>86</v>
      </c>
      <c r="AB913" s="5">
        <v>82</v>
      </c>
      <c r="AC913" s="6">
        <v>0.35</v>
      </c>
      <c r="AD913" s="6">
        <v>0.4</v>
      </c>
      <c r="AE913" s="6">
        <v>0.25</v>
      </c>
      <c r="AF913" s="4" t="s">
        <v>6296</v>
      </c>
      <c r="AG913" s="4" t="s">
        <v>6296</v>
      </c>
      <c r="AH913" s="4" t="s">
        <v>6296</v>
      </c>
      <c r="AI913" s="4" t="s">
        <v>6296</v>
      </c>
      <c r="AJ913" s="4" t="s">
        <v>6296</v>
      </c>
      <c r="AK913" s="4" t="s">
        <v>42</v>
      </c>
      <c r="AL913" s="4" t="s">
        <v>6296</v>
      </c>
      <c r="AM913" s="4" t="s">
        <v>6296</v>
      </c>
      <c r="AN913" s="4" t="s">
        <v>6296</v>
      </c>
      <c r="AO913" s="4" t="s">
        <v>6296</v>
      </c>
      <c r="AP913" s="4" t="s">
        <v>1806</v>
      </c>
      <c r="AQ913" s="4" t="s">
        <v>47</v>
      </c>
    </row>
    <row r="914" spans="1:43" ht="12.6" customHeight="1" x14ac:dyDescent="0.25">
      <c r="A914" s="8" t="s">
        <v>2603</v>
      </c>
      <c r="B914" s="9">
        <v>20151231</v>
      </c>
      <c r="C914" s="12">
        <f>_xll.FDS("SPX","FG_PRICE(12/30/2015)")</f>
        <v>2063.36</v>
      </c>
      <c r="D914" s="12">
        <f>_xll.FDS("SPX","FG_PRICE(12/30/2017)")</f>
        <v>2673.61</v>
      </c>
      <c r="E914" s="15">
        <f>D914/C914-1</f>
        <v>0.2957554668114144</v>
      </c>
      <c r="F914" s="8" t="s">
        <v>2604</v>
      </c>
      <c r="G914" s="8" t="s">
        <v>2605</v>
      </c>
      <c r="H914" s="13">
        <f>_xll.FDS(G914,"FG_PRICE(12/30/2015)")</f>
        <v>57.35</v>
      </c>
      <c r="I914" s="13">
        <f>_xll.FDS(G914,"FG_PRICE(12/31/2017)")</f>
        <v>96.66</v>
      </c>
      <c r="J914" s="13">
        <f>I914/H914-1</f>
        <v>0.685440278988666</v>
      </c>
      <c r="K914" s="13">
        <f>J914-E914</f>
        <v>0.38968481217725159</v>
      </c>
      <c r="L914" s="13">
        <f>_xll.FDS(G914,"FF_ROE(ANN_R,12/30/2015)")</f>
        <v>16.837901570347871</v>
      </c>
      <c r="M914" s="8" t="s">
        <v>2606</v>
      </c>
      <c r="N914" s="4" t="s">
        <v>2607</v>
      </c>
      <c r="O914" s="4" t="s">
        <v>2608</v>
      </c>
      <c r="P914" s="4" t="s">
        <v>96</v>
      </c>
      <c r="Q914" s="4" t="s">
        <v>39</v>
      </c>
      <c r="R914" s="4" t="s">
        <v>61</v>
      </c>
      <c r="S914" s="4" t="s">
        <v>62</v>
      </c>
      <c r="T914" s="6" t="e">
        <v>#N/A</v>
      </c>
      <c r="U914" s="5">
        <v>52</v>
      </c>
      <c r="V914" s="5">
        <v>46</v>
      </c>
      <c r="W914" s="5">
        <v>54</v>
      </c>
      <c r="X914" s="5">
        <v>57</v>
      </c>
      <c r="Y914" s="5">
        <v>24</v>
      </c>
      <c r="Z914" s="5">
        <v>24</v>
      </c>
      <c r="AA914" s="5">
        <v>44</v>
      </c>
      <c r="AB914" s="5">
        <v>14</v>
      </c>
      <c r="AC914" s="6">
        <v>0.35</v>
      </c>
      <c r="AD914" s="6">
        <v>0.4</v>
      </c>
      <c r="AE914" s="6">
        <v>0.25</v>
      </c>
      <c r="AF914" s="4" t="s">
        <v>6296</v>
      </c>
      <c r="AG914" s="4" t="s">
        <v>6296</v>
      </c>
      <c r="AH914" s="4" t="s">
        <v>6296</v>
      </c>
      <c r="AI914" s="4" t="s">
        <v>6296</v>
      </c>
      <c r="AJ914" s="4" t="s">
        <v>6296</v>
      </c>
      <c r="AK914" s="4" t="s">
        <v>6296</v>
      </c>
      <c r="AL914" s="4" t="s">
        <v>6296</v>
      </c>
      <c r="AM914" s="4" t="s">
        <v>6296</v>
      </c>
      <c r="AN914" s="4" t="s">
        <v>6296</v>
      </c>
      <c r="AO914" s="4" t="s">
        <v>6296</v>
      </c>
      <c r="AP914" s="4" t="s">
        <v>2609</v>
      </c>
      <c r="AQ914" s="4" t="s">
        <v>47</v>
      </c>
    </row>
    <row r="915" spans="1:43" ht="12.6" customHeight="1" x14ac:dyDescent="0.25">
      <c r="A915" s="8" t="s">
        <v>774</v>
      </c>
      <c r="B915" s="9">
        <v>20151231</v>
      </c>
      <c r="C915" s="12">
        <f>_xll.FDS("SPX","FG_PRICE(12/30/2015)")</f>
        <v>2063.36</v>
      </c>
      <c r="D915" s="12">
        <f>_xll.FDS("SPX","FG_PRICE(12/30/2017)")</f>
        <v>2673.61</v>
      </c>
      <c r="E915" s="15">
        <f>D915/C915-1</f>
        <v>0.2957554668114144</v>
      </c>
      <c r="F915" s="8" t="s">
        <v>775</v>
      </c>
      <c r="G915" s="8" t="s">
        <v>776</v>
      </c>
      <c r="H915" s="13">
        <f>_xll.FDS(G915,"FG_PRICE(12/30/2015)")</f>
        <v>72.680000000000007</v>
      </c>
      <c r="I915" s="13">
        <f>_xll.FDS(G915,"FG_PRICE(12/31/2017)")</f>
        <v>171.91</v>
      </c>
      <c r="J915" s="13">
        <f>I915/H915-1</f>
        <v>1.3652999449642267</v>
      </c>
      <c r="K915" s="13">
        <f>J915-E915</f>
        <v>1.0695444781528123</v>
      </c>
      <c r="L915" s="13">
        <f>_xll.FDS(G915,"FF_ROE(ANN_R,12/30/2015)")</f>
        <v>29.62150301700494</v>
      </c>
      <c r="M915" s="8" t="s">
        <v>777</v>
      </c>
      <c r="N915" s="4" t="s">
        <v>778</v>
      </c>
      <c r="O915" s="4" t="s">
        <v>779</v>
      </c>
      <c r="P915" s="4" t="s">
        <v>96</v>
      </c>
      <c r="Q915" s="4" t="s">
        <v>39</v>
      </c>
      <c r="R915" s="4" t="s">
        <v>61</v>
      </c>
      <c r="S915" s="4" t="s">
        <v>62</v>
      </c>
      <c r="T915" s="6" t="e">
        <v>#N/A</v>
      </c>
      <c r="U915" s="5">
        <v>54</v>
      </c>
      <c r="V915" s="5">
        <v>51</v>
      </c>
      <c r="W915" s="5">
        <v>49</v>
      </c>
      <c r="X915" s="5">
        <v>67</v>
      </c>
      <c r="Y915" s="5">
        <v>32</v>
      </c>
      <c r="Z915" s="5">
        <v>36</v>
      </c>
      <c r="AA915" s="5">
        <v>18</v>
      </c>
      <c r="AB915" s="5">
        <v>54</v>
      </c>
      <c r="AC915" s="6">
        <v>0.35</v>
      </c>
      <c r="AD915" s="6">
        <v>0.4</v>
      </c>
      <c r="AE915" s="6">
        <v>0.25</v>
      </c>
      <c r="AF915" s="4" t="s">
        <v>6296</v>
      </c>
      <c r="AG915" s="4" t="s">
        <v>6296</v>
      </c>
      <c r="AH915" s="4" t="s">
        <v>6296</v>
      </c>
      <c r="AI915" s="4" t="s">
        <v>6296</v>
      </c>
      <c r="AJ915" s="4" t="s">
        <v>6296</v>
      </c>
      <c r="AK915" s="4" t="s">
        <v>6296</v>
      </c>
      <c r="AL915" s="4" t="s">
        <v>6296</v>
      </c>
      <c r="AM915" s="4" t="s">
        <v>37</v>
      </c>
      <c r="AN915" s="4" t="s">
        <v>6296</v>
      </c>
      <c r="AO915" s="4" t="s">
        <v>6296</v>
      </c>
      <c r="AP915" s="4" t="s">
        <v>780</v>
      </c>
      <c r="AQ915" s="4" t="s">
        <v>47</v>
      </c>
    </row>
    <row r="916" spans="1:43" ht="12.6" customHeight="1" x14ac:dyDescent="0.25">
      <c r="A916" s="8" t="s">
        <v>5931</v>
      </c>
      <c r="B916" s="9">
        <v>20151231</v>
      </c>
      <c r="C916" s="12">
        <f>_xll.FDS("SPX","FG_PRICE(12/30/2015)")</f>
        <v>2063.36</v>
      </c>
      <c r="D916" s="12">
        <f>_xll.FDS("SPX","FG_PRICE(12/30/2017)")</f>
        <v>2673.61</v>
      </c>
      <c r="E916" s="15">
        <f>D916/C916-1</f>
        <v>0.2957554668114144</v>
      </c>
      <c r="F916" s="8" t="s">
        <v>5932</v>
      </c>
      <c r="G916" s="8" t="s">
        <v>5933</v>
      </c>
      <c r="H916" s="13">
        <f>_xll.FDS(G916,"FG_PRICE(12/30/2015)")</f>
        <v>38.64</v>
      </c>
      <c r="I916" s="13">
        <f>_xll.FDS(G916,"FG_PRICE(12/31/2017)")</f>
        <v>28.9</v>
      </c>
      <c r="J916" s="13">
        <f>I916/H916-1</f>
        <v>-0.25207039337474124</v>
      </c>
      <c r="K916" s="13">
        <f>J916-E916</f>
        <v>-0.54782586018615564</v>
      </c>
      <c r="L916" s="13">
        <f>_xll.FDS(G916,"FF_ROE(ANN_R,12/30/2015)")</f>
        <v>-3.0183422335732528</v>
      </c>
      <c r="M916" s="8" t="s">
        <v>5934</v>
      </c>
      <c r="N916" s="4" t="s">
        <v>5935</v>
      </c>
      <c r="O916" s="4" t="s">
        <v>5936</v>
      </c>
      <c r="P916" s="4" t="s">
        <v>96</v>
      </c>
      <c r="Q916" s="4" t="s">
        <v>39</v>
      </c>
      <c r="R916" s="4" t="s">
        <v>61</v>
      </c>
      <c r="S916" s="4" t="s">
        <v>62</v>
      </c>
      <c r="T916" s="6" t="e">
        <v>#N/A</v>
      </c>
      <c r="U916" s="5">
        <v>51</v>
      </c>
      <c r="V916" s="5">
        <v>43</v>
      </c>
      <c r="W916" s="5">
        <v>55</v>
      </c>
      <c r="X916" s="5">
        <v>57</v>
      </c>
      <c r="Y916" s="5">
        <v>20</v>
      </c>
      <c r="Z916" s="5">
        <v>18</v>
      </c>
      <c r="AA916" s="5">
        <v>48</v>
      </c>
      <c r="AB916" s="5">
        <v>14</v>
      </c>
      <c r="AC916" s="6">
        <v>0.35</v>
      </c>
      <c r="AD916" s="6">
        <v>0.4</v>
      </c>
      <c r="AE916" s="6">
        <v>0.25</v>
      </c>
      <c r="AF916" s="4" t="s">
        <v>6296</v>
      </c>
      <c r="AG916" s="4" t="s">
        <v>6296</v>
      </c>
      <c r="AH916" s="4" t="s">
        <v>6296</v>
      </c>
      <c r="AI916" s="4" t="s">
        <v>6296</v>
      </c>
      <c r="AJ916" s="4" t="s">
        <v>6296</v>
      </c>
      <c r="AK916" s="4" t="s">
        <v>6296</v>
      </c>
      <c r="AL916" s="4" t="s">
        <v>6296</v>
      </c>
      <c r="AM916" s="4" t="s">
        <v>6296</v>
      </c>
      <c r="AN916" s="4" t="s">
        <v>6296</v>
      </c>
      <c r="AO916" s="4" t="s">
        <v>6296</v>
      </c>
      <c r="AP916" s="4" t="s">
        <v>5937</v>
      </c>
      <c r="AQ916" s="4" t="s">
        <v>47</v>
      </c>
    </row>
    <row r="917" spans="1:43" ht="12.6" customHeight="1" x14ac:dyDescent="0.25">
      <c r="A917" s="8" t="s">
        <v>1908</v>
      </c>
      <c r="B917" s="9">
        <v>20151231</v>
      </c>
      <c r="C917" s="12">
        <f>_xll.FDS("SPX","FG_PRICE(12/30/2015)")</f>
        <v>2063.36</v>
      </c>
      <c r="D917" s="12">
        <f>_xll.FDS("SPX","FG_PRICE(12/30/2017)")</f>
        <v>2673.61</v>
      </c>
      <c r="E917" s="15">
        <f>D917/C917-1</f>
        <v>0.2957554668114144</v>
      </c>
      <c r="F917" s="8" t="s">
        <v>1909</v>
      </c>
      <c r="G917" s="8" t="s">
        <v>1910</v>
      </c>
      <c r="H917" s="13">
        <f>_xll.FDS(G917,"FG_PRICE(12/30/2015)")</f>
        <v>44.32</v>
      </c>
      <c r="I917" s="13">
        <f>_xll.FDS(G917,"FG_PRICE(12/31/2017)")</f>
        <v>68.150000000000006</v>
      </c>
      <c r="J917" s="13">
        <f>I917/H917-1</f>
        <v>0.53768050541516255</v>
      </c>
      <c r="K917" s="13">
        <f>J917-E917</f>
        <v>0.24192503860374814</v>
      </c>
      <c r="L917" s="13">
        <f>_xll.FDS(G917,"FF_ROE(ANN_R,12/30/2015)")</f>
        <v>14.94024168659152</v>
      </c>
      <c r="M917" s="8" t="s">
        <v>1911</v>
      </c>
      <c r="N917" s="4" t="s">
        <v>1912</v>
      </c>
      <c r="O917" s="4" t="s">
        <v>1913</v>
      </c>
      <c r="P917" s="4" t="s">
        <v>96</v>
      </c>
      <c r="Q917" s="4" t="s">
        <v>39</v>
      </c>
      <c r="R917" s="4" t="s">
        <v>61</v>
      </c>
      <c r="S917" s="4" t="s">
        <v>62</v>
      </c>
      <c r="T917" s="6" t="e">
        <v>#N/A</v>
      </c>
      <c r="U917" s="5">
        <v>66</v>
      </c>
      <c r="V917" s="5">
        <v>72</v>
      </c>
      <c r="W917" s="5">
        <v>57</v>
      </c>
      <c r="X917" s="5">
        <v>71</v>
      </c>
      <c r="Y917" s="5">
        <v>80</v>
      </c>
      <c r="Z917" s="5">
        <v>88</v>
      </c>
      <c r="AA917" s="5">
        <v>56</v>
      </c>
      <c r="AB917" s="5">
        <v>66</v>
      </c>
      <c r="AC917" s="6">
        <v>0.35</v>
      </c>
      <c r="AD917" s="6">
        <v>0.4</v>
      </c>
      <c r="AE917" s="6">
        <v>0.25</v>
      </c>
      <c r="AF917" s="4" t="s">
        <v>6296</v>
      </c>
      <c r="AG917" s="4" t="s">
        <v>6296</v>
      </c>
      <c r="AH917" s="4" t="s">
        <v>6296</v>
      </c>
      <c r="AI917" s="4" t="s">
        <v>6296</v>
      </c>
      <c r="AJ917" s="4" t="s">
        <v>6296</v>
      </c>
      <c r="AK917" s="4" t="s">
        <v>6296</v>
      </c>
      <c r="AL917" s="4" t="s">
        <v>6296</v>
      </c>
      <c r="AM917" s="4" t="s">
        <v>6296</v>
      </c>
      <c r="AN917" s="4" t="s">
        <v>6296</v>
      </c>
      <c r="AO917" s="4" t="s">
        <v>6296</v>
      </c>
      <c r="AP917" s="4" t="s">
        <v>1914</v>
      </c>
      <c r="AQ917" s="4" t="s">
        <v>47</v>
      </c>
    </row>
    <row r="918" spans="1:43" ht="12.6" customHeight="1" x14ac:dyDescent="0.25">
      <c r="A918" s="8" t="s">
        <v>5734</v>
      </c>
      <c r="B918" s="9">
        <v>20151231</v>
      </c>
      <c r="C918" s="12">
        <f>_xll.FDS("SPX","FG_PRICE(12/30/2015)")</f>
        <v>2063.36</v>
      </c>
      <c r="D918" s="12">
        <f>_xll.FDS("SPX","FG_PRICE(12/30/2017)")</f>
        <v>2673.61</v>
      </c>
      <c r="E918" s="15">
        <f>D918/C918-1</f>
        <v>0.2957554668114144</v>
      </c>
      <c r="F918" s="8" t="s">
        <v>5735</v>
      </c>
      <c r="G918" s="8" t="s">
        <v>5736</v>
      </c>
      <c r="H918" s="13">
        <f>_xll.FDS(G918,"FG_PRICE(12/30/2015)")</f>
        <v>42.8</v>
      </c>
      <c r="I918" s="13">
        <f>_xll.FDS(G918,"FG_PRICE(12/31/2017)")</f>
        <v>52.03</v>
      </c>
      <c r="J918" s="13">
        <f>I918/H918-1</f>
        <v>0.21565420560747683</v>
      </c>
      <c r="K918" s="13">
        <f>J918-E918</f>
        <v>-8.0101261203937568E-2</v>
      </c>
      <c r="L918" s="13" t="e">
        <f>_xll.FDS(G918,"FF_ROE(ANN_R,12/30/2015)")</f>
        <v>#N/A</v>
      </c>
      <c r="M918" s="8" t="s">
        <v>5737</v>
      </c>
      <c r="N918" s="4" t="s">
        <v>5738</v>
      </c>
      <c r="O918" s="4" t="s">
        <v>4916</v>
      </c>
      <c r="P918" s="4" t="s">
        <v>106</v>
      </c>
      <c r="Q918" s="4" t="s">
        <v>74</v>
      </c>
      <c r="R918" s="4" t="s">
        <v>61</v>
      </c>
      <c r="S918" s="4" t="s">
        <v>62</v>
      </c>
      <c r="T918" s="6" t="e">
        <v>#N/A</v>
      </c>
      <c r="U918" s="5">
        <v>52</v>
      </c>
      <c r="V918" s="5">
        <v>45</v>
      </c>
      <c r="W918" s="5">
        <v>53</v>
      </c>
      <c r="X918" s="5">
        <v>61</v>
      </c>
      <c r="Y918" s="5">
        <v>22.92</v>
      </c>
      <c r="Z918" s="5">
        <v>20.83</v>
      </c>
      <c r="AA918" s="5">
        <v>27.78</v>
      </c>
      <c r="AB918" s="5">
        <v>39.58</v>
      </c>
      <c r="AC918" s="6">
        <v>0.35</v>
      </c>
      <c r="AD918" s="6">
        <v>0.4</v>
      </c>
      <c r="AE918" s="6">
        <v>0.25</v>
      </c>
      <c r="AF918" s="4" t="s">
        <v>6296</v>
      </c>
      <c r="AG918" s="4" t="s">
        <v>6296</v>
      </c>
      <c r="AH918" s="4" t="s">
        <v>6296</v>
      </c>
      <c r="AI918" s="4" t="s">
        <v>42</v>
      </c>
      <c r="AJ918" s="4" t="s">
        <v>6296</v>
      </c>
      <c r="AK918" s="4" t="s">
        <v>37</v>
      </c>
      <c r="AL918" s="4" t="s">
        <v>42</v>
      </c>
      <c r="AM918" s="4" t="s">
        <v>37</v>
      </c>
      <c r="AN918" s="4" t="s">
        <v>6296</v>
      </c>
      <c r="AO918" s="4" t="s">
        <v>6296</v>
      </c>
      <c r="AP918" s="4" t="s">
        <v>5739</v>
      </c>
      <c r="AQ918" s="4" t="s">
        <v>47</v>
      </c>
    </row>
    <row r="919" spans="1:43" ht="12.6" customHeight="1" x14ac:dyDescent="0.25">
      <c r="A919" s="8" t="s">
        <v>4789</v>
      </c>
      <c r="B919" s="9">
        <v>20151231</v>
      </c>
      <c r="C919" s="12">
        <f>_xll.FDS("SPX","FG_PRICE(12/30/2015)")</f>
        <v>2063.36</v>
      </c>
      <c r="D919" s="12">
        <f>_xll.FDS("SPX","FG_PRICE(12/30/2017)")</f>
        <v>2673.61</v>
      </c>
      <c r="E919" s="15">
        <f>D919/C919-1</f>
        <v>0.2957554668114144</v>
      </c>
      <c r="F919" s="8" t="s">
        <v>4790</v>
      </c>
      <c r="G919" s="8" t="s">
        <v>4791</v>
      </c>
      <c r="H919" s="13">
        <f>_xll.FDS(G919,"FG_PRICE(12/30/2015)")</f>
        <v>35.950000000000003</v>
      </c>
      <c r="I919" s="13">
        <f>_xll.FDS(G919,"FG_PRICE(12/31/2017)")</f>
        <v>43.88</v>
      </c>
      <c r="J919" s="13">
        <f>I919/H919-1</f>
        <v>0.22058414464534071</v>
      </c>
      <c r="K919" s="13">
        <f>J919-E919</f>
        <v>-7.5171322166073695E-2</v>
      </c>
      <c r="L919" s="13">
        <f>_xll.FDS(G919,"FF_ROE(ANN_R,12/30/2015)")</f>
        <v>34.122562674094709</v>
      </c>
      <c r="M919" s="8" t="s">
        <v>4792</v>
      </c>
      <c r="N919" s="4" t="s">
        <v>4793</v>
      </c>
      <c r="O919" s="4" t="s">
        <v>70</v>
      </c>
      <c r="P919" s="4" t="s">
        <v>106</v>
      </c>
      <c r="Q919" s="4" t="s">
        <v>74</v>
      </c>
      <c r="R919" s="4" t="s">
        <v>61</v>
      </c>
      <c r="S919" s="4" t="s">
        <v>62</v>
      </c>
      <c r="T919" s="6" t="e">
        <v>#N/A</v>
      </c>
      <c r="U919" s="5">
        <v>51</v>
      </c>
      <c r="V919" s="5">
        <v>42</v>
      </c>
      <c r="W919" s="5">
        <v>49</v>
      </c>
      <c r="X919" s="5">
        <v>65</v>
      </c>
      <c r="Y919" s="5">
        <v>18.059999999999999</v>
      </c>
      <c r="Z919" s="5">
        <v>14.58</v>
      </c>
      <c r="AA919" s="6">
        <v>9.7200000000000006</v>
      </c>
      <c r="AB919" s="5">
        <v>49.31</v>
      </c>
      <c r="AC919" s="6">
        <v>0.35</v>
      </c>
      <c r="AD919" s="6">
        <v>0.4</v>
      </c>
      <c r="AE919" s="6">
        <v>0.25</v>
      </c>
      <c r="AF919" s="4" t="s">
        <v>6296</v>
      </c>
      <c r="AG919" s="4" t="s">
        <v>6296</v>
      </c>
      <c r="AH919" s="4" t="s">
        <v>6296</v>
      </c>
      <c r="AI919" s="4" t="s">
        <v>42</v>
      </c>
      <c r="AJ919" s="4" t="s">
        <v>6296</v>
      </c>
      <c r="AK919" s="4" t="s">
        <v>37</v>
      </c>
      <c r="AL919" s="4" t="s">
        <v>6296</v>
      </c>
      <c r="AM919" s="4" t="s">
        <v>37</v>
      </c>
      <c r="AN919" s="4" t="s">
        <v>6296</v>
      </c>
      <c r="AO919" s="4" t="s">
        <v>6296</v>
      </c>
      <c r="AP919" s="4" t="s">
        <v>4794</v>
      </c>
      <c r="AQ919" s="4" t="s">
        <v>47</v>
      </c>
    </row>
    <row r="920" spans="1:43" ht="12.6" customHeight="1" x14ac:dyDescent="0.25">
      <c r="A920" s="8" t="s">
        <v>713</v>
      </c>
      <c r="B920" s="9">
        <v>20151231</v>
      </c>
      <c r="C920" s="12">
        <f>_xll.FDS("SPX","FG_PRICE(12/30/2015)")</f>
        <v>2063.36</v>
      </c>
      <c r="D920" s="12">
        <f>_xll.FDS("SPX","FG_PRICE(12/30/2017)")</f>
        <v>2673.61</v>
      </c>
      <c r="E920" s="15">
        <f>D920/C920-1</f>
        <v>0.2957554668114144</v>
      </c>
      <c r="F920" s="8" t="s">
        <v>714</v>
      </c>
      <c r="G920" s="8" t="s">
        <v>715</v>
      </c>
      <c r="H920" s="13">
        <f>_xll.FDS(G920,"FG_PRICE(12/30/2015)")</f>
        <v>62.36</v>
      </c>
      <c r="I920" s="13">
        <f>_xll.FDS(G920,"FG_PRICE(12/31/2017)")</f>
        <v>89.09</v>
      </c>
      <c r="J920" s="13">
        <f>I920/H920-1</f>
        <v>0.42864015394483657</v>
      </c>
      <c r="K920" s="13">
        <f>J920-E920</f>
        <v>0.13288468713342216</v>
      </c>
      <c r="L920" s="13">
        <f>_xll.FDS(G920,"FF_ROE(ANN_R,12/30/2015)")</f>
        <v>45.271271163449249</v>
      </c>
      <c r="M920" s="8" t="s">
        <v>716</v>
      </c>
      <c r="N920" s="4" t="s">
        <v>717</v>
      </c>
      <c r="O920" s="4" t="s">
        <v>718</v>
      </c>
      <c r="P920" s="4" t="s">
        <v>106</v>
      </c>
      <c r="Q920" s="4" t="s">
        <v>74</v>
      </c>
      <c r="R920" s="4" t="s">
        <v>61</v>
      </c>
      <c r="S920" s="4" t="s">
        <v>62</v>
      </c>
      <c r="T920" s="6" t="e">
        <v>#N/A</v>
      </c>
      <c r="U920" s="5">
        <v>53</v>
      </c>
      <c r="V920" s="5">
        <v>43</v>
      </c>
      <c r="W920" s="5">
        <v>50</v>
      </c>
      <c r="X920" s="5">
        <v>71</v>
      </c>
      <c r="Y920" s="5">
        <v>27.78</v>
      </c>
      <c r="Z920" s="5">
        <v>17.36</v>
      </c>
      <c r="AA920" s="5">
        <v>13.89</v>
      </c>
      <c r="AB920" s="5">
        <v>72.92</v>
      </c>
      <c r="AC920" s="6">
        <v>0.35</v>
      </c>
      <c r="AD920" s="6">
        <v>0.4</v>
      </c>
      <c r="AE920" s="6">
        <v>0.25</v>
      </c>
      <c r="AF920" s="4" t="s">
        <v>6296</v>
      </c>
      <c r="AG920" s="4" t="s">
        <v>6296</v>
      </c>
      <c r="AH920" s="4" t="s">
        <v>6296</v>
      </c>
      <c r="AI920" s="4" t="s">
        <v>6296</v>
      </c>
      <c r="AJ920" s="4" t="s">
        <v>6296</v>
      </c>
      <c r="AK920" s="4" t="s">
        <v>6296</v>
      </c>
      <c r="AL920" s="4" t="s">
        <v>6296</v>
      </c>
      <c r="AM920" s="4" t="s">
        <v>6296</v>
      </c>
      <c r="AN920" s="4" t="s">
        <v>6296</v>
      </c>
      <c r="AO920" s="4" t="s">
        <v>6296</v>
      </c>
      <c r="AP920" s="4" t="s">
        <v>719</v>
      </c>
      <c r="AQ920" s="4" t="s">
        <v>47</v>
      </c>
    </row>
    <row r="921" spans="1:43" ht="12.6" customHeight="1" x14ac:dyDescent="0.25">
      <c r="A921" s="8" t="s">
        <v>841</v>
      </c>
      <c r="B921" s="9">
        <v>20151231</v>
      </c>
      <c r="C921" s="12">
        <f>_xll.FDS("SPX","FG_PRICE(12/30/2015)")</f>
        <v>2063.36</v>
      </c>
      <c r="D921" s="12">
        <f>_xll.FDS("SPX","FG_PRICE(12/30/2017)")</f>
        <v>2673.61</v>
      </c>
      <c r="E921" s="15">
        <f>D921/C921-1</f>
        <v>0.2957554668114144</v>
      </c>
      <c r="F921" s="8" t="s">
        <v>842</v>
      </c>
      <c r="G921" s="8" t="s">
        <v>843</v>
      </c>
      <c r="H921" s="13">
        <f>_xll.FDS(G921,"FG_PRICE(12/30/2015)")</f>
        <v>25.9</v>
      </c>
      <c r="I921" s="13">
        <f>_xll.FDS(G921,"FG_PRICE(12/31/2017)")</f>
        <v>55.01</v>
      </c>
      <c r="J921" s="13">
        <f>I921/H921-1</f>
        <v>1.1239382239382238</v>
      </c>
      <c r="K921" s="13">
        <f>J921-E921</f>
        <v>0.82818275712680944</v>
      </c>
      <c r="L921" s="13">
        <f>_xll.FDS(G921,"FF_ROE(ANN_R,12/30/2015)")</f>
        <v>17.80448347584932</v>
      </c>
      <c r="M921" s="8" t="s">
        <v>844</v>
      </c>
      <c r="N921" s="4" t="s">
        <v>844</v>
      </c>
      <c r="O921" s="4" t="s">
        <v>845</v>
      </c>
      <c r="P921" s="4" t="s">
        <v>106</v>
      </c>
      <c r="Q921" s="4" t="s">
        <v>74</v>
      </c>
      <c r="R921" s="4" t="s">
        <v>61</v>
      </c>
      <c r="S921" s="4" t="s">
        <v>62</v>
      </c>
      <c r="T921" s="6" t="e">
        <v>#N/A</v>
      </c>
      <c r="U921" s="5">
        <v>65</v>
      </c>
      <c r="V921" s="5">
        <v>68</v>
      </c>
      <c r="W921" s="5">
        <v>54</v>
      </c>
      <c r="X921" s="5">
        <v>77</v>
      </c>
      <c r="Y921" s="5">
        <v>75</v>
      </c>
      <c r="Z921" s="5">
        <v>83.33</v>
      </c>
      <c r="AA921" s="5">
        <v>31.94</v>
      </c>
      <c r="AB921" s="5">
        <v>88.19</v>
      </c>
      <c r="AC921" s="6">
        <v>0.35</v>
      </c>
      <c r="AD921" s="6">
        <v>0.4</v>
      </c>
      <c r="AE921" s="6">
        <v>0.25</v>
      </c>
      <c r="AF921" s="4" t="s">
        <v>37</v>
      </c>
      <c r="AG921" s="4" t="s">
        <v>6296</v>
      </c>
      <c r="AH921" s="4" t="s">
        <v>6296</v>
      </c>
      <c r="AI921" s="4" t="s">
        <v>37</v>
      </c>
      <c r="AJ921" s="4" t="s">
        <v>6296</v>
      </c>
      <c r="AK921" s="4" t="s">
        <v>42</v>
      </c>
      <c r="AL921" s="4" t="s">
        <v>46</v>
      </c>
      <c r="AM921" s="4" t="s">
        <v>6296</v>
      </c>
      <c r="AN921" s="4" t="s">
        <v>6296</v>
      </c>
      <c r="AO921" s="4" t="s">
        <v>6296</v>
      </c>
      <c r="AP921" s="4" t="s">
        <v>846</v>
      </c>
      <c r="AQ921" s="4" t="s">
        <v>47</v>
      </c>
    </row>
    <row r="922" spans="1:43" ht="12.6" customHeight="1" x14ac:dyDescent="0.25">
      <c r="A922" s="8" t="s">
        <v>4889</v>
      </c>
      <c r="B922" s="9">
        <v>20151231</v>
      </c>
      <c r="C922" s="12">
        <f>_xll.FDS("SPX","FG_PRICE(12/30/2015)")</f>
        <v>2063.36</v>
      </c>
      <c r="D922" s="12">
        <f>_xll.FDS("SPX","FG_PRICE(12/30/2017)")</f>
        <v>2673.61</v>
      </c>
      <c r="E922" s="15">
        <f>D922/C922-1</f>
        <v>0.2957554668114144</v>
      </c>
      <c r="F922" s="8" t="s">
        <v>4890</v>
      </c>
      <c r="G922" s="8" t="s">
        <v>4891</v>
      </c>
      <c r="H922" s="13">
        <f>_xll.FDS(G922,"FG_PRICE(12/30/2015)")</f>
        <v>51.17</v>
      </c>
      <c r="I922" s="13">
        <f>_xll.FDS(G922,"FG_PRICE(12/31/2017)")</f>
        <v>56</v>
      </c>
      <c r="J922" s="13">
        <f>I922/H922-1</f>
        <v>9.4391244870041024E-2</v>
      </c>
      <c r="K922" s="13">
        <f>J922-E922</f>
        <v>-0.20136422194137338</v>
      </c>
      <c r="L922" s="13">
        <f>_xll.FDS(G922,"FF_ROE(ANN_R,12/30/2015)")</f>
        <v>6.4430973797418858</v>
      </c>
      <c r="M922" s="8" t="s">
        <v>4892</v>
      </c>
      <c r="N922" s="4" t="s">
        <v>4893</v>
      </c>
      <c r="O922" s="4" t="s">
        <v>4770</v>
      </c>
      <c r="P922" s="4" t="s">
        <v>96</v>
      </c>
      <c r="Q922" s="4" t="s">
        <v>74</v>
      </c>
      <c r="R922" s="4" t="s">
        <v>61</v>
      </c>
      <c r="S922" s="4" t="s">
        <v>62</v>
      </c>
      <c r="T922" s="6" t="e">
        <v>#N/A</v>
      </c>
      <c r="U922" s="5">
        <v>65</v>
      </c>
      <c r="V922" s="5">
        <v>59</v>
      </c>
      <c r="W922" s="5">
        <v>63</v>
      </c>
      <c r="X922" s="5">
        <v>77</v>
      </c>
      <c r="Y922" s="5">
        <v>75</v>
      </c>
      <c r="Z922" s="5">
        <v>59.03</v>
      </c>
      <c r="AA922" s="5">
        <v>68.75</v>
      </c>
      <c r="AB922" s="5">
        <v>88.19</v>
      </c>
      <c r="AC922" s="6">
        <v>0.35</v>
      </c>
      <c r="AD922" s="6">
        <v>0.4</v>
      </c>
      <c r="AE922" s="6">
        <v>0.25</v>
      </c>
      <c r="AF922" s="4" t="s">
        <v>6296</v>
      </c>
      <c r="AG922" s="4" t="s">
        <v>6296</v>
      </c>
      <c r="AH922" s="4" t="s">
        <v>6296</v>
      </c>
      <c r="AI922" s="4" t="s">
        <v>37</v>
      </c>
      <c r="AJ922" s="4" t="s">
        <v>6296</v>
      </c>
      <c r="AK922" s="4" t="s">
        <v>37</v>
      </c>
      <c r="AL922" s="4" t="s">
        <v>6296</v>
      </c>
      <c r="AM922" s="4" t="s">
        <v>42</v>
      </c>
      <c r="AN922" s="4" t="s">
        <v>6296</v>
      </c>
      <c r="AO922" s="4" t="s">
        <v>6296</v>
      </c>
      <c r="AP922" s="4" t="s">
        <v>4894</v>
      </c>
      <c r="AQ922" s="4" t="s">
        <v>47</v>
      </c>
    </row>
    <row r="923" spans="1:43" ht="12.6" customHeight="1" x14ac:dyDescent="0.25">
      <c r="A923" s="8" t="s">
        <v>1561</v>
      </c>
      <c r="B923" s="9">
        <v>20151231</v>
      </c>
      <c r="C923" s="12">
        <f>_xll.FDS("SPX","FG_PRICE(12/30/2015)")</f>
        <v>2063.36</v>
      </c>
      <c r="D923" s="12">
        <f>_xll.FDS("SPX","FG_PRICE(12/30/2017)")</f>
        <v>2673.61</v>
      </c>
      <c r="E923" s="15">
        <f>D923/C923-1</f>
        <v>0.2957554668114144</v>
      </c>
      <c r="F923" s="8" t="s">
        <v>1562</v>
      </c>
      <c r="G923" s="8" t="s">
        <v>1563</v>
      </c>
      <c r="H923" s="13">
        <f>_xll.FDS(G923,"FG_PRICE(12/30/2015)")</f>
        <v>45.58</v>
      </c>
      <c r="I923" s="13">
        <f>_xll.FDS(G923,"FG_PRICE(12/31/2017)")</f>
        <v>64.69</v>
      </c>
      <c r="J923" s="13">
        <f>I923/H923-1</f>
        <v>0.41926283457656877</v>
      </c>
      <c r="K923" s="13">
        <f>J923-E923</f>
        <v>0.12350736776515436</v>
      </c>
      <c r="L923" s="13">
        <f>_xll.FDS(G923,"FF_ROE(ANN_R,12/30/2015)")</f>
        <v>19.067533038499789</v>
      </c>
      <c r="M923" s="8" t="s">
        <v>1564</v>
      </c>
      <c r="N923" s="4" t="s">
        <v>1565</v>
      </c>
      <c r="O923" s="4" t="s">
        <v>1566</v>
      </c>
      <c r="P923" s="4" t="s">
        <v>106</v>
      </c>
      <c r="Q923" s="4" t="s">
        <v>74</v>
      </c>
      <c r="R923" s="4" t="s">
        <v>61</v>
      </c>
      <c r="S923" s="4" t="s">
        <v>62</v>
      </c>
      <c r="T923" s="6" t="e">
        <v>#N/A</v>
      </c>
      <c r="U923" s="5">
        <v>56</v>
      </c>
      <c r="V923" s="5">
        <v>56</v>
      </c>
      <c r="W923" s="5">
        <v>49</v>
      </c>
      <c r="X923" s="5">
        <v>68</v>
      </c>
      <c r="Y923" s="5">
        <v>38.89</v>
      </c>
      <c r="Z923" s="5">
        <v>54.86</v>
      </c>
      <c r="AA923" s="6">
        <v>9.7200000000000006</v>
      </c>
      <c r="AB923" s="5">
        <v>62.5</v>
      </c>
      <c r="AC923" s="6">
        <v>0.35</v>
      </c>
      <c r="AD923" s="6">
        <v>0.4</v>
      </c>
      <c r="AE923" s="6">
        <v>0.25</v>
      </c>
      <c r="AF923" s="4" t="s">
        <v>6296</v>
      </c>
      <c r="AG923" s="4" t="s">
        <v>6296</v>
      </c>
      <c r="AH923" s="4" t="s">
        <v>6296</v>
      </c>
      <c r="AI923" s="4" t="s">
        <v>6296</v>
      </c>
      <c r="AJ923" s="4" t="s">
        <v>6296</v>
      </c>
      <c r="AK923" s="4" t="s">
        <v>42</v>
      </c>
      <c r="AL923" s="4" t="s">
        <v>6296</v>
      </c>
      <c r="AM923" s="4" t="s">
        <v>6296</v>
      </c>
      <c r="AN923" s="4" t="s">
        <v>6296</v>
      </c>
      <c r="AO923" s="4" t="s">
        <v>6296</v>
      </c>
      <c r="AP923" s="4" t="s">
        <v>1567</v>
      </c>
      <c r="AQ923" s="4" t="s">
        <v>47</v>
      </c>
    </row>
    <row r="924" spans="1:43" ht="12.6" customHeight="1" x14ac:dyDescent="0.25">
      <c r="A924" s="8" t="s">
        <v>787</v>
      </c>
      <c r="B924" s="9">
        <v>20151231</v>
      </c>
      <c r="C924" s="12">
        <f>_xll.FDS("SPX","FG_PRICE(12/30/2015)")</f>
        <v>2063.36</v>
      </c>
      <c r="D924" s="12">
        <f>_xll.FDS("SPX","FG_PRICE(12/30/2017)")</f>
        <v>2673.61</v>
      </c>
      <c r="E924" s="15">
        <f>D924/C924-1</f>
        <v>0.2957554668114144</v>
      </c>
      <c r="F924" s="8" t="s">
        <v>788</v>
      </c>
      <c r="G924" s="8" t="s">
        <v>789</v>
      </c>
      <c r="H924" s="13">
        <f>_xll.FDS(G924,"FG_PRICE(12/30/2015)")</f>
        <v>149.18</v>
      </c>
      <c r="I924" s="13">
        <f>_xll.FDS(G924,"FG_PRICE(12/31/2017)")</f>
        <v>249.54</v>
      </c>
      <c r="J924" s="13">
        <f>I924/H924-1</f>
        <v>0.67274433570183656</v>
      </c>
      <c r="K924" s="13">
        <f>J924-E924</f>
        <v>0.37698886889042216</v>
      </c>
      <c r="L924" s="13">
        <f>_xll.FDS(G924,"FF_ROE(ANN_R,12/30/2015)")</f>
        <v>6.9243475388173099</v>
      </c>
      <c r="M924" s="8" t="s">
        <v>790</v>
      </c>
      <c r="N924" s="4" t="s">
        <v>790</v>
      </c>
      <c r="O924" s="4" t="s">
        <v>791</v>
      </c>
      <c r="P924" s="4" t="s">
        <v>96</v>
      </c>
      <c r="Q924" s="4" t="s">
        <v>74</v>
      </c>
      <c r="R924" s="4" t="s">
        <v>61</v>
      </c>
      <c r="S924" s="4" t="s">
        <v>62</v>
      </c>
      <c r="T924" s="6" t="e">
        <v>#N/A</v>
      </c>
      <c r="U924" s="5">
        <v>63</v>
      </c>
      <c r="V924" s="5">
        <v>76</v>
      </c>
      <c r="W924" s="5">
        <v>57</v>
      </c>
      <c r="X924" s="5">
        <v>53</v>
      </c>
      <c r="Y924" s="5">
        <v>67.36</v>
      </c>
      <c r="Z924" s="5">
        <v>93.06</v>
      </c>
      <c r="AA924" s="5">
        <v>50</v>
      </c>
      <c r="AB924" s="5">
        <v>13.19</v>
      </c>
      <c r="AC924" s="6">
        <v>0.35</v>
      </c>
      <c r="AD924" s="6">
        <v>0.4</v>
      </c>
      <c r="AE924" s="6">
        <v>0.25</v>
      </c>
      <c r="AF924" s="4" t="s">
        <v>42</v>
      </c>
      <c r="AG924" s="4" t="s">
        <v>6296</v>
      </c>
      <c r="AH924" s="4" t="s">
        <v>6296</v>
      </c>
      <c r="AI924" s="4" t="s">
        <v>37</v>
      </c>
      <c r="AJ924" s="4" t="s">
        <v>6296</v>
      </c>
      <c r="AK924" s="4" t="s">
        <v>37</v>
      </c>
      <c r="AL924" s="4" t="s">
        <v>37</v>
      </c>
      <c r="AM924" s="4" t="s">
        <v>46</v>
      </c>
      <c r="AN924" s="4" t="s">
        <v>37</v>
      </c>
      <c r="AO924" s="4" t="s">
        <v>6296</v>
      </c>
      <c r="AP924" s="4" t="s">
        <v>792</v>
      </c>
      <c r="AQ924" s="4" t="s">
        <v>47</v>
      </c>
    </row>
    <row r="925" spans="1:43" ht="12.6" customHeight="1" x14ac:dyDescent="0.25">
      <c r="A925" s="8" t="s">
        <v>6453</v>
      </c>
      <c r="B925" s="9">
        <v>20151231</v>
      </c>
      <c r="C925" s="12">
        <f>_xll.FDS("SPX","FG_PRICE(12/30/2015)")</f>
        <v>2063.36</v>
      </c>
      <c r="D925" s="12">
        <f>_xll.FDS("SPX","FG_PRICE(12/30/2017)")</f>
        <v>2673.61</v>
      </c>
      <c r="E925" s="15">
        <f>D925/C925-1</f>
        <v>0.2957554668114144</v>
      </c>
      <c r="F925" s="8" t="s">
        <v>6290</v>
      </c>
      <c r="G925" s="8" t="s">
        <v>6291</v>
      </c>
      <c r="H925" s="13">
        <f>_xll.FDS(G925,"FG_PRICE(12/30/2015)")</f>
        <v>56.269813999999997</v>
      </c>
      <c r="I925" s="13">
        <f>_xll.FDS(G925,"FG_PRICE(12/31/2017)")</f>
        <v>22.1</v>
      </c>
      <c r="J925" s="13">
        <f>I925/H925-1</f>
        <v>-0.60724945705347455</v>
      </c>
      <c r="K925" s="13">
        <f>J925-E925</f>
        <v>-0.90300492386488895</v>
      </c>
      <c r="L925" s="13">
        <f>_xll.FDS(G925,"FF_ROE(ANN_R,12/30/2015)")</f>
        <v>-3.259789306300934</v>
      </c>
      <c r="M925" s="8" t="s">
        <v>6292</v>
      </c>
      <c r="N925" s="4" t="s">
        <v>6293</v>
      </c>
      <c r="O925" s="4" t="s">
        <v>6294</v>
      </c>
      <c r="P925" s="4" t="s">
        <v>96</v>
      </c>
      <c r="Q925" s="4" t="s">
        <v>74</v>
      </c>
      <c r="R925" s="4" t="s">
        <v>61</v>
      </c>
      <c r="S925" s="4" t="s">
        <v>62</v>
      </c>
      <c r="T925" s="6" t="e">
        <v>#N/A</v>
      </c>
      <c r="U925" s="5">
        <v>53</v>
      </c>
      <c r="V925" s="5">
        <v>51</v>
      </c>
      <c r="W925" s="5">
        <v>52</v>
      </c>
      <c r="X925" s="5">
        <v>57</v>
      </c>
      <c r="Y925" s="5">
        <v>27.78</v>
      </c>
      <c r="Z925" s="5">
        <v>37.5</v>
      </c>
      <c r="AA925" s="5">
        <v>21.53</v>
      </c>
      <c r="AB925" s="5">
        <v>23.61</v>
      </c>
      <c r="AC925" s="6">
        <v>0.35</v>
      </c>
      <c r="AD925" s="6">
        <v>0.4</v>
      </c>
      <c r="AE925" s="6">
        <v>0.25</v>
      </c>
      <c r="AF925" s="4" t="s">
        <v>6296</v>
      </c>
      <c r="AG925" s="4" t="s">
        <v>6296</v>
      </c>
      <c r="AH925" s="4" t="s">
        <v>6296</v>
      </c>
      <c r="AI925" s="4" t="s">
        <v>42</v>
      </c>
      <c r="AJ925" s="4" t="s">
        <v>6296</v>
      </c>
      <c r="AK925" s="4" t="s">
        <v>42</v>
      </c>
      <c r="AL925" s="4" t="s">
        <v>6296</v>
      </c>
      <c r="AM925" s="4" t="s">
        <v>37</v>
      </c>
      <c r="AN925" s="4" t="s">
        <v>6296</v>
      </c>
      <c r="AO925" s="4" t="s">
        <v>6296</v>
      </c>
      <c r="AP925" s="4" t="s">
        <v>6454</v>
      </c>
      <c r="AQ925" s="4" t="s">
        <v>47</v>
      </c>
    </row>
    <row r="926" spans="1:43" ht="12.6" customHeight="1" x14ac:dyDescent="0.25">
      <c r="A926" s="8" t="s">
        <v>2071</v>
      </c>
      <c r="B926" s="9">
        <v>20151231</v>
      </c>
      <c r="C926" s="12">
        <f>_xll.FDS("SPX","FG_PRICE(12/30/2015)")</f>
        <v>2063.36</v>
      </c>
      <c r="D926" s="12">
        <f>_xll.FDS("SPX","FG_PRICE(12/30/2017)")</f>
        <v>2673.61</v>
      </c>
      <c r="E926" s="15">
        <f>D926/C926-1</f>
        <v>0.2957554668114144</v>
      </c>
      <c r="F926" s="8" t="s">
        <v>2072</v>
      </c>
      <c r="G926" s="8" t="s">
        <v>2073</v>
      </c>
      <c r="H926" s="13">
        <f>_xll.FDS(G926,"FG_PRICE(12/30/2015)")</f>
        <v>73.03</v>
      </c>
      <c r="I926" s="13">
        <f>_xll.FDS(G926,"FG_PRICE(12/31/2017)")</f>
        <v>114.98</v>
      </c>
      <c r="J926" s="13">
        <f>I926/H926-1</f>
        <v>0.5744214706285089</v>
      </c>
      <c r="K926" s="13">
        <f>J926-E926</f>
        <v>0.2786660038170945</v>
      </c>
      <c r="L926" s="13">
        <f>_xll.FDS(G926,"FF_ROE(ANN_R,12/30/2015)")</f>
        <v>33.811116498832867</v>
      </c>
      <c r="M926" s="8" t="s">
        <v>2074</v>
      </c>
      <c r="N926" s="4" t="s">
        <v>2075</v>
      </c>
      <c r="O926" s="4" t="s">
        <v>2076</v>
      </c>
      <c r="P926" s="4" t="s">
        <v>106</v>
      </c>
      <c r="Q926" s="4" t="s">
        <v>74</v>
      </c>
      <c r="R926" s="4" t="s">
        <v>61</v>
      </c>
      <c r="S926" s="4" t="s">
        <v>62</v>
      </c>
      <c r="T926" s="6" t="e">
        <v>#N/A</v>
      </c>
      <c r="U926" s="5">
        <v>49</v>
      </c>
      <c r="V926" s="5">
        <v>42</v>
      </c>
      <c r="W926" s="5">
        <v>48</v>
      </c>
      <c r="X926" s="5">
        <v>60</v>
      </c>
      <c r="Y926" s="6">
        <v>9.7200000000000006</v>
      </c>
      <c r="Z926" s="5">
        <v>14.58</v>
      </c>
      <c r="AA926" s="6">
        <v>4.17</v>
      </c>
      <c r="AB926" s="5">
        <v>36.11</v>
      </c>
      <c r="AC926" s="6">
        <v>0.35</v>
      </c>
      <c r="AD926" s="6">
        <v>0.4</v>
      </c>
      <c r="AE926" s="6">
        <v>0.25</v>
      </c>
      <c r="AF926" s="4" t="s">
        <v>6296</v>
      </c>
      <c r="AG926" s="4" t="s">
        <v>6296</v>
      </c>
      <c r="AH926" s="4" t="s">
        <v>6296</v>
      </c>
      <c r="AI926" s="4" t="s">
        <v>6296</v>
      </c>
      <c r="AJ926" s="4" t="s">
        <v>6296</v>
      </c>
      <c r="AK926" s="4" t="s">
        <v>6296</v>
      </c>
      <c r="AL926" s="4" t="s">
        <v>6296</v>
      </c>
      <c r="AM926" s="4" t="s">
        <v>6296</v>
      </c>
      <c r="AN926" s="4" t="s">
        <v>6296</v>
      </c>
      <c r="AO926" s="4" t="s">
        <v>6296</v>
      </c>
      <c r="AP926" s="4" t="s">
        <v>2077</v>
      </c>
      <c r="AQ926" s="4" t="s">
        <v>47</v>
      </c>
    </row>
    <row r="927" spans="1:43" ht="12.6" customHeight="1" x14ac:dyDescent="0.25">
      <c r="A927" s="8" t="s">
        <v>2314</v>
      </c>
      <c r="B927" s="9">
        <v>20151231</v>
      </c>
      <c r="C927" s="12">
        <f>_xll.FDS("SPX","FG_PRICE(12/30/2015)")</f>
        <v>2063.36</v>
      </c>
      <c r="D927" s="12">
        <f>_xll.FDS("SPX","FG_PRICE(12/30/2017)")</f>
        <v>2673.61</v>
      </c>
      <c r="E927" s="15">
        <f>D927/C927-1</f>
        <v>0.2957554668114144</v>
      </c>
      <c r="F927" s="8" t="s">
        <v>2315</v>
      </c>
      <c r="G927" s="8" t="s">
        <v>2316</v>
      </c>
      <c r="H927" s="13">
        <f>_xll.FDS(G927,"FG_PRICE(12/30/2015)")</f>
        <v>52.91</v>
      </c>
      <c r="I927" s="13">
        <f>_xll.FDS(G927,"FG_PRICE(12/31/2017)")</f>
        <v>66.8</v>
      </c>
      <c r="J927" s="13">
        <f>I927/H927-1</f>
        <v>0.26252126252126251</v>
      </c>
      <c r="K927" s="13">
        <f>J927-E927</f>
        <v>-3.3234204290151892E-2</v>
      </c>
      <c r="L927" s="13">
        <f>_xll.FDS(G927,"FF_ROE(ANN_R,12/30/2015)")</f>
        <v>13.148008240630929</v>
      </c>
      <c r="M927" s="8" t="s">
        <v>2317</v>
      </c>
      <c r="N927" s="4" t="s">
        <v>2317</v>
      </c>
      <c r="O927" s="4" t="s">
        <v>2318</v>
      </c>
      <c r="P927" s="4" t="s">
        <v>96</v>
      </c>
      <c r="Q927" s="4" t="s">
        <v>74</v>
      </c>
      <c r="R927" s="4" t="s">
        <v>61</v>
      </c>
      <c r="S927" s="4" t="s">
        <v>62</v>
      </c>
      <c r="T927" s="6" t="e">
        <v>#N/A</v>
      </c>
      <c r="U927" s="5">
        <v>57</v>
      </c>
      <c r="V927" s="5">
        <v>37</v>
      </c>
      <c r="W927" s="5">
        <v>67</v>
      </c>
      <c r="X927" s="5">
        <v>68</v>
      </c>
      <c r="Y927" s="5">
        <v>43.06</v>
      </c>
      <c r="Z927" s="6">
        <v>4.17</v>
      </c>
      <c r="AA927" s="5">
        <v>81.25</v>
      </c>
      <c r="AB927" s="5">
        <v>62.5</v>
      </c>
      <c r="AC927" s="6">
        <v>0.35</v>
      </c>
      <c r="AD927" s="6">
        <v>0.4</v>
      </c>
      <c r="AE927" s="6">
        <v>0.25</v>
      </c>
      <c r="AF927" s="4" t="s">
        <v>37</v>
      </c>
      <c r="AG927" s="4" t="s">
        <v>6296</v>
      </c>
      <c r="AH927" s="4" t="s">
        <v>6296</v>
      </c>
      <c r="AI927" s="4" t="s">
        <v>6296</v>
      </c>
      <c r="AJ927" s="4" t="s">
        <v>6296</v>
      </c>
      <c r="AK927" s="4" t="s">
        <v>6296</v>
      </c>
      <c r="AL927" s="4" t="s">
        <v>6296</v>
      </c>
      <c r="AM927" s="4" t="s">
        <v>6296</v>
      </c>
      <c r="AN927" s="4" t="s">
        <v>6296</v>
      </c>
      <c r="AO927" s="4" t="s">
        <v>6296</v>
      </c>
      <c r="AP927" s="4" t="s">
        <v>2319</v>
      </c>
      <c r="AQ927" s="4" t="s">
        <v>47</v>
      </c>
    </row>
    <row r="928" spans="1:43" ht="12.6" customHeight="1" x14ac:dyDescent="0.25">
      <c r="A928" s="8" t="s">
        <v>2760</v>
      </c>
      <c r="B928" s="9">
        <v>20151231</v>
      </c>
      <c r="C928" s="12">
        <f>_xll.FDS("SPX","FG_PRICE(12/30/2015)")</f>
        <v>2063.36</v>
      </c>
      <c r="D928" s="12">
        <f>_xll.FDS("SPX","FG_PRICE(12/30/2017)")</f>
        <v>2673.61</v>
      </c>
      <c r="E928" s="15">
        <f>D928/C928-1</f>
        <v>0.2957554668114144</v>
      </c>
      <c r="F928" s="8" t="s">
        <v>2761</v>
      </c>
      <c r="G928" s="8" t="s">
        <v>2762</v>
      </c>
      <c r="H928" s="13">
        <f>_xll.FDS(G928,"FG_PRICE(12/30/2015)")</f>
        <v>74.27</v>
      </c>
      <c r="I928" s="13">
        <f>_xll.FDS(G928,"FG_PRICE(12/31/2017)")</f>
        <v>105.22</v>
      </c>
      <c r="J928" s="13">
        <f>I928/H928-1</f>
        <v>0.41672276827790511</v>
      </c>
      <c r="K928" s="13">
        <f>J928-E928</f>
        <v>0.12096730146649071</v>
      </c>
      <c r="L928" s="13">
        <f>_xll.FDS(G928,"FF_ROE(ANN_R,12/30/2015)")</f>
        <v>14.10589242362583</v>
      </c>
      <c r="M928" s="8" t="s">
        <v>2763</v>
      </c>
      <c r="N928" s="4" t="s">
        <v>2763</v>
      </c>
      <c r="O928" s="4" t="s">
        <v>2764</v>
      </c>
      <c r="P928" s="4" t="s">
        <v>96</v>
      </c>
      <c r="Q928" s="4" t="s">
        <v>74</v>
      </c>
      <c r="R928" s="4" t="s">
        <v>61</v>
      </c>
      <c r="S928" s="4" t="s">
        <v>62</v>
      </c>
      <c r="T928" s="6" t="e">
        <v>#N/A</v>
      </c>
      <c r="U928" s="5">
        <v>55</v>
      </c>
      <c r="V928" s="5">
        <v>44</v>
      </c>
      <c r="W928" s="5">
        <v>55</v>
      </c>
      <c r="X928" s="5">
        <v>70</v>
      </c>
      <c r="Y928" s="5">
        <v>34.72</v>
      </c>
      <c r="Z928" s="5">
        <v>20.14</v>
      </c>
      <c r="AA928" s="5">
        <v>39.58</v>
      </c>
      <c r="AB928" s="5">
        <v>70.14</v>
      </c>
      <c r="AC928" s="6">
        <v>0.35</v>
      </c>
      <c r="AD928" s="6">
        <v>0.4</v>
      </c>
      <c r="AE928" s="6">
        <v>0.25</v>
      </c>
      <c r="AF928" s="4" t="s">
        <v>6296</v>
      </c>
      <c r="AG928" s="4" t="s">
        <v>6296</v>
      </c>
      <c r="AH928" s="4" t="s">
        <v>6296</v>
      </c>
      <c r="AI928" s="4" t="s">
        <v>42</v>
      </c>
      <c r="AJ928" s="4" t="s">
        <v>6296</v>
      </c>
      <c r="AK928" s="4" t="s">
        <v>6296</v>
      </c>
      <c r="AL928" s="4" t="s">
        <v>6296</v>
      </c>
      <c r="AM928" s="4" t="s">
        <v>6296</v>
      </c>
      <c r="AN928" s="4" t="s">
        <v>42</v>
      </c>
      <c r="AO928" s="4" t="s">
        <v>6296</v>
      </c>
      <c r="AP928" s="4" t="s">
        <v>2765</v>
      </c>
      <c r="AQ928" s="4" t="s">
        <v>47</v>
      </c>
    </row>
    <row r="929" spans="1:43" ht="12.6" customHeight="1" x14ac:dyDescent="0.25">
      <c r="A929" s="8" t="s">
        <v>2352</v>
      </c>
      <c r="B929" s="9">
        <v>20151231</v>
      </c>
      <c r="C929" s="12">
        <f>_xll.FDS("SPX","FG_PRICE(12/30/2015)")</f>
        <v>2063.36</v>
      </c>
      <c r="D929" s="12">
        <f>_xll.FDS("SPX","FG_PRICE(12/30/2017)")</f>
        <v>2673.61</v>
      </c>
      <c r="E929" s="15">
        <f>D929/C929-1</f>
        <v>0.2957554668114144</v>
      </c>
      <c r="F929" s="8" t="s">
        <v>2353</v>
      </c>
      <c r="G929" s="8" t="s">
        <v>2354</v>
      </c>
      <c r="H929" s="13">
        <f>_xll.FDS(G929,"FG_PRICE(12/30/2015)")</f>
        <v>58.81</v>
      </c>
      <c r="I929" s="13">
        <f>_xll.FDS(G929,"FG_PRICE(12/31/2017)")</f>
        <v>104.1</v>
      </c>
      <c r="J929" s="13">
        <f>I929/H929-1</f>
        <v>0.77010712463866682</v>
      </c>
      <c r="K929" s="13">
        <f>J929-E929</f>
        <v>0.47435165782725242</v>
      </c>
      <c r="L929" s="13">
        <f>_xll.FDS(G929,"FF_ROE(ANN_R,12/30/2015)")</f>
        <v>29.447929550184469</v>
      </c>
      <c r="M929" s="8" t="s">
        <v>2355</v>
      </c>
      <c r="N929" s="4" t="s">
        <v>2356</v>
      </c>
      <c r="O929" s="4" t="s">
        <v>2357</v>
      </c>
      <c r="P929" s="4" t="s">
        <v>106</v>
      </c>
      <c r="Q929" s="4" t="s">
        <v>74</v>
      </c>
      <c r="R929" s="4" t="s">
        <v>61</v>
      </c>
      <c r="S929" s="4" t="s">
        <v>62</v>
      </c>
      <c r="T929" s="6" t="e">
        <v>#N/A</v>
      </c>
      <c r="U929" s="5">
        <v>61</v>
      </c>
      <c r="V929" s="5">
        <v>59</v>
      </c>
      <c r="W929" s="5">
        <v>63</v>
      </c>
      <c r="X929" s="5">
        <v>62</v>
      </c>
      <c r="Y929" s="5">
        <v>61.81</v>
      </c>
      <c r="Z929" s="5">
        <v>59.03</v>
      </c>
      <c r="AA929" s="5">
        <v>68.75</v>
      </c>
      <c r="AB929" s="5">
        <v>44.44</v>
      </c>
      <c r="AC929" s="6">
        <v>0.35</v>
      </c>
      <c r="AD929" s="6">
        <v>0.4</v>
      </c>
      <c r="AE929" s="6">
        <v>0.25</v>
      </c>
      <c r="AF929" s="4" t="s">
        <v>6296</v>
      </c>
      <c r="AG929" s="4" t="s">
        <v>6296</v>
      </c>
      <c r="AH929" s="4" t="s">
        <v>6296</v>
      </c>
      <c r="AI929" s="4" t="s">
        <v>6296</v>
      </c>
      <c r="AJ929" s="4" t="s">
        <v>6296</v>
      </c>
      <c r="AK929" s="4" t="s">
        <v>6296</v>
      </c>
      <c r="AL929" s="4" t="s">
        <v>6296</v>
      </c>
      <c r="AM929" s="4" t="s">
        <v>6296</v>
      </c>
      <c r="AN929" s="4" t="s">
        <v>6296</v>
      </c>
      <c r="AO929" s="4" t="s">
        <v>6296</v>
      </c>
      <c r="AP929" s="4" t="s">
        <v>2358</v>
      </c>
      <c r="AQ929" s="4" t="s">
        <v>47</v>
      </c>
    </row>
    <row r="930" spans="1:43" ht="12.6" customHeight="1" x14ac:dyDescent="0.25">
      <c r="A930" s="8" t="s">
        <v>3770</v>
      </c>
      <c r="B930" s="9">
        <v>20151231</v>
      </c>
      <c r="C930" s="12">
        <f>_xll.FDS("SPX","FG_PRICE(12/30/2015)")</f>
        <v>2063.36</v>
      </c>
      <c r="D930" s="12">
        <f>_xll.FDS("SPX","FG_PRICE(12/30/2017)")</f>
        <v>2673.61</v>
      </c>
      <c r="E930" s="15">
        <f>D930/C930-1</f>
        <v>0.2957554668114144</v>
      </c>
      <c r="F930" s="8" t="s">
        <v>3771</v>
      </c>
      <c r="G930" s="8" t="s">
        <v>3772</v>
      </c>
      <c r="H930" s="13">
        <f>_xll.FDS(G930,"FG_PRICE(12/30/2015)")</f>
        <v>43.35</v>
      </c>
      <c r="I930" s="13">
        <f>_xll.FDS(G930,"FG_PRICE(12/31/2017)")</f>
        <v>65.45</v>
      </c>
      <c r="J930" s="13">
        <f>I930/H930-1</f>
        <v>0.50980392156862742</v>
      </c>
      <c r="K930" s="13">
        <f>J930-E930</f>
        <v>0.21404845475721301</v>
      </c>
      <c r="L930" s="13">
        <f>_xll.FDS(G930,"FF_ROE(ANN_R,12/30/2015)")</f>
        <v>16.157607540216851</v>
      </c>
      <c r="M930" s="8" t="s">
        <v>3773</v>
      </c>
      <c r="N930" s="4" t="s">
        <v>3773</v>
      </c>
      <c r="O930" s="4" t="s">
        <v>3774</v>
      </c>
      <c r="P930" s="4" t="s">
        <v>96</v>
      </c>
      <c r="Q930" s="4" t="s">
        <v>74</v>
      </c>
      <c r="R930" s="4" t="s">
        <v>61</v>
      </c>
      <c r="S930" s="4" t="s">
        <v>62</v>
      </c>
      <c r="T930" s="6" t="e">
        <v>#N/A</v>
      </c>
      <c r="U930" s="5">
        <v>67</v>
      </c>
      <c r="V930" s="5">
        <v>68</v>
      </c>
      <c r="W930" s="5">
        <v>59</v>
      </c>
      <c r="X930" s="5">
        <v>76</v>
      </c>
      <c r="Y930" s="5">
        <v>82.64</v>
      </c>
      <c r="Z930" s="5">
        <v>83.33</v>
      </c>
      <c r="AA930" s="5">
        <v>57.64</v>
      </c>
      <c r="AB930" s="5">
        <v>84.03</v>
      </c>
      <c r="AC930" s="6">
        <v>0.35</v>
      </c>
      <c r="AD930" s="6">
        <v>0.4</v>
      </c>
      <c r="AE930" s="6">
        <v>0.25</v>
      </c>
      <c r="AF930" s="4" t="s">
        <v>6296</v>
      </c>
      <c r="AG930" s="4" t="s">
        <v>6296</v>
      </c>
      <c r="AH930" s="4" t="s">
        <v>6296</v>
      </c>
      <c r="AI930" s="4" t="s">
        <v>42</v>
      </c>
      <c r="AJ930" s="4" t="s">
        <v>6296</v>
      </c>
      <c r="AK930" s="4" t="s">
        <v>37</v>
      </c>
      <c r="AL930" s="4" t="s">
        <v>6296</v>
      </c>
      <c r="AM930" s="4" t="s">
        <v>6296</v>
      </c>
      <c r="AN930" s="4" t="s">
        <v>6296</v>
      </c>
      <c r="AO930" s="4" t="s">
        <v>6296</v>
      </c>
      <c r="AP930" s="4" t="s">
        <v>3775</v>
      </c>
      <c r="AQ930" s="4" t="s">
        <v>47</v>
      </c>
    </row>
    <row r="931" spans="1:43" ht="12.6" customHeight="1" x14ac:dyDescent="0.25">
      <c r="A931" s="8" t="s">
        <v>5619</v>
      </c>
      <c r="B931" s="9">
        <v>20151231</v>
      </c>
      <c r="C931" s="12">
        <f>_xll.FDS("SPX","FG_PRICE(12/30/2015)")</f>
        <v>2063.36</v>
      </c>
      <c r="D931" s="12">
        <f>_xll.FDS("SPX","FG_PRICE(12/30/2017)")</f>
        <v>2673.61</v>
      </c>
      <c r="E931" s="15">
        <f>D931/C931-1</f>
        <v>0.2957554668114144</v>
      </c>
      <c r="F931" s="8" t="s">
        <v>5620</v>
      </c>
      <c r="G931" s="8" t="s">
        <v>5621</v>
      </c>
      <c r="H931" s="13">
        <f>_xll.FDS(G931,"FG_PRICE(12/30/2015)")</f>
        <v>43.11</v>
      </c>
      <c r="I931" s="13">
        <f>_xll.FDS(G931,"FG_PRICE(12/31/2017)")</f>
        <v>29.84</v>
      </c>
      <c r="J931" s="13">
        <f>I931/H931-1</f>
        <v>-0.30781721178380883</v>
      </c>
      <c r="K931" s="13">
        <f>J931-E931</f>
        <v>-0.60357267859522323</v>
      </c>
      <c r="L931" s="13">
        <f>_xll.FDS(G931,"FF_ROE(ANN_R,12/30/2015)")</f>
        <v>20.17094017094017</v>
      </c>
      <c r="M931" s="8" t="s">
        <v>5622</v>
      </c>
      <c r="N931" s="4" t="s">
        <v>5623</v>
      </c>
      <c r="O931" s="4" t="s">
        <v>5624</v>
      </c>
      <c r="P931" s="4" t="s">
        <v>96</v>
      </c>
      <c r="Q931" s="4" t="s">
        <v>74</v>
      </c>
      <c r="R931" s="4" t="s">
        <v>61</v>
      </c>
      <c r="S931" s="4" t="s">
        <v>62</v>
      </c>
      <c r="T931" s="6" t="e">
        <v>#N/A</v>
      </c>
      <c r="U931" s="5">
        <v>70</v>
      </c>
      <c r="V931" s="5">
        <v>63</v>
      </c>
      <c r="W931" s="5">
        <v>72</v>
      </c>
      <c r="X931" s="5">
        <v>78</v>
      </c>
      <c r="Y931" s="5">
        <v>88.19</v>
      </c>
      <c r="Z931" s="5">
        <v>72.22</v>
      </c>
      <c r="AA931" s="5">
        <v>90.28</v>
      </c>
      <c r="AB931" s="5">
        <v>90.97</v>
      </c>
      <c r="AC931" s="6">
        <v>0.35</v>
      </c>
      <c r="AD931" s="6">
        <v>0.4</v>
      </c>
      <c r="AE931" s="6">
        <v>0.25</v>
      </c>
      <c r="AF931" s="4" t="s">
        <v>37</v>
      </c>
      <c r="AG931" s="4" t="s">
        <v>6296</v>
      </c>
      <c r="AH931" s="4" t="s">
        <v>6296</v>
      </c>
      <c r="AI931" s="4" t="s">
        <v>6296</v>
      </c>
      <c r="AJ931" s="4" t="s">
        <v>6296</v>
      </c>
      <c r="AK931" s="4" t="s">
        <v>6296</v>
      </c>
      <c r="AL931" s="4" t="s">
        <v>6296</v>
      </c>
      <c r="AM931" s="4" t="s">
        <v>37</v>
      </c>
      <c r="AN931" s="4" t="s">
        <v>6296</v>
      </c>
      <c r="AO931" s="4" t="s">
        <v>6296</v>
      </c>
      <c r="AP931" s="4" t="s">
        <v>5625</v>
      </c>
      <c r="AQ931" s="4" t="s">
        <v>47</v>
      </c>
    </row>
    <row r="932" spans="1:43" ht="12.6" customHeight="1" x14ac:dyDescent="0.25">
      <c r="A932" s="8" t="s">
        <v>2920</v>
      </c>
      <c r="B932" s="9">
        <v>20151231</v>
      </c>
      <c r="C932" s="12">
        <f>_xll.FDS("SPX","FG_PRICE(12/30/2015)")</f>
        <v>2063.36</v>
      </c>
      <c r="D932" s="12">
        <f>_xll.FDS("SPX","FG_PRICE(12/30/2017)")</f>
        <v>2673.61</v>
      </c>
      <c r="E932" s="15">
        <f>D932/C932-1</f>
        <v>0.2957554668114144</v>
      </c>
      <c r="F932" s="8" t="s">
        <v>2921</v>
      </c>
      <c r="G932" s="8" t="s">
        <v>2922</v>
      </c>
      <c r="H932" s="13">
        <f>_xll.FDS(G932,"FG_PRICE(12/30/2015)")</f>
        <v>84.86</v>
      </c>
      <c r="I932" s="13">
        <f>_xll.FDS(G932,"FG_PRICE(12/31/2017)")</f>
        <v>144.9</v>
      </c>
      <c r="J932" s="13">
        <f>I932/H932-1</f>
        <v>0.70751826537827012</v>
      </c>
      <c r="K932" s="13">
        <f>J932-E932</f>
        <v>0.41176279856685571</v>
      </c>
      <c r="L932" s="13">
        <f>_xll.FDS(G932,"FF_ROE(ANN_R,12/30/2015)")</f>
        <v>16.829134489597841</v>
      </c>
      <c r="M932" s="8" t="s">
        <v>2923</v>
      </c>
      <c r="N932" s="4" t="s">
        <v>2923</v>
      </c>
      <c r="O932" s="4" t="s">
        <v>2924</v>
      </c>
      <c r="P932" s="4" t="s">
        <v>96</v>
      </c>
      <c r="Q932" s="4" t="s">
        <v>74</v>
      </c>
      <c r="R932" s="4" t="s">
        <v>61</v>
      </c>
      <c r="S932" s="4" t="s">
        <v>62</v>
      </c>
      <c r="T932" s="6" t="e">
        <v>#N/A</v>
      </c>
      <c r="U932" s="5">
        <v>63</v>
      </c>
      <c r="V932" s="5">
        <v>59</v>
      </c>
      <c r="W932" s="5">
        <v>59</v>
      </c>
      <c r="X932" s="5">
        <v>76</v>
      </c>
      <c r="Y932" s="5">
        <v>67.36</v>
      </c>
      <c r="Z932" s="5">
        <v>59.03</v>
      </c>
      <c r="AA932" s="5">
        <v>57.64</v>
      </c>
      <c r="AB932" s="5">
        <v>84.03</v>
      </c>
      <c r="AC932" s="6">
        <v>0.35</v>
      </c>
      <c r="AD932" s="6">
        <v>0.4</v>
      </c>
      <c r="AE932" s="6">
        <v>0.25</v>
      </c>
      <c r="AF932" s="4" t="s">
        <v>42</v>
      </c>
      <c r="AG932" s="4" t="s">
        <v>6296</v>
      </c>
      <c r="AH932" s="4" t="s">
        <v>6296</v>
      </c>
      <c r="AI932" s="4" t="s">
        <v>37</v>
      </c>
      <c r="AJ932" s="4" t="s">
        <v>6296</v>
      </c>
      <c r="AK932" s="4" t="s">
        <v>42</v>
      </c>
      <c r="AL932" s="4" t="s">
        <v>6296</v>
      </c>
      <c r="AM932" s="4" t="s">
        <v>6296</v>
      </c>
      <c r="AN932" s="4" t="s">
        <v>6296</v>
      </c>
      <c r="AO932" s="4" t="s">
        <v>6296</v>
      </c>
      <c r="AP932" s="4" t="s">
        <v>2925</v>
      </c>
      <c r="AQ932" s="4" t="s">
        <v>47</v>
      </c>
    </row>
    <row r="933" spans="1:43" ht="12.6" customHeight="1" x14ac:dyDescent="0.25">
      <c r="A933" s="8" t="s">
        <v>3476</v>
      </c>
      <c r="B933" s="9">
        <v>20151231</v>
      </c>
      <c r="C933" s="12">
        <f>_xll.FDS("SPX","FG_PRICE(12/30/2015)")</f>
        <v>2063.36</v>
      </c>
      <c r="D933" s="12">
        <f>_xll.FDS("SPX","FG_PRICE(12/30/2017)")</f>
        <v>2673.61</v>
      </c>
      <c r="E933" s="15">
        <f>D933/C933-1</f>
        <v>0.2957554668114144</v>
      </c>
      <c r="F933" s="8" t="s">
        <v>3477</v>
      </c>
      <c r="G933" s="8" t="s">
        <v>3478</v>
      </c>
      <c r="H933" s="13">
        <f>_xll.FDS(G933,"FG_PRICE(12/30/2015)")</f>
        <v>56.56</v>
      </c>
      <c r="I933" s="13">
        <f>_xll.FDS(G933,"FG_PRICE(12/31/2017)")</f>
        <v>84.17</v>
      </c>
      <c r="J933" s="13">
        <f>I933/H933-1</f>
        <v>0.48815417256011306</v>
      </c>
      <c r="K933" s="13">
        <f>J933-E933</f>
        <v>0.19239870574869866</v>
      </c>
      <c r="L933" s="13">
        <f>_xll.FDS(G933,"FF_ROE(ANN_R,12/30/2015)")</f>
        <v>11.81861628098471</v>
      </c>
      <c r="M933" s="8" t="s">
        <v>3479</v>
      </c>
      <c r="N933" s="4" t="s">
        <v>3480</v>
      </c>
      <c r="O933" s="4" t="s">
        <v>3481</v>
      </c>
      <c r="P933" s="4" t="s">
        <v>96</v>
      </c>
      <c r="Q933" s="4" t="s">
        <v>74</v>
      </c>
      <c r="R933" s="4" t="s">
        <v>61</v>
      </c>
      <c r="S933" s="4" t="s">
        <v>62</v>
      </c>
      <c r="T933" s="6" t="e">
        <v>#N/A</v>
      </c>
      <c r="U933" s="5">
        <v>62</v>
      </c>
      <c r="V933" s="5">
        <v>57</v>
      </c>
      <c r="W933" s="5">
        <v>64</v>
      </c>
      <c r="X933" s="5">
        <v>65</v>
      </c>
      <c r="Y933" s="5">
        <v>65.97</v>
      </c>
      <c r="Z933" s="5">
        <v>56.94</v>
      </c>
      <c r="AA933" s="5">
        <v>74.31</v>
      </c>
      <c r="AB933" s="5">
        <v>49.31</v>
      </c>
      <c r="AC933" s="6">
        <v>0.35</v>
      </c>
      <c r="AD933" s="6">
        <v>0.4</v>
      </c>
      <c r="AE933" s="6">
        <v>0.25</v>
      </c>
      <c r="AF933" s="4" t="s">
        <v>6296</v>
      </c>
      <c r="AG933" s="4" t="s">
        <v>6296</v>
      </c>
      <c r="AH933" s="4" t="s">
        <v>6296</v>
      </c>
      <c r="AI933" s="4" t="s">
        <v>6296</v>
      </c>
      <c r="AJ933" s="4" t="s">
        <v>6296</v>
      </c>
      <c r="AK933" s="4" t="s">
        <v>6296</v>
      </c>
      <c r="AL933" s="4" t="s">
        <v>6296</v>
      </c>
      <c r="AM933" s="4" t="s">
        <v>6296</v>
      </c>
      <c r="AN933" s="4" t="s">
        <v>6296</v>
      </c>
      <c r="AO933" s="4" t="s">
        <v>6296</v>
      </c>
      <c r="AP933" s="4" t="s">
        <v>3482</v>
      </c>
      <c r="AQ933" s="4" t="s">
        <v>47</v>
      </c>
    </row>
    <row r="934" spans="1:43" ht="12.6" customHeight="1" x14ac:dyDescent="0.25">
      <c r="A934" s="8" t="s">
        <v>5208</v>
      </c>
      <c r="B934" s="9">
        <v>20151231</v>
      </c>
      <c r="C934" s="12">
        <f>_xll.FDS("SPX","FG_PRICE(12/30/2015)")</f>
        <v>2063.36</v>
      </c>
      <c r="D934" s="12">
        <f>_xll.FDS("SPX","FG_PRICE(12/30/2017)")</f>
        <v>2673.61</v>
      </c>
      <c r="E934" s="15">
        <f>D934/C934-1</f>
        <v>0.2957554668114144</v>
      </c>
      <c r="F934" s="8" t="s">
        <v>5209</v>
      </c>
      <c r="G934" s="8" t="s">
        <v>5210</v>
      </c>
      <c r="H934" s="13">
        <f>_xll.FDS(G934,"FG_PRICE(12/30/2015)")</f>
        <v>57.51</v>
      </c>
      <c r="I934" s="13">
        <f>_xll.FDS(G934,"FG_PRICE(12/31/2017)")</f>
        <v>67.400000000000006</v>
      </c>
      <c r="J934" s="13">
        <f>I934/H934-1</f>
        <v>0.17197009215788572</v>
      </c>
      <c r="K934" s="13">
        <f>J934-E934</f>
        <v>-0.12378537465352868</v>
      </c>
      <c r="L934" s="13">
        <f>_xll.FDS(G934,"FF_ROE(ANN_R,12/30/2015)")</f>
        <v>42.081784386617102</v>
      </c>
      <c r="M934" s="8" t="s">
        <v>5211</v>
      </c>
      <c r="N934" s="4" t="s">
        <v>5212</v>
      </c>
      <c r="O934" s="4" t="s">
        <v>5213</v>
      </c>
      <c r="P934" s="4" t="s">
        <v>96</v>
      </c>
      <c r="Q934" s="4" t="s">
        <v>74</v>
      </c>
      <c r="R934" s="4" t="s">
        <v>61</v>
      </c>
      <c r="S934" s="4" t="s">
        <v>62</v>
      </c>
      <c r="T934" s="6" t="e">
        <v>#N/A</v>
      </c>
      <c r="U934" s="5">
        <v>56</v>
      </c>
      <c r="V934" s="5">
        <v>62</v>
      </c>
      <c r="W934" s="5">
        <v>45</v>
      </c>
      <c r="X934" s="5">
        <v>66</v>
      </c>
      <c r="Y934" s="5">
        <v>38.89</v>
      </c>
      <c r="Z934" s="5">
        <v>68.06</v>
      </c>
      <c r="AA934" s="6">
        <v>1.39</v>
      </c>
      <c r="AB934" s="5">
        <v>56.94</v>
      </c>
      <c r="AC934" s="6">
        <v>0.35</v>
      </c>
      <c r="AD934" s="6">
        <v>0.4</v>
      </c>
      <c r="AE934" s="6">
        <v>0.25</v>
      </c>
      <c r="AF934" s="4" t="s">
        <v>42</v>
      </c>
      <c r="AG934" s="4" t="s">
        <v>6296</v>
      </c>
      <c r="AH934" s="4" t="s">
        <v>6296</v>
      </c>
      <c r="AI934" s="4" t="s">
        <v>37</v>
      </c>
      <c r="AJ934" s="4" t="s">
        <v>6296</v>
      </c>
      <c r="AK934" s="4" t="s">
        <v>37</v>
      </c>
      <c r="AL934" s="4" t="s">
        <v>6296</v>
      </c>
      <c r="AM934" s="4" t="s">
        <v>37</v>
      </c>
      <c r="AN934" s="4" t="s">
        <v>6296</v>
      </c>
      <c r="AO934" s="4" t="s">
        <v>6296</v>
      </c>
      <c r="AP934" s="4" t="s">
        <v>5214</v>
      </c>
      <c r="AQ934" s="4" t="s">
        <v>47</v>
      </c>
    </row>
    <row r="935" spans="1:43" ht="12.6" customHeight="1" x14ac:dyDescent="0.25">
      <c r="A935" s="8" t="s">
        <v>4133</v>
      </c>
      <c r="B935" s="9">
        <v>20151231</v>
      </c>
      <c r="C935" s="12">
        <f>_xll.FDS("SPX","FG_PRICE(12/30/2015)")</f>
        <v>2063.36</v>
      </c>
      <c r="D935" s="12">
        <f>_xll.FDS("SPX","FG_PRICE(12/30/2017)")</f>
        <v>2673.61</v>
      </c>
      <c r="E935" s="15">
        <f>D935/C935-1</f>
        <v>0.2957554668114144</v>
      </c>
      <c r="F935" s="8" t="s">
        <v>4134</v>
      </c>
      <c r="G935" s="8" t="s">
        <v>4135</v>
      </c>
      <c r="H935" s="13">
        <f>_xll.FDS(G935,"FG_PRICE(12/30/2015)")</f>
        <v>78.510000000000005</v>
      </c>
      <c r="I935" s="13">
        <f>_xll.FDS(G935,"FG_PRICE(12/31/2017)")</f>
        <v>134.1</v>
      </c>
      <c r="J935" s="13">
        <f>I935/H935-1</f>
        <v>0.70806266717615562</v>
      </c>
      <c r="K935" s="13">
        <f>J935-E935</f>
        <v>0.41230720036474122</v>
      </c>
      <c r="L935" s="13">
        <f>_xll.FDS(G935,"FF_ROE(ANN_R,12/30/2015)")</f>
        <v>24.425897109444989</v>
      </c>
      <c r="M935" s="8" t="s">
        <v>4136</v>
      </c>
      <c r="N935" s="4" t="s">
        <v>4136</v>
      </c>
      <c r="O935" s="4" t="s">
        <v>4137</v>
      </c>
      <c r="P935" s="4" t="s">
        <v>96</v>
      </c>
      <c r="Q935" s="4" t="s">
        <v>74</v>
      </c>
      <c r="R935" s="4" t="s">
        <v>61</v>
      </c>
      <c r="S935" s="4" t="s">
        <v>62</v>
      </c>
      <c r="T935" s="6" t="e">
        <v>#N/A</v>
      </c>
      <c r="U935" s="5">
        <v>65</v>
      </c>
      <c r="V935" s="5">
        <v>62</v>
      </c>
      <c r="W935" s="5">
        <v>63</v>
      </c>
      <c r="X935" s="5">
        <v>72</v>
      </c>
      <c r="Y935" s="5">
        <v>75</v>
      </c>
      <c r="Z935" s="5">
        <v>68.06</v>
      </c>
      <c r="AA935" s="5">
        <v>68.75</v>
      </c>
      <c r="AB935" s="5">
        <v>74.31</v>
      </c>
      <c r="AC935" s="6">
        <v>0.35</v>
      </c>
      <c r="AD935" s="6">
        <v>0.4</v>
      </c>
      <c r="AE935" s="6">
        <v>0.25</v>
      </c>
      <c r="AF935" s="4" t="s">
        <v>37</v>
      </c>
      <c r="AG935" s="4" t="s">
        <v>6296</v>
      </c>
      <c r="AH935" s="4" t="s">
        <v>6296</v>
      </c>
      <c r="AI935" s="4" t="s">
        <v>37</v>
      </c>
      <c r="AJ935" s="4" t="s">
        <v>6296</v>
      </c>
      <c r="AK935" s="4" t="s">
        <v>42</v>
      </c>
      <c r="AL935" s="4" t="s">
        <v>42</v>
      </c>
      <c r="AM935" s="4" t="s">
        <v>6296</v>
      </c>
      <c r="AN935" s="4" t="s">
        <v>6296</v>
      </c>
      <c r="AO935" s="4" t="s">
        <v>6296</v>
      </c>
      <c r="AP935" s="4" t="s">
        <v>4138</v>
      </c>
      <c r="AQ935" s="4" t="s">
        <v>47</v>
      </c>
    </row>
    <row r="936" spans="1:43" ht="12.6" customHeight="1" x14ac:dyDescent="0.25">
      <c r="A936" s="8" t="s">
        <v>2442</v>
      </c>
      <c r="B936" s="9">
        <v>20151231</v>
      </c>
      <c r="C936" s="12">
        <f>_xll.FDS("SPX","FG_PRICE(12/30/2015)")</f>
        <v>2063.36</v>
      </c>
      <c r="D936" s="12">
        <f>_xll.FDS("SPX","FG_PRICE(12/30/2017)")</f>
        <v>2673.61</v>
      </c>
      <c r="E936" s="15">
        <f>D936/C936-1</f>
        <v>0.2957554668114144</v>
      </c>
      <c r="F936" s="8" t="s">
        <v>2443</v>
      </c>
      <c r="G936" s="8" t="s">
        <v>2444</v>
      </c>
      <c r="H936" s="13">
        <f>_xll.FDS(G936,"FG_PRICE(12/30/2015)")</f>
        <v>97.09</v>
      </c>
      <c r="I936" s="13">
        <f>_xll.FDS(G936,"FG_PRICE(12/31/2017)")</f>
        <v>119.15</v>
      </c>
      <c r="J936" s="13">
        <f>I936/H936-1</f>
        <v>0.22721186527963755</v>
      </c>
      <c r="K936" s="13">
        <f>J936-E936</f>
        <v>-6.8543601531776854E-2</v>
      </c>
      <c r="L936" s="13">
        <f>_xll.FDS(G936,"FF_ROE(ANN_R,12/30/2015)")</f>
        <v>70.388856645385957</v>
      </c>
      <c r="M936" s="8" t="s">
        <v>2445</v>
      </c>
      <c r="N936" s="4" t="s">
        <v>2446</v>
      </c>
      <c r="O936" s="4" t="s">
        <v>2447</v>
      </c>
      <c r="P936" s="4" t="s">
        <v>96</v>
      </c>
      <c r="Q936" s="4" t="s">
        <v>74</v>
      </c>
      <c r="R936" s="4" t="s">
        <v>61</v>
      </c>
      <c r="S936" s="4" t="s">
        <v>62</v>
      </c>
      <c r="T936" s="6" t="e">
        <v>#N/A</v>
      </c>
      <c r="U936" s="5">
        <v>68</v>
      </c>
      <c r="V936" s="5">
        <v>70</v>
      </c>
      <c r="W936" s="5">
        <v>59</v>
      </c>
      <c r="X936" s="5">
        <v>78</v>
      </c>
      <c r="Y936" s="5">
        <v>85.42</v>
      </c>
      <c r="Z936" s="5">
        <v>86.11</v>
      </c>
      <c r="AA936" s="5">
        <v>57.64</v>
      </c>
      <c r="AB936" s="5">
        <v>90.97</v>
      </c>
      <c r="AC936" s="6">
        <v>0.35</v>
      </c>
      <c r="AD936" s="6">
        <v>0.4</v>
      </c>
      <c r="AE936" s="6">
        <v>0.25</v>
      </c>
      <c r="AF936" s="4" t="s">
        <v>6296</v>
      </c>
      <c r="AG936" s="4" t="s">
        <v>6296</v>
      </c>
      <c r="AH936" s="4" t="s">
        <v>6296</v>
      </c>
      <c r="AI936" s="4" t="s">
        <v>37</v>
      </c>
      <c r="AJ936" s="4" t="s">
        <v>6296</v>
      </c>
      <c r="AK936" s="4" t="s">
        <v>42</v>
      </c>
      <c r="AL936" s="4" t="s">
        <v>6296</v>
      </c>
      <c r="AM936" s="4" t="s">
        <v>46</v>
      </c>
      <c r="AN936" s="4" t="s">
        <v>6296</v>
      </c>
      <c r="AO936" s="4" t="s">
        <v>6296</v>
      </c>
      <c r="AP936" s="4" t="s">
        <v>2448</v>
      </c>
      <c r="AQ936" s="4" t="s">
        <v>47</v>
      </c>
    </row>
    <row r="937" spans="1:43" ht="12.6" customHeight="1" x14ac:dyDescent="0.25">
      <c r="A937" s="8" t="s">
        <v>400</v>
      </c>
      <c r="B937" s="9">
        <v>20151231</v>
      </c>
      <c r="C937" s="12">
        <f>_xll.FDS("SPX","FG_PRICE(12/30/2015)")</f>
        <v>2063.36</v>
      </c>
      <c r="D937" s="12">
        <f>_xll.FDS("SPX","FG_PRICE(12/30/2017)")</f>
        <v>2673.61</v>
      </c>
      <c r="E937" s="15">
        <f>D937/C937-1</f>
        <v>0.2957554668114144</v>
      </c>
      <c r="F937" s="8" t="s">
        <v>401</v>
      </c>
      <c r="G937" s="8" t="s">
        <v>402</v>
      </c>
      <c r="H937" s="13">
        <f>_xll.FDS(G937,"FG_PRICE(12/30/2015)")</f>
        <v>44</v>
      </c>
      <c r="I937" s="13">
        <f>_xll.FDS(G937,"FG_PRICE(12/31/2017)")</f>
        <v>58.99</v>
      </c>
      <c r="J937" s="13">
        <f>I937/H937-1</f>
        <v>0.34068181818181831</v>
      </c>
      <c r="K937" s="13">
        <f>J937-E937</f>
        <v>4.4926351370403905E-2</v>
      </c>
      <c r="L937" s="13">
        <f>_xll.FDS(G937,"FF_ROE(ANN_R,12/30/2015)")</f>
        <v>8.8556988760654747</v>
      </c>
      <c r="M937" s="8" t="s">
        <v>403</v>
      </c>
      <c r="N937" s="4" t="s">
        <v>403</v>
      </c>
      <c r="O937" s="4" t="s">
        <v>404</v>
      </c>
      <c r="P937" s="4" t="s">
        <v>96</v>
      </c>
      <c r="Q937" s="4" t="s">
        <v>78</v>
      </c>
      <c r="R937" s="4" t="s">
        <v>61</v>
      </c>
      <c r="S937" s="4" t="s">
        <v>62</v>
      </c>
      <c r="T937" s="6" t="e">
        <v>#N/A</v>
      </c>
      <c r="U937" s="5">
        <v>62</v>
      </c>
      <c r="V937" s="5">
        <v>50</v>
      </c>
      <c r="W937" s="5">
        <v>67</v>
      </c>
      <c r="X937" s="5">
        <v>77</v>
      </c>
      <c r="Y937" s="5">
        <v>58.46</v>
      </c>
      <c r="Z937" s="5">
        <v>42.31</v>
      </c>
      <c r="AA937" s="5">
        <v>60.38</v>
      </c>
      <c r="AB937" s="5">
        <v>75</v>
      </c>
      <c r="AC937" s="6">
        <v>0.45</v>
      </c>
      <c r="AD937" s="6">
        <v>0.3</v>
      </c>
      <c r="AE937" s="6">
        <v>0.25</v>
      </c>
      <c r="AF937" s="4" t="s">
        <v>37</v>
      </c>
      <c r="AG937" s="4" t="s">
        <v>42</v>
      </c>
      <c r="AH937" s="4" t="s">
        <v>6296</v>
      </c>
      <c r="AI937" s="4" t="s">
        <v>37</v>
      </c>
      <c r="AJ937" s="4" t="s">
        <v>6296</v>
      </c>
      <c r="AK937" s="4" t="s">
        <v>6296</v>
      </c>
      <c r="AL937" s="4" t="s">
        <v>42</v>
      </c>
      <c r="AM937" s="4" t="s">
        <v>6296</v>
      </c>
      <c r="AN937" s="4" t="s">
        <v>6296</v>
      </c>
      <c r="AO937" s="4" t="s">
        <v>6296</v>
      </c>
      <c r="AP937" s="4" t="s">
        <v>405</v>
      </c>
      <c r="AQ937" s="4" t="s">
        <v>47</v>
      </c>
    </row>
    <row r="938" spans="1:43" ht="12.6" customHeight="1" x14ac:dyDescent="0.25">
      <c r="A938" s="8" t="s">
        <v>255</v>
      </c>
      <c r="B938" s="9">
        <v>20151231</v>
      </c>
      <c r="C938" s="12">
        <f>_xll.FDS("SPX","FG_PRICE(12/30/2015)")</f>
        <v>2063.36</v>
      </c>
      <c r="D938" s="12">
        <f>_xll.FDS("SPX","FG_PRICE(12/30/2017)")</f>
        <v>2673.61</v>
      </c>
      <c r="E938" s="15">
        <f>D938/C938-1</f>
        <v>0.2957554668114144</v>
      </c>
      <c r="F938" s="8" t="s">
        <v>256</v>
      </c>
      <c r="G938" s="8" t="s">
        <v>257</v>
      </c>
      <c r="H938" s="13">
        <f>_xll.FDS(G938,"FG_PRICE(12/30/2015)")</f>
        <v>58.9</v>
      </c>
      <c r="I938" s="13">
        <f>_xll.FDS(G938,"FG_PRICE(12/31/2017)")</f>
        <v>73.569999999999993</v>
      </c>
      <c r="J938" s="13">
        <f>I938/H938-1</f>
        <v>0.24906621392190154</v>
      </c>
      <c r="K938" s="13">
        <f>J938-E938</f>
        <v>-4.6689252889512867E-2</v>
      </c>
      <c r="L938" s="13">
        <f>_xll.FDS(G938,"FF_ROE(ANN_R,12/30/2015)")</f>
        <v>9.9316213341437471</v>
      </c>
      <c r="M938" s="8" t="s">
        <v>258</v>
      </c>
      <c r="N938" s="4" t="s">
        <v>259</v>
      </c>
      <c r="O938" s="4" t="s">
        <v>43</v>
      </c>
      <c r="P938" s="4" t="s">
        <v>96</v>
      </c>
      <c r="Q938" s="4" t="s">
        <v>78</v>
      </c>
      <c r="R938" s="4" t="s">
        <v>61</v>
      </c>
      <c r="S938" s="4" t="s">
        <v>62</v>
      </c>
      <c r="T938" s="6" t="e">
        <v>#N/A</v>
      </c>
      <c r="U938" s="5">
        <v>65</v>
      </c>
      <c r="V938" s="5">
        <v>53</v>
      </c>
      <c r="W938" s="5">
        <v>73</v>
      </c>
      <c r="X938" s="5">
        <v>76</v>
      </c>
      <c r="Y938" s="5">
        <v>69.23</v>
      </c>
      <c r="Z938" s="5">
        <v>55.77</v>
      </c>
      <c r="AA938" s="5">
        <v>76.150000000000006</v>
      </c>
      <c r="AB938" s="5">
        <v>71.540000000000006</v>
      </c>
      <c r="AC938" s="6">
        <v>0.45</v>
      </c>
      <c r="AD938" s="6">
        <v>0.3</v>
      </c>
      <c r="AE938" s="6">
        <v>0.25</v>
      </c>
      <c r="AF938" s="4" t="s">
        <v>37</v>
      </c>
      <c r="AG938" s="4" t="s">
        <v>6296</v>
      </c>
      <c r="AH938" s="4" t="s">
        <v>6296</v>
      </c>
      <c r="AI938" s="4" t="s">
        <v>37</v>
      </c>
      <c r="AJ938" s="4" t="s">
        <v>6296</v>
      </c>
      <c r="AK938" s="4" t="s">
        <v>37</v>
      </c>
      <c r="AL938" s="4" t="s">
        <v>6296</v>
      </c>
      <c r="AM938" s="4" t="s">
        <v>6296</v>
      </c>
      <c r="AN938" s="4" t="s">
        <v>6296</v>
      </c>
      <c r="AO938" s="4" t="s">
        <v>6296</v>
      </c>
      <c r="AP938" s="4" t="s">
        <v>260</v>
      </c>
      <c r="AQ938" s="4" t="s">
        <v>47</v>
      </c>
    </row>
    <row r="939" spans="1:43" ht="12.6" customHeight="1" x14ac:dyDescent="0.25">
      <c r="A939" s="8" t="s">
        <v>116</v>
      </c>
      <c r="B939" s="9">
        <v>20151231</v>
      </c>
      <c r="C939" s="12">
        <f>_xll.FDS("SPX","FG_PRICE(12/30/2015)")</f>
        <v>2063.36</v>
      </c>
      <c r="D939" s="12">
        <f>_xll.FDS("SPX","FG_PRICE(12/30/2017)")</f>
        <v>2673.61</v>
      </c>
      <c r="E939" s="15">
        <f>D939/C939-1</f>
        <v>0.2957554668114144</v>
      </c>
      <c r="F939" s="8" t="s">
        <v>117</v>
      </c>
      <c r="G939" s="8" t="s">
        <v>118</v>
      </c>
      <c r="H939" s="13">
        <f>_xll.FDS(G939,"FG_PRICE(12/30/2015)")</f>
        <v>9.5</v>
      </c>
      <c r="I939" s="13">
        <f>_xll.FDS(G939,"FG_PRICE(12/31/2017)")</f>
        <v>10.83</v>
      </c>
      <c r="J939" s="13">
        <f>I939/H939-1</f>
        <v>0.1399999999999999</v>
      </c>
      <c r="K939" s="13">
        <f>J939-E939</f>
        <v>-0.1557554668114145</v>
      </c>
      <c r="L939" s="13">
        <f>_xll.FDS(G939,"FF_ROE(ANN_R,12/30/2015)")</f>
        <v>18.017812285910029</v>
      </c>
      <c r="M939" s="8" t="s">
        <v>119</v>
      </c>
      <c r="N939" s="4" t="s">
        <v>120</v>
      </c>
      <c r="O939" s="4" t="s">
        <v>121</v>
      </c>
      <c r="P939" s="4" t="s">
        <v>96</v>
      </c>
      <c r="Q939" s="4" t="s">
        <v>78</v>
      </c>
      <c r="R939" s="4" t="s">
        <v>61</v>
      </c>
      <c r="S939" s="4" t="s">
        <v>62</v>
      </c>
      <c r="T939" s="6" t="e">
        <v>#N/A</v>
      </c>
      <c r="U939" s="5">
        <v>64</v>
      </c>
      <c r="V939" s="5">
        <v>56</v>
      </c>
      <c r="W939" s="5">
        <v>67</v>
      </c>
      <c r="X939" s="5">
        <v>77</v>
      </c>
      <c r="Y939" s="5">
        <v>66.150000000000006</v>
      </c>
      <c r="Z939" s="5">
        <v>62.69</v>
      </c>
      <c r="AA939" s="5">
        <v>60.38</v>
      </c>
      <c r="AB939" s="5">
        <v>75</v>
      </c>
      <c r="AC939" s="6">
        <v>0.45</v>
      </c>
      <c r="AD939" s="6">
        <v>0.3</v>
      </c>
      <c r="AE939" s="6">
        <v>0.25</v>
      </c>
      <c r="AF939" s="4" t="s">
        <v>6296</v>
      </c>
      <c r="AG939" s="4" t="s">
        <v>6296</v>
      </c>
      <c r="AH939" s="4" t="s">
        <v>6296</v>
      </c>
      <c r="AI939" s="4" t="s">
        <v>6296</v>
      </c>
      <c r="AJ939" s="4" t="s">
        <v>6296</v>
      </c>
      <c r="AK939" s="4" t="s">
        <v>6296</v>
      </c>
      <c r="AL939" s="4" t="s">
        <v>42</v>
      </c>
      <c r="AM939" s="4" t="s">
        <v>6296</v>
      </c>
      <c r="AN939" s="4" t="s">
        <v>6296</v>
      </c>
      <c r="AO939" s="4" t="s">
        <v>6296</v>
      </c>
      <c r="AP939" s="4" t="s">
        <v>122</v>
      </c>
      <c r="AQ939" s="4" t="s">
        <v>47</v>
      </c>
    </row>
    <row r="940" spans="1:43" ht="12.6" customHeight="1" x14ac:dyDescent="0.25">
      <c r="A940" s="8" t="s">
        <v>1510</v>
      </c>
      <c r="B940" s="9">
        <v>20151231</v>
      </c>
      <c r="C940" s="12">
        <f>_xll.FDS("SPX","FG_PRICE(12/30/2015)")</f>
        <v>2063.36</v>
      </c>
      <c r="D940" s="12">
        <f>_xll.FDS("SPX","FG_PRICE(12/30/2017)")</f>
        <v>2673.61</v>
      </c>
      <c r="E940" s="15">
        <f>D940/C940-1</f>
        <v>0.2957554668114144</v>
      </c>
      <c r="F940" s="8" t="s">
        <v>1511</v>
      </c>
      <c r="G940" s="8" t="s">
        <v>1512</v>
      </c>
      <c r="H940" s="13">
        <f>_xll.FDS(G940,"FG_PRICE(12/30/2015)")</f>
        <v>64.150000000000006</v>
      </c>
      <c r="I940" s="13">
        <f>_xll.FDS(G940,"FG_PRICE(12/31/2017)")</f>
        <v>85.89</v>
      </c>
      <c r="J940" s="13">
        <f>I940/H940-1</f>
        <v>0.33889321901792657</v>
      </c>
      <c r="K940" s="13">
        <f>J940-E940</f>
        <v>4.313775220651217E-2</v>
      </c>
      <c r="L940" s="13">
        <f>_xll.FDS(G940,"FF_ROE(ANN_R,12/30/2015)")</f>
        <v>10.01265875384431</v>
      </c>
      <c r="M940" s="8" t="s">
        <v>1513</v>
      </c>
      <c r="N940" s="4" t="s">
        <v>1513</v>
      </c>
      <c r="O940" s="4" t="s">
        <v>1514</v>
      </c>
      <c r="P940" s="4" t="s">
        <v>96</v>
      </c>
      <c r="Q940" s="4" t="s">
        <v>78</v>
      </c>
      <c r="R940" s="4" t="s">
        <v>61</v>
      </c>
      <c r="S940" s="4" t="s">
        <v>62</v>
      </c>
      <c r="T940" s="6" t="e">
        <v>#N/A</v>
      </c>
      <c r="U940" s="5">
        <v>54</v>
      </c>
      <c r="V940" s="5">
        <v>41</v>
      </c>
      <c r="W940" s="5">
        <v>62</v>
      </c>
      <c r="X940" s="5">
        <v>70</v>
      </c>
      <c r="Y940" s="5">
        <v>27.31</v>
      </c>
      <c r="Z940" s="5">
        <v>14.23</v>
      </c>
      <c r="AA940" s="5">
        <v>45.38</v>
      </c>
      <c r="AB940" s="5">
        <v>50.38</v>
      </c>
      <c r="AC940" s="6">
        <v>0.45</v>
      </c>
      <c r="AD940" s="6">
        <v>0.3</v>
      </c>
      <c r="AE940" s="6">
        <v>0.25</v>
      </c>
      <c r="AF940" s="4" t="s">
        <v>6296</v>
      </c>
      <c r="AG940" s="4" t="s">
        <v>6296</v>
      </c>
      <c r="AH940" s="4" t="s">
        <v>6296</v>
      </c>
      <c r="AI940" s="4" t="s">
        <v>42</v>
      </c>
      <c r="AJ940" s="4" t="s">
        <v>6296</v>
      </c>
      <c r="AK940" s="4" t="s">
        <v>6296</v>
      </c>
      <c r="AL940" s="4" t="s">
        <v>42</v>
      </c>
      <c r="AM940" s="4" t="s">
        <v>6296</v>
      </c>
      <c r="AN940" s="4" t="s">
        <v>6296</v>
      </c>
      <c r="AO940" s="4" t="s">
        <v>6296</v>
      </c>
      <c r="AP940" s="4" t="s">
        <v>1515</v>
      </c>
      <c r="AQ940" s="4" t="s">
        <v>47</v>
      </c>
    </row>
    <row r="941" spans="1:43" ht="12.6" customHeight="1" x14ac:dyDescent="0.25">
      <c r="A941" s="8" t="s">
        <v>4603</v>
      </c>
      <c r="B941" s="9">
        <v>20151231</v>
      </c>
      <c r="C941" s="12">
        <f>_xll.FDS("SPX","FG_PRICE(12/30/2015)")</f>
        <v>2063.36</v>
      </c>
      <c r="D941" s="12">
        <f>_xll.FDS("SPX","FG_PRICE(12/30/2017)")</f>
        <v>2673.61</v>
      </c>
      <c r="E941" s="15">
        <f>D941/C941-1</f>
        <v>0.2957554668114144</v>
      </c>
      <c r="F941" s="8" t="s">
        <v>4604</v>
      </c>
      <c r="G941" s="8" t="s">
        <v>4605</v>
      </c>
      <c r="H941" s="13">
        <f>_xll.FDS(G941,"FG_PRICE(12/30/2015)")</f>
        <v>2.4700000000000002</v>
      </c>
      <c r="I941" s="13">
        <f>_xll.FDS(G941,"FG_PRICE(12/31/2017)")</f>
        <v>2.99</v>
      </c>
      <c r="J941" s="13">
        <f>I941/H941-1</f>
        <v>0.21052631578947367</v>
      </c>
      <c r="K941" s="13">
        <f>J941-E941</f>
        <v>-8.522915102194073E-2</v>
      </c>
      <c r="L941" s="13">
        <f>_xll.FDS(G941,"FF_ROE(ANN_R,12/30/2015)")</f>
        <v>-23.608796240014531</v>
      </c>
      <c r="M941" s="8" t="s">
        <v>4606</v>
      </c>
      <c r="N941" s="4" t="s">
        <v>4606</v>
      </c>
      <c r="O941" s="4" t="s">
        <v>4607</v>
      </c>
      <c r="P941" s="4" t="s">
        <v>108</v>
      </c>
      <c r="Q941" s="4" t="s">
        <v>78</v>
      </c>
      <c r="R941" s="4" t="s">
        <v>61</v>
      </c>
      <c r="S941" s="4" t="s">
        <v>62</v>
      </c>
      <c r="T941" s="6" t="e">
        <v>#N/A</v>
      </c>
      <c r="U941" s="5">
        <v>50</v>
      </c>
      <c r="V941" s="5">
        <v>38</v>
      </c>
      <c r="W941" s="5">
        <v>51</v>
      </c>
      <c r="X941" s="5">
        <v>71</v>
      </c>
      <c r="Y941" s="5">
        <v>15.38</v>
      </c>
      <c r="Z941" s="6">
        <v>4.2300000000000004</v>
      </c>
      <c r="AA941" s="5">
        <v>11.92</v>
      </c>
      <c r="AB941" s="5">
        <v>53.85</v>
      </c>
      <c r="AC941" s="6">
        <v>0.45</v>
      </c>
      <c r="AD941" s="6">
        <v>0.3</v>
      </c>
      <c r="AE941" s="6">
        <v>0.25</v>
      </c>
      <c r="AF941" s="4" t="s">
        <v>6296</v>
      </c>
      <c r="AG941" s="4" t="s">
        <v>6296</v>
      </c>
      <c r="AH941" s="4" t="s">
        <v>6296</v>
      </c>
      <c r="AI941" s="4" t="s">
        <v>6296</v>
      </c>
      <c r="AJ941" s="4" t="s">
        <v>6296</v>
      </c>
      <c r="AK941" s="4" t="s">
        <v>6296</v>
      </c>
      <c r="AL941" s="4" t="s">
        <v>6296</v>
      </c>
      <c r="AM941" s="4" t="s">
        <v>6296</v>
      </c>
      <c r="AN941" s="4" t="s">
        <v>42</v>
      </c>
      <c r="AO941" s="4" t="s">
        <v>6296</v>
      </c>
      <c r="AP941" s="4" t="s">
        <v>4608</v>
      </c>
      <c r="AQ941" s="4" t="s">
        <v>47</v>
      </c>
    </row>
    <row r="942" spans="1:43" ht="12.6" customHeight="1" x14ac:dyDescent="0.25">
      <c r="A942" s="8" t="s">
        <v>5030</v>
      </c>
      <c r="B942" s="9">
        <v>20151231</v>
      </c>
      <c r="C942" s="12">
        <f>_xll.FDS("SPX","FG_PRICE(12/30/2015)")</f>
        <v>2063.36</v>
      </c>
      <c r="D942" s="12">
        <f>_xll.FDS("SPX","FG_PRICE(12/30/2017)")</f>
        <v>2673.61</v>
      </c>
      <c r="E942" s="15">
        <f>D942/C942-1</f>
        <v>0.2957554668114144</v>
      </c>
      <c r="F942" s="8" t="s">
        <v>5031</v>
      </c>
      <c r="G942" s="8" t="s">
        <v>5032</v>
      </c>
      <c r="H942" s="13">
        <f>_xll.FDS(G942,"FG_PRICE(12/30/2015)")</f>
        <v>60.45</v>
      </c>
      <c r="I942" s="13">
        <f>_xll.FDS(G942,"FG_PRICE(12/31/2017)")</f>
        <v>91.49</v>
      </c>
      <c r="J942" s="13">
        <f>I942/H942-1</f>
        <v>0.51348221670802308</v>
      </c>
      <c r="K942" s="13">
        <f>J942-E942</f>
        <v>0.21772674989660867</v>
      </c>
      <c r="L942" s="13">
        <f>_xll.FDS(G942,"FF_ROE(ANN_R,12/30/2015)")</f>
        <v>8.9185676697358982</v>
      </c>
      <c r="M942" s="8" t="s">
        <v>5033</v>
      </c>
      <c r="N942" s="4" t="s">
        <v>5034</v>
      </c>
      <c r="O942" s="4" t="s">
        <v>5035</v>
      </c>
      <c r="P942" s="4" t="s">
        <v>96</v>
      </c>
      <c r="Q942" s="4" t="s">
        <v>78</v>
      </c>
      <c r="R942" s="4" t="s">
        <v>61</v>
      </c>
      <c r="S942" s="4" t="s">
        <v>62</v>
      </c>
      <c r="T942" s="6" t="e">
        <v>#N/A</v>
      </c>
      <c r="U942" s="5">
        <v>73</v>
      </c>
      <c r="V942" s="5">
        <v>66</v>
      </c>
      <c r="W942" s="5">
        <v>73</v>
      </c>
      <c r="X942" s="5">
        <v>84</v>
      </c>
      <c r="Y942" s="5">
        <v>86.92</v>
      </c>
      <c r="Z942" s="5">
        <v>81.540000000000006</v>
      </c>
      <c r="AA942" s="5">
        <v>76.150000000000006</v>
      </c>
      <c r="AB942" s="5">
        <v>91.54</v>
      </c>
      <c r="AC942" s="6">
        <v>0.45</v>
      </c>
      <c r="AD942" s="6">
        <v>0.3</v>
      </c>
      <c r="AE942" s="6">
        <v>0.25</v>
      </c>
      <c r="AF942" s="4" t="s">
        <v>6296</v>
      </c>
      <c r="AG942" s="4" t="s">
        <v>6296</v>
      </c>
      <c r="AH942" s="4" t="s">
        <v>6296</v>
      </c>
      <c r="AI942" s="4" t="s">
        <v>6296</v>
      </c>
      <c r="AJ942" s="4" t="s">
        <v>6296</v>
      </c>
      <c r="AK942" s="4" t="s">
        <v>37</v>
      </c>
      <c r="AL942" s="4" t="s">
        <v>6296</v>
      </c>
      <c r="AM942" s="4" t="s">
        <v>6296</v>
      </c>
      <c r="AN942" s="4" t="s">
        <v>6296</v>
      </c>
      <c r="AO942" s="4" t="s">
        <v>6296</v>
      </c>
      <c r="AP942" s="4" t="s">
        <v>5036</v>
      </c>
      <c r="AQ942" s="4" t="s">
        <v>47</v>
      </c>
    </row>
    <row r="943" spans="1:43" ht="12.6" customHeight="1" x14ac:dyDescent="0.25">
      <c r="A943" s="8" t="s">
        <v>1214</v>
      </c>
      <c r="B943" s="9">
        <v>20151231</v>
      </c>
      <c r="C943" s="12">
        <f>_xll.FDS("SPX","FG_PRICE(12/30/2015)")</f>
        <v>2063.36</v>
      </c>
      <c r="D943" s="12">
        <f>_xll.FDS("SPX","FG_PRICE(12/30/2017)")</f>
        <v>2673.61</v>
      </c>
      <c r="E943" s="15">
        <f>D943/C943-1</f>
        <v>0.2957554668114144</v>
      </c>
      <c r="F943" s="8" t="s">
        <v>1215</v>
      </c>
      <c r="G943" s="8" t="s">
        <v>1216</v>
      </c>
      <c r="H943" s="13">
        <f>_xll.FDS(G943,"FG_PRICE(12/30/2015)")</f>
        <v>5.3</v>
      </c>
      <c r="I943" s="13">
        <f>_xll.FDS(G943,"FG_PRICE(12/31/2017)")</f>
        <v>14.25</v>
      </c>
      <c r="J943" s="13">
        <f>I943/H943-1</f>
        <v>1.6886792452830188</v>
      </c>
      <c r="K943" s="13">
        <f>J943-E943</f>
        <v>1.3929237784716044</v>
      </c>
      <c r="L943" s="13" t="e">
        <f>_xll.FDS(G943,"FF_ROE(ANN_R,12/30/2015)")</f>
        <v>#N/A</v>
      </c>
      <c r="M943" s="8" t="s">
        <v>1217</v>
      </c>
      <c r="N943" s="4" t="s">
        <v>1217</v>
      </c>
      <c r="O943" s="4" t="s">
        <v>1218</v>
      </c>
      <c r="P943" s="4" t="s">
        <v>109</v>
      </c>
      <c r="Q943" s="4" t="s">
        <v>78</v>
      </c>
      <c r="R943" s="4" t="s">
        <v>61</v>
      </c>
      <c r="S943" s="4" t="s">
        <v>62</v>
      </c>
      <c r="T943" s="6" t="e">
        <v>#N/A</v>
      </c>
      <c r="U943" s="5">
        <v>48</v>
      </c>
      <c r="V943" s="5">
        <v>38</v>
      </c>
      <c r="W943" s="5">
        <v>50</v>
      </c>
      <c r="X943" s="5">
        <v>65</v>
      </c>
      <c r="Y943" s="5">
        <v>10.77</v>
      </c>
      <c r="Z943" s="6">
        <v>4.2300000000000004</v>
      </c>
      <c r="AA943" s="6">
        <v>4.62</v>
      </c>
      <c r="AB943" s="5">
        <v>33.85</v>
      </c>
      <c r="AC943" s="6">
        <v>0.45</v>
      </c>
      <c r="AD943" s="6">
        <v>0.3</v>
      </c>
      <c r="AE943" s="6">
        <v>0.25</v>
      </c>
      <c r="AF943" s="4" t="s">
        <v>42</v>
      </c>
      <c r="AG943" s="4" t="s">
        <v>6296</v>
      </c>
      <c r="AH943" s="4" t="s">
        <v>6296</v>
      </c>
      <c r="AI943" s="4" t="s">
        <v>6296</v>
      </c>
      <c r="AJ943" s="4" t="s">
        <v>6296</v>
      </c>
      <c r="AK943" s="4" t="s">
        <v>6296</v>
      </c>
      <c r="AL943" s="4" t="s">
        <v>6296</v>
      </c>
      <c r="AM943" s="4" t="s">
        <v>6296</v>
      </c>
      <c r="AN943" s="4" t="s">
        <v>6296</v>
      </c>
      <c r="AO943" s="4" t="s">
        <v>6296</v>
      </c>
      <c r="AP943" s="4" t="s">
        <v>1219</v>
      </c>
      <c r="AQ943" s="4" t="s">
        <v>47</v>
      </c>
    </row>
    <row r="944" spans="1:43" ht="12.6" customHeight="1" x14ac:dyDescent="0.25">
      <c r="A944" s="8" t="s">
        <v>1168</v>
      </c>
      <c r="B944" s="9">
        <v>20151231</v>
      </c>
      <c r="C944" s="12">
        <f>_xll.FDS("SPX","FG_PRICE(12/30/2015)")</f>
        <v>2063.36</v>
      </c>
      <c r="D944" s="12">
        <f>_xll.FDS("SPX","FG_PRICE(12/30/2017)")</f>
        <v>2673.61</v>
      </c>
      <c r="E944" s="15">
        <f>D944/C944-1</f>
        <v>0.2957554668114144</v>
      </c>
      <c r="F944" s="8" t="s">
        <v>1169</v>
      </c>
      <c r="G944" s="8" t="s">
        <v>1170</v>
      </c>
      <c r="H944" s="13">
        <f>_xll.FDS(G944,"FG_PRICE(12/30/2015)")</f>
        <v>36.68</v>
      </c>
      <c r="I944" s="13">
        <f>_xll.FDS(G944,"FG_PRICE(12/31/2017)")</f>
        <v>47.3</v>
      </c>
      <c r="J944" s="13">
        <f>I944/H944-1</f>
        <v>0.28953107960741531</v>
      </c>
      <c r="K944" s="13">
        <f>J944-E944</f>
        <v>-6.2243872039990933E-3</v>
      </c>
      <c r="L944" s="13">
        <f>_xll.FDS(G944,"FF_ROE(ANN_R,12/30/2015)")</f>
        <v>13.391353172375069</v>
      </c>
      <c r="M944" s="8" t="s">
        <v>1171</v>
      </c>
      <c r="N944" s="4" t="s">
        <v>1171</v>
      </c>
      <c r="O944" s="4" t="s">
        <v>1172</v>
      </c>
      <c r="P944" s="4" t="s">
        <v>96</v>
      </c>
      <c r="Q944" s="4" t="s">
        <v>78</v>
      </c>
      <c r="R944" s="4" t="s">
        <v>61</v>
      </c>
      <c r="S944" s="4" t="s">
        <v>62</v>
      </c>
      <c r="T944" s="6" t="e">
        <v>#N/A</v>
      </c>
      <c r="U944" s="5">
        <v>74</v>
      </c>
      <c r="V944" s="5">
        <v>67</v>
      </c>
      <c r="W944" s="5">
        <v>76</v>
      </c>
      <c r="X944" s="5">
        <v>82</v>
      </c>
      <c r="Y944" s="5">
        <v>88.46</v>
      </c>
      <c r="Z944" s="5">
        <v>82.69</v>
      </c>
      <c r="AA944" s="5">
        <v>83.46</v>
      </c>
      <c r="AB944" s="5">
        <v>87.69</v>
      </c>
      <c r="AC944" s="6">
        <v>0.45</v>
      </c>
      <c r="AD944" s="6">
        <v>0.3</v>
      </c>
      <c r="AE944" s="6">
        <v>0.25</v>
      </c>
      <c r="AF944" s="4" t="s">
        <v>42</v>
      </c>
      <c r="AG944" s="4" t="s">
        <v>6296</v>
      </c>
      <c r="AH944" s="4" t="s">
        <v>6296</v>
      </c>
      <c r="AI944" s="4" t="s">
        <v>42</v>
      </c>
      <c r="AJ944" s="4" t="s">
        <v>6296</v>
      </c>
      <c r="AK944" s="4" t="s">
        <v>42</v>
      </c>
      <c r="AL944" s="4" t="s">
        <v>37</v>
      </c>
      <c r="AM944" s="4" t="s">
        <v>6296</v>
      </c>
      <c r="AN944" s="4" t="s">
        <v>6296</v>
      </c>
      <c r="AO944" s="4" t="s">
        <v>6296</v>
      </c>
      <c r="AP944" s="4" t="s">
        <v>1173</v>
      </c>
      <c r="AQ944" s="4" t="s">
        <v>47</v>
      </c>
    </row>
    <row r="945" spans="1:43" ht="12.6" customHeight="1" x14ac:dyDescent="0.25">
      <c r="A945" s="8" t="s">
        <v>2052</v>
      </c>
      <c r="B945" s="9">
        <v>20151231</v>
      </c>
      <c r="C945" s="12">
        <f>_xll.FDS("SPX","FG_PRICE(12/30/2015)")</f>
        <v>2063.36</v>
      </c>
      <c r="D945" s="12">
        <f>_xll.FDS("SPX","FG_PRICE(12/30/2017)")</f>
        <v>2673.61</v>
      </c>
      <c r="E945" s="15">
        <f>D945/C945-1</f>
        <v>0.2957554668114144</v>
      </c>
      <c r="F945" s="8" t="s">
        <v>2053</v>
      </c>
      <c r="G945" s="8" t="s">
        <v>2054</v>
      </c>
      <c r="H945" s="13">
        <f>_xll.FDS(G945,"FG_PRICE(12/30/2015)")</f>
        <v>18.3</v>
      </c>
      <c r="I945" s="13">
        <f>_xll.FDS(G945,"FG_PRICE(12/31/2017)")</f>
        <v>28.36</v>
      </c>
      <c r="J945" s="13">
        <f>I945/H945-1</f>
        <v>0.54972677595628405</v>
      </c>
      <c r="K945" s="13">
        <f>J945-E945</f>
        <v>0.25397130914486965</v>
      </c>
      <c r="L945" s="13">
        <f>_xll.FDS(G945,"FF_ROE(ANN_R,12/30/2015)")</f>
        <v>13.76591190717585</v>
      </c>
      <c r="M945" s="8" t="s">
        <v>2055</v>
      </c>
      <c r="N945" s="4" t="s">
        <v>2056</v>
      </c>
      <c r="O945" s="4" t="s">
        <v>2057</v>
      </c>
      <c r="P945" s="4" t="s">
        <v>96</v>
      </c>
      <c r="Q945" s="4" t="s">
        <v>78</v>
      </c>
      <c r="R945" s="4" t="s">
        <v>61</v>
      </c>
      <c r="S945" s="4" t="s">
        <v>62</v>
      </c>
      <c r="T945" s="6" t="e">
        <v>#N/A</v>
      </c>
      <c r="U945" s="5">
        <v>57</v>
      </c>
      <c r="V945" s="5">
        <v>46</v>
      </c>
      <c r="W945" s="5">
        <v>62</v>
      </c>
      <c r="X945" s="5">
        <v>72</v>
      </c>
      <c r="Y945" s="5">
        <v>37.69</v>
      </c>
      <c r="Z945" s="5">
        <v>25.77</v>
      </c>
      <c r="AA945" s="5">
        <v>45.38</v>
      </c>
      <c r="AB945" s="5">
        <v>56.15</v>
      </c>
      <c r="AC945" s="6">
        <v>0.45</v>
      </c>
      <c r="AD945" s="6">
        <v>0.3</v>
      </c>
      <c r="AE945" s="6">
        <v>0.25</v>
      </c>
      <c r="AF945" s="4" t="s">
        <v>6296</v>
      </c>
      <c r="AG945" s="4" t="s">
        <v>6296</v>
      </c>
      <c r="AH945" s="4" t="s">
        <v>6296</v>
      </c>
      <c r="AI945" s="4" t="s">
        <v>42</v>
      </c>
      <c r="AJ945" s="4" t="s">
        <v>6296</v>
      </c>
      <c r="AK945" s="4" t="s">
        <v>42</v>
      </c>
      <c r="AL945" s="4" t="s">
        <v>42</v>
      </c>
      <c r="AM945" s="4" t="s">
        <v>6296</v>
      </c>
      <c r="AN945" s="4" t="s">
        <v>6296</v>
      </c>
      <c r="AO945" s="4" t="s">
        <v>6296</v>
      </c>
      <c r="AP945" s="4" t="s">
        <v>2058</v>
      </c>
      <c r="AQ945" s="4" t="s">
        <v>47</v>
      </c>
    </row>
    <row r="946" spans="1:43" ht="12.6" customHeight="1" x14ac:dyDescent="0.25">
      <c r="A946" s="8" t="s">
        <v>4990</v>
      </c>
      <c r="B946" s="9">
        <v>20151231</v>
      </c>
      <c r="C946" s="12">
        <f>_xll.FDS("SPX","FG_PRICE(12/30/2015)")</f>
        <v>2063.36</v>
      </c>
      <c r="D946" s="12">
        <f>_xll.FDS("SPX","FG_PRICE(12/30/2017)")</f>
        <v>2673.61</v>
      </c>
      <c r="E946" s="15">
        <f>D946/C946-1</f>
        <v>0.2957554668114144</v>
      </c>
      <c r="F946" s="8" t="s">
        <v>4991</v>
      </c>
      <c r="G946" s="8" t="s">
        <v>4992</v>
      </c>
      <c r="H946" s="13">
        <f>_xll.FDS(G946,"FG_PRICE(12/30/2015)")</f>
        <v>14.21</v>
      </c>
      <c r="I946" s="13">
        <f>_xll.FDS(G946,"FG_PRICE(12/31/2017)")</f>
        <v>15.13</v>
      </c>
      <c r="J946" s="13">
        <f>I946/H946-1</f>
        <v>6.474313863476433E-2</v>
      </c>
      <c r="K946" s="13">
        <f>J946-E946</f>
        <v>-0.23101232817665007</v>
      </c>
      <c r="L946" s="13">
        <f>_xll.FDS(G946,"FF_ROE(ANN_R,12/30/2015)")</f>
        <v>27.452118398142769</v>
      </c>
      <c r="M946" s="8" t="s">
        <v>4993</v>
      </c>
      <c r="N946" s="4" t="s">
        <v>4994</v>
      </c>
      <c r="O946" s="4" t="s">
        <v>4995</v>
      </c>
      <c r="P946" s="4" t="s">
        <v>96</v>
      </c>
      <c r="Q946" s="4" t="s">
        <v>78</v>
      </c>
      <c r="R946" s="4" t="s">
        <v>61</v>
      </c>
      <c r="S946" s="4" t="s">
        <v>62</v>
      </c>
      <c r="T946" s="6" t="e">
        <v>#N/A</v>
      </c>
      <c r="U946" s="5">
        <v>59</v>
      </c>
      <c r="V946" s="5">
        <v>47</v>
      </c>
      <c r="W946" s="5">
        <v>67</v>
      </c>
      <c r="X946" s="5">
        <v>71</v>
      </c>
      <c r="Y946" s="5">
        <v>44.23</v>
      </c>
      <c r="Z946" s="5">
        <v>29.23</v>
      </c>
      <c r="AA946" s="5">
        <v>60.38</v>
      </c>
      <c r="AB946" s="5">
        <v>53.85</v>
      </c>
      <c r="AC946" s="6">
        <v>0.45</v>
      </c>
      <c r="AD946" s="6">
        <v>0.3</v>
      </c>
      <c r="AE946" s="6">
        <v>0.25</v>
      </c>
      <c r="AF946" s="4" t="s">
        <v>42</v>
      </c>
      <c r="AG946" s="4" t="s">
        <v>6296</v>
      </c>
      <c r="AH946" s="4" t="s">
        <v>6296</v>
      </c>
      <c r="AI946" s="4" t="s">
        <v>6296</v>
      </c>
      <c r="AJ946" s="4" t="s">
        <v>6296</v>
      </c>
      <c r="AK946" s="4" t="s">
        <v>6296</v>
      </c>
      <c r="AL946" s="4" t="s">
        <v>6296</v>
      </c>
      <c r="AM946" s="4" t="s">
        <v>6296</v>
      </c>
      <c r="AN946" s="4" t="s">
        <v>6296</v>
      </c>
      <c r="AO946" s="4" t="s">
        <v>6296</v>
      </c>
      <c r="AP946" s="4" t="s">
        <v>4996</v>
      </c>
      <c r="AQ946" s="4" t="s">
        <v>47</v>
      </c>
    </row>
    <row r="947" spans="1:43" ht="12.6" customHeight="1" x14ac:dyDescent="0.25">
      <c r="A947" s="8" t="s">
        <v>1383</v>
      </c>
      <c r="B947" s="9">
        <v>20151231</v>
      </c>
      <c r="C947" s="12">
        <f>_xll.FDS("SPX","FG_PRICE(12/30/2015)")</f>
        <v>2063.36</v>
      </c>
      <c r="D947" s="12">
        <f>_xll.FDS("SPX","FG_PRICE(12/30/2017)")</f>
        <v>2673.61</v>
      </c>
      <c r="E947" s="15">
        <f>D947/C947-1</f>
        <v>0.2957554668114144</v>
      </c>
      <c r="F947" s="8" t="s">
        <v>1384</v>
      </c>
      <c r="G947" s="8" t="s">
        <v>1385</v>
      </c>
      <c r="H947" s="13">
        <f>_xll.FDS(G947,"FG_PRICE(12/30/2015)")</f>
        <v>81.540000000000006</v>
      </c>
      <c r="I947" s="13">
        <f>_xll.FDS(G947,"FG_PRICE(12/31/2017)")</f>
        <v>109.46</v>
      </c>
      <c r="J947" s="13">
        <f>I947/H947-1</f>
        <v>0.34240863379936215</v>
      </c>
      <c r="K947" s="13">
        <f>J947-E947</f>
        <v>4.6653166987947747E-2</v>
      </c>
      <c r="L947" s="13">
        <f>_xll.FDS(G947,"FF_ROE(ANN_R,12/30/2015)")</f>
        <v>11.1398325947809</v>
      </c>
      <c r="M947" s="8" t="s">
        <v>1386</v>
      </c>
      <c r="N947" s="4" t="s">
        <v>1386</v>
      </c>
      <c r="O947" s="4" t="s">
        <v>1387</v>
      </c>
      <c r="P947" s="4" t="s">
        <v>96</v>
      </c>
      <c r="Q947" s="4" t="s">
        <v>78</v>
      </c>
      <c r="R947" s="4" t="s">
        <v>61</v>
      </c>
      <c r="S947" s="4" t="s">
        <v>62</v>
      </c>
      <c r="T947" s="6" t="e">
        <v>#N/A</v>
      </c>
      <c r="U947" s="5">
        <v>66</v>
      </c>
      <c r="V947" s="5">
        <v>50</v>
      </c>
      <c r="W947" s="5">
        <v>80</v>
      </c>
      <c r="X947" s="5">
        <v>78</v>
      </c>
      <c r="Y947" s="5">
        <v>71.150000000000006</v>
      </c>
      <c r="Z947" s="5">
        <v>42.31</v>
      </c>
      <c r="AA947" s="5">
        <v>92.31</v>
      </c>
      <c r="AB947" s="5">
        <v>76.92</v>
      </c>
      <c r="AC947" s="6">
        <v>0.45</v>
      </c>
      <c r="AD947" s="6">
        <v>0.3</v>
      </c>
      <c r="AE947" s="6">
        <v>0.25</v>
      </c>
      <c r="AF947" s="4" t="s">
        <v>37</v>
      </c>
      <c r="AG947" s="4" t="s">
        <v>6296</v>
      </c>
      <c r="AH947" s="4" t="s">
        <v>6296</v>
      </c>
      <c r="AI947" s="4" t="s">
        <v>42</v>
      </c>
      <c r="AJ947" s="4" t="s">
        <v>6296</v>
      </c>
      <c r="AK947" s="4" t="s">
        <v>42</v>
      </c>
      <c r="AL947" s="4" t="s">
        <v>42</v>
      </c>
      <c r="AM947" s="4" t="s">
        <v>6296</v>
      </c>
      <c r="AN947" s="4" t="s">
        <v>6296</v>
      </c>
      <c r="AO947" s="4" t="s">
        <v>6296</v>
      </c>
      <c r="AP947" s="4" t="s">
        <v>1388</v>
      </c>
      <c r="AQ947" s="4" t="s">
        <v>47</v>
      </c>
    </row>
    <row r="948" spans="1:43" ht="12.6" customHeight="1" x14ac:dyDescent="0.25">
      <c r="A948" s="8" t="s">
        <v>5524</v>
      </c>
      <c r="B948" s="9">
        <v>20151231</v>
      </c>
      <c r="C948" s="12">
        <f>_xll.FDS("SPX","FG_PRICE(12/30/2015)")</f>
        <v>2063.36</v>
      </c>
      <c r="D948" s="12">
        <f>_xll.FDS("SPX","FG_PRICE(12/30/2017)")</f>
        <v>2673.61</v>
      </c>
      <c r="E948" s="15">
        <f>D948/C948-1</f>
        <v>0.2957554668114144</v>
      </c>
      <c r="F948" s="8" t="s">
        <v>5525</v>
      </c>
      <c r="G948" s="8" t="s">
        <v>5526</v>
      </c>
      <c r="H948" s="13">
        <f>_xll.FDS(G948,"FG_PRICE(12/30/2015)")</f>
        <v>72.19</v>
      </c>
      <c r="I948" s="13">
        <f>_xll.FDS(G948,"FG_PRICE(12/31/2017)")</f>
        <v>84.11</v>
      </c>
      <c r="J948" s="13">
        <f>I948/H948-1</f>
        <v>0.16511982269012337</v>
      </c>
      <c r="K948" s="13">
        <f>J948-E948</f>
        <v>-0.13063564412129103</v>
      </c>
      <c r="L948" s="13">
        <f>_xll.FDS(G948,"FF_ROE(ANN_R,12/30/2015)")</f>
        <v>5.9826044644486336</v>
      </c>
      <c r="M948" s="8" t="s">
        <v>5527</v>
      </c>
      <c r="N948" s="4" t="s">
        <v>5527</v>
      </c>
      <c r="O948" s="4" t="s">
        <v>5528</v>
      </c>
      <c r="P948" s="4" t="s">
        <v>96</v>
      </c>
      <c r="Q948" s="4" t="s">
        <v>78</v>
      </c>
      <c r="R948" s="4" t="s">
        <v>61</v>
      </c>
      <c r="S948" s="4" t="s">
        <v>62</v>
      </c>
      <c r="T948" s="6" t="e">
        <v>#N/A</v>
      </c>
      <c r="U948" s="5">
        <v>60</v>
      </c>
      <c r="V948" s="5">
        <v>43</v>
      </c>
      <c r="W948" s="5">
        <v>70</v>
      </c>
      <c r="X948" s="5">
        <v>78</v>
      </c>
      <c r="Y948" s="5">
        <v>49.62</v>
      </c>
      <c r="Z948" s="5">
        <v>20</v>
      </c>
      <c r="AA948" s="5">
        <v>71.540000000000006</v>
      </c>
      <c r="AB948" s="5">
        <v>76.92</v>
      </c>
      <c r="AC948" s="6">
        <v>0.45</v>
      </c>
      <c r="AD948" s="6">
        <v>0.3</v>
      </c>
      <c r="AE948" s="6">
        <v>0.25</v>
      </c>
      <c r="AF948" s="4" t="s">
        <v>46</v>
      </c>
      <c r="AG948" s="4" t="s">
        <v>6296</v>
      </c>
      <c r="AH948" s="4" t="s">
        <v>6296</v>
      </c>
      <c r="AI948" s="4" t="s">
        <v>37</v>
      </c>
      <c r="AJ948" s="4" t="s">
        <v>6296</v>
      </c>
      <c r="AK948" s="4" t="s">
        <v>37</v>
      </c>
      <c r="AL948" s="4" t="s">
        <v>42</v>
      </c>
      <c r="AM948" s="4" t="s">
        <v>42</v>
      </c>
      <c r="AN948" s="4" t="s">
        <v>42</v>
      </c>
      <c r="AO948" s="4" t="s">
        <v>37</v>
      </c>
      <c r="AP948" s="4" t="s">
        <v>5529</v>
      </c>
      <c r="AQ948" s="4" t="s">
        <v>47</v>
      </c>
    </row>
    <row r="949" spans="1:43" ht="12.6" customHeight="1" x14ac:dyDescent="0.25">
      <c r="A949" s="8" t="s">
        <v>2499</v>
      </c>
      <c r="B949" s="9">
        <v>20151231</v>
      </c>
      <c r="C949" s="12">
        <f>_xll.FDS("SPX","FG_PRICE(12/30/2015)")</f>
        <v>2063.36</v>
      </c>
      <c r="D949" s="12">
        <f>_xll.FDS("SPX","FG_PRICE(12/30/2017)")</f>
        <v>2673.61</v>
      </c>
      <c r="E949" s="15">
        <f>D949/C949-1</f>
        <v>0.2957554668114144</v>
      </c>
      <c r="F949" s="8" t="s">
        <v>2500</v>
      </c>
      <c r="G949" s="8" t="s">
        <v>2501</v>
      </c>
      <c r="H949" s="13">
        <f>_xll.FDS(G949,"FG_PRICE(12/30/2015)")</f>
        <v>68.680000000000007</v>
      </c>
      <c r="I949" s="13">
        <f>_xll.FDS(G949,"FG_PRICE(12/31/2017)")</f>
        <v>81.06</v>
      </c>
      <c r="J949" s="13">
        <f>I949/H949-1</f>
        <v>0.18025626092020963</v>
      </c>
      <c r="K949" s="13">
        <f>J949-E949</f>
        <v>-0.11549920589120477</v>
      </c>
      <c r="L949" s="13">
        <f>_xll.FDS(G949,"FF_ROE(ANN_R,12/30/2015)")</f>
        <v>11.170802421761749</v>
      </c>
      <c r="M949" s="8" t="s">
        <v>2502</v>
      </c>
      <c r="N949" s="4" t="s">
        <v>2503</v>
      </c>
      <c r="O949" s="4" t="s">
        <v>2504</v>
      </c>
      <c r="P949" s="4" t="s">
        <v>96</v>
      </c>
      <c r="Q949" s="4" t="s">
        <v>78</v>
      </c>
      <c r="R949" s="4" t="s">
        <v>61</v>
      </c>
      <c r="S949" s="4" t="s">
        <v>62</v>
      </c>
      <c r="T949" s="6" t="e">
        <v>#N/A</v>
      </c>
      <c r="U949" s="5">
        <v>61</v>
      </c>
      <c r="V949" s="5">
        <v>47</v>
      </c>
      <c r="W949" s="5">
        <v>70</v>
      </c>
      <c r="X949" s="5">
        <v>75</v>
      </c>
      <c r="Y949" s="5">
        <v>54.23</v>
      </c>
      <c r="Z949" s="5">
        <v>29.23</v>
      </c>
      <c r="AA949" s="5">
        <v>71.540000000000006</v>
      </c>
      <c r="AB949" s="5">
        <v>64.23</v>
      </c>
      <c r="AC949" s="6">
        <v>0.45</v>
      </c>
      <c r="AD949" s="6">
        <v>0.3</v>
      </c>
      <c r="AE949" s="6">
        <v>0.25</v>
      </c>
      <c r="AF949" s="4" t="s">
        <v>37</v>
      </c>
      <c r="AG949" s="4" t="s">
        <v>6296</v>
      </c>
      <c r="AH949" s="4" t="s">
        <v>6296</v>
      </c>
      <c r="AI949" s="4" t="s">
        <v>6296</v>
      </c>
      <c r="AJ949" s="4" t="s">
        <v>6296</v>
      </c>
      <c r="AK949" s="4" t="s">
        <v>6296</v>
      </c>
      <c r="AL949" s="4" t="s">
        <v>37</v>
      </c>
      <c r="AM949" s="4" t="s">
        <v>6296</v>
      </c>
      <c r="AN949" s="4" t="s">
        <v>6296</v>
      </c>
      <c r="AO949" s="4" t="s">
        <v>6296</v>
      </c>
      <c r="AP949" s="4" t="s">
        <v>2505</v>
      </c>
      <c r="AQ949" s="4" t="s">
        <v>47</v>
      </c>
    </row>
    <row r="950" spans="1:43" ht="12.6" customHeight="1" x14ac:dyDescent="0.25">
      <c r="A950" s="8" t="s">
        <v>5402</v>
      </c>
      <c r="B950" s="9">
        <v>20151231</v>
      </c>
      <c r="C950" s="12">
        <f>_xll.FDS("SPX","FG_PRICE(12/30/2015)")</f>
        <v>2063.36</v>
      </c>
      <c r="D950" s="12">
        <f>_xll.FDS("SPX","FG_PRICE(12/30/2017)")</f>
        <v>2673.61</v>
      </c>
      <c r="E950" s="15">
        <f>D950/C950-1</f>
        <v>0.2957554668114144</v>
      </c>
      <c r="F950" s="8" t="s">
        <v>5403</v>
      </c>
      <c r="G950" s="8" t="s">
        <v>5404</v>
      </c>
      <c r="H950" s="13">
        <f>_xll.FDS(G950,"FG_PRICE(12/30/2015)")</f>
        <v>12.79</v>
      </c>
      <c r="I950" s="13">
        <f>_xll.FDS(G950,"FG_PRICE(12/31/2017)")</f>
        <v>11.85</v>
      </c>
      <c r="J950" s="13">
        <f>I950/H950-1</f>
        <v>-7.3494917904612933E-2</v>
      </c>
      <c r="K950" s="13">
        <f>J950-E950</f>
        <v>-0.36925038471602734</v>
      </c>
      <c r="L950" s="13">
        <f>_xll.FDS(G950,"FF_ROE(ANN_R,12/30/2015)")</f>
        <v>-10.433785591438941</v>
      </c>
      <c r="M950" s="8" t="s">
        <v>5405</v>
      </c>
      <c r="N950" s="4" t="s">
        <v>5405</v>
      </c>
      <c r="O950" s="4" t="s">
        <v>5406</v>
      </c>
      <c r="P950" s="4" t="s">
        <v>96</v>
      </c>
      <c r="Q950" s="4" t="s">
        <v>78</v>
      </c>
      <c r="R950" s="4" t="s">
        <v>61</v>
      </c>
      <c r="S950" s="4" t="s">
        <v>62</v>
      </c>
      <c r="T950" s="6" t="e">
        <v>#N/A</v>
      </c>
      <c r="U950" s="5">
        <v>50</v>
      </c>
      <c r="V950" s="5">
        <v>41</v>
      </c>
      <c r="W950" s="5">
        <v>54</v>
      </c>
      <c r="X950" s="5">
        <v>63</v>
      </c>
      <c r="Y950" s="5">
        <v>15.38</v>
      </c>
      <c r="Z950" s="5">
        <v>14.23</v>
      </c>
      <c r="AA950" s="5">
        <v>19.62</v>
      </c>
      <c r="AB950" s="5">
        <v>30.38</v>
      </c>
      <c r="AC950" s="6">
        <v>0.45</v>
      </c>
      <c r="AD950" s="6">
        <v>0.3</v>
      </c>
      <c r="AE950" s="6">
        <v>0.25</v>
      </c>
      <c r="AF950" s="4" t="s">
        <v>42</v>
      </c>
      <c r="AG950" s="4" t="s">
        <v>6296</v>
      </c>
      <c r="AH950" s="4" t="s">
        <v>6296</v>
      </c>
      <c r="AI950" s="4" t="s">
        <v>6296</v>
      </c>
      <c r="AJ950" s="4" t="s">
        <v>6296</v>
      </c>
      <c r="AK950" s="4" t="s">
        <v>42</v>
      </c>
      <c r="AL950" s="4" t="s">
        <v>6296</v>
      </c>
      <c r="AM950" s="4" t="s">
        <v>37</v>
      </c>
      <c r="AN950" s="4" t="s">
        <v>6296</v>
      </c>
      <c r="AO950" s="4" t="s">
        <v>6296</v>
      </c>
      <c r="AP950" s="4" t="s">
        <v>5407</v>
      </c>
      <c r="AQ950" s="4" t="s">
        <v>47</v>
      </c>
    </row>
    <row r="951" spans="1:43" ht="12.6" customHeight="1" x14ac:dyDescent="0.25">
      <c r="A951" s="8" t="s">
        <v>1147</v>
      </c>
      <c r="B951" s="9">
        <v>20151231</v>
      </c>
      <c r="C951" s="12">
        <f>_xll.FDS("SPX","FG_PRICE(12/30/2015)")</f>
        <v>2063.36</v>
      </c>
      <c r="D951" s="12">
        <f>_xll.FDS("SPX","FG_PRICE(12/30/2017)")</f>
        <v>2673.61</v>
      </c>
      <c r="E951" s="15">
        <f>D951/C951-1</f>
        <v>0.2957554668114144</v>
      </c>
      <c r="F951" s="8" t="s">
        <v>1148</v>
      </c>
      <c r="G951" s="8" t="s">
        <v>1149</v>
      </c>
      <c r="H951" s="13">
        <f>_xll.FDS(G951,"FG_PRICE(12/30/2015)")</f>
        <v>65.25</v>
      </c>
      <c r="I951" s="13">
        <f>_xll.FDS(G951,"FG_PRICE(12/31/2017)")</f>
        <v>84.95</v>
      </c>
      <c r="J951" s="13">
        <f>I951/H951-1</f>
        <v>0.3019157088122606</v>
      </c>
      <c r="K951" s="13">
        <f>J951-E951</f>
        <v>6.1602420008461944E-3</v>
      </c>
      <c r="L951" s="13">
        <f>_xll.FDS(G951,"FF_ROE(ANN_R,12/30/2015)")</f>
        <v>8.7990008460577744</v>
      </c>
      <c r="M951" s="8" t="s">
        <v>1150</v>
      </c>
      <c r="N951" s="4" t="s">
        <v>1151</v>
      </c>
      <c r="O951" s="4" t="s">
        <v>1152</v>
      </c>
      <c r="P951" s="4" t="s">
        <v>96</v>
      </c>
      <c r="Q951" s="4" t="s">
        <v>78</v>
      </c>
      <c r="R951" s="4" t="s">
        <v>61</v>
      </c>
      <c r="S951" s="4" t="s">
        <v>62</v>
      </c>
      <c r="T951" s="6" t="e">
        <v>#N/A</v>
      </c>
      <c r="U951" s="5">
        <v>68</v>
      </c>
      <c r="V951" s="5">
        <v>70</v>
      </c>
      <c r="W951" s="5">
        <v>62</v>
      </c>
      <c r="X951" s="5">
        <v>71</v>
      </c>
      <c r="Y951" s="5">
        <v>76.540000000000006</v>
      </c>
      <c r="Z951" s="5">
        <v>88.46</v>
      </c>
      <c r="AA951" s="5">
        <v>45.38</v>
      </c>
      <c r="AB951" s="5">
        <v>53.85</v>
      </c>
      <c r="AC951" s="6">
        <v>0.45</v>
      </c>
      <c r="AD951" s="6">
        <v>0.3</v>
      </c>
      <c r="AE951" s="6">
        <v>0.25</v>
      </c>
      <c r="AF951" s="4" t="s">
        <v>6296</v>
      </c>
      <c r="AG951" s="4" t="s">
        <v>6296</v>
      </c>
      <c r="AH951" s="4" t="s">
        <v>6296</v>
      </c>
      <c r="AI951" s="4" t="s">
        <v>37</v>
      </c>
      <c r="AJ951" s="4" t="s">
        <v>6296</v>
      </c>
      <c r="AK951" s="4" t="s">
        <v>46</v>
      </c>
      <c r="AL951" s="4" t="s">
        <v>37</v>
      </c>
      <c r="AM951" s="4" t="s">
        <v>37</v>
      </c>
      <c r="AN951" s="4" t="s">
        <v>37</v>
      </c>
      <c r="AO951" s="4" t="s">
        <v>6296</v>
      </c>
      <c r="AP951" s="4" t="s">
        <v>1153</v>
      </c>
      <c r="AQ951" s="4" t="s">
        <v>47</v>
      </c>
    </row>
    <row r="952" spans="1:43" ht="12.6" customHeight="1" x14ac:dyDescent="0.25">
      <c r="A952" s="8" t="s">
        <v>3820</v>
      </c>
      <c r="B952" s="9">
        <v>20151231</v>
      </c>
      <c r="C952" s="12">
        <f>_xll.FDS("SPX","FG_PRICE(12/30/2015)")</f>
        <v>2063.36</v>
      </c>
      <c r="D952" s="12">
        <f>_xll.FDS("SPX","FG_PRICE(12/30/2017)")</f>
        <v>2673.61</v>
      </c>
      <c r="E952" s="15">
        <f>D952/C952-1</f>
        <v>0.2957554668114144</v>
      </c>
      <c r="F952" s="8" t="s">
        <v>3821</v>
      </c>
      <c r="G952" s="8" t="s">
        <v>3822</v>
      </c>
      <c r="H952" s="13">
        <f>_xll.FDS(G952,"FG_PRICE(12/30/2015)")</f>
        <v>39.25</v>
      </c>
      <c r="I952" s="13">
        <f>_xll.FDS(G952,"FG_PRICE(12/31/2017)")</f>
        <v>55.35</v>
      </c>
      <c r="J952" s="13">
        <f>I952/H952-1</f>
        <v>0.4101910828025479</v>
      </c>
      <c r="K952" s="13">
        <f>J952-E952</f>
        <v>0.1144356159911335</v>
      </c>
      <c r="L952" s="13">
        <f>_xll.FDS(G952,"FF_ROE(ANN_R,12/30/2015)")</f>
        <v>9.4525817559062411</v>
      </c>
      <c r="M952" s="8" t="s">
        <v>3823</v>
      </c>
      <c r="N952" s="4" t="s">
        <v>3823</v>
      </c>
      <c r="O952" s="4" t="s">
        <v>3824</v>
      </c>
      <c r="P952" s="4" t="s">
        <v>96</v>
      </c>
      <c r="Q952" s="4" t="s">
        <v>78</v>
      </c>
      <c r="R952" s="4" t="s">
        <v>61</v>
      </c>
      <c r="S952" s="4" t="s">
        <v>62</v>
      </c>
      <c r="T952" s="6" t="e">
        <v>#N/A</v>
      </c>
      <c r="U952" s="5">
        <v>54</v>
      </c>
      <c r="V952" s="5">
        <v>40</v>
      </c>
      <c r="W952" s="5">
        <v>59</v>
      </c>
      <c r="X952" s="5">
        <v>75</v>
      </c>
      <c r="Y952" s="5">
        <v>27.31</v>
      </c>
      <c r="Z952" s="5">
        <v>10.77</v>
      </c>
      <c r="AA952" s="5">
        <v>33.85</v>
      </c>
      <c r="AB952" s="5">
        <v>64.23</v>
      </c>
      <c r="AC952" s="6">
        <v>0.45</v>
      </c>
      <c r="AD952" s="6">
        <v>0.3</v>
      </c>
      <c r="AE952" s="6">
        <v>0.25</v>
      </c>
      <c r="AF952" s="4" t="s">
        <v>42</v>
      </c>
      <c r="AG952" s="4" t="s">
        <v>6296</v>
      </c>
      <c r="AH952" s="4" t="s">
        <v>6296</v>
      </c>
      <c r="AI952" s="4" t="s">
        <v>6296</v>
      </c>
      <c r="AJ952" s="4" t="s">
        <v>6296</v>
      </c>
      <c r="AK952" s="4" t="s">
        <v>6296</v>
      </c>
      <c r="AL952" s="4" t="s">
        <v>6296</v>
      </c>
      <c r="AM952" s="4" t="s">
        <v>6296</v>
      </c>
      <c r="AN952" s="4" t="s">
        <v>6296</v>
      </c>
      <c r="AO952" s="4" t="s">
        <v>6296</v>
      </c>
      <c r="AP952" s="4" t="s">
        <v>3825</v>
      </c>
      <c r="AQ952" s="4" t="s">
        <v>47</v>
      </c>
    </row>
    <row r="953" spans="1:43" ht="12.6" customHeight="1" x14ac:dyDescent="0.25">
      <c r="A953" s="8" t="s">
        <v>3751</v>
      </c>
      <c r="B953" s="9">
        <v>20151231</v>
      </c>
      <c r="C953" s="12">
        <f>_xll.FDS("SPX","FG_PRICE(12/30/2015)")</f>
        <v>2063.36</v>
      </c>
      <c r="D953" s="12">
        <f>_xll.FDS("SPX","FG_PRICE(12/30/2017)")</f>
        <v>2673.61</v>
      </c>
      <c r="E953" s="15">
        <f>D953/C953-1</f>
        <v>0.2957554668114144</v>
      </c>
      <c r="F953" s="8" t="s">
        <v>3752</v>
      </c>
      <c r="G953" s="8" t="s">
        <v>3753</v>
      </c>
      <c r="H953" s="13">
        <f>_xll.FDS(G953,"FG_PRICE(12/30/2015)")</f>
        <v>60.3</v>
      </c>
      <c r="I953" s="13">
        <f>_xll.FDS(G953,"FG_PRICE(12/31/2017)")</f>
        <v>63.24</v>
      </c>
      <c r="J953" s="13">
        <f>I953/H953-1</f>
        <v>4.8756218905472659E-2</v>
      </c>
      <c r="K953" s="13">
        <f>J953-E953</f>
        <v>-0.24699924790594174</v>
      </c>
      <c r="L953" s="13">
        <f>_xll.FDS(G953,"FF_ROE(ANN_R,12/30/2015)")</f>
        <v>13.647238970236391</v>
      </c>
      <c r="M953" s="8" t="s">
        <v>3754</v>
      </c>
      <c r="N953" s="4" t="s">
        <v>3754</v>
      </c>
      <c r="O953" s="4" t="s">
        <v>3755</v>
      </c>
      <c r="P953" s="4" t="s">
        <v>96</v>
      </c>
      <c r="Q953" s="4" t="s">
        <v>78</v>
      </c>
      <c r="R953" s="4" t="s">
        <v>61</v>
      </c>
      <c r="S953" s="4" t="s">
        <v>62</v>
      </c>
      <c r="T953" s="6" t="e">
        <v>#N/A</v>
      </c>
      <c r="U953" s="5">
        <v>59</v>
      </c>
      <c r="V953" s="5">
        <v>49</v>
      </c>
      <c r="W953" s="5">
        <v>62</v>
      </c>
      <c r="X953" s="5">
        <v>72</v>
      </c>
      <c r="Y953" s="5">
        <v>44.23</v>
      </c>
      <c r="Z953" s="5">
        <v>35.380000000000003</v>
      </c>
      <c r="AA953" s="5">
        <v>45.38</v>
      </c>
      <c r="AB953" s="5">
        <v>56.15</v>
      </c>
      <c r="AC953" s="6">
        <v>0.45</v>
      </c>
      <c r="AD953" s="6">
        <v>0.3</v>
      </c>
      <c r="AE953" s="6">
        <v>0.25</v>
      </c>
      <c r="AF953" s="4" t="s">
        <v>42</v>
      </c>
      <c r="AG953" s="4" t="s">
        <v>6296</v>
      </c>
      <c r="AH953" s="4" t="s">
        <v>6296</v>
      </c>
      <c r="AI953" s="4" t="s">
        <v>42</v>
      </c>
      <c r="AJ953" s="4" t="s">
        <v>6296</v>
      </c>
      <c r="AK953" s="4" t="s">
        <v>42</v>
      </c>
      <c r="AL953" s="4" t="s">
        <v>37</v>
      </c>
      <c r="AM953" s="4" t="s">
        <v>6296</v>
      </c>
      <c r="AN953" s="4" t="s">
        <v>6296</v>
      </c>
      <c r="AO953" s="4" t="s">
        <v>6296</v>
      </c>
      <c r="AP953" s="4" t="s">
        <v>3756</v>
      </c>
      <c r="AQ953" s="4" t="s">
        <v>47</v>
      </c>
    </row>
    <row r="954" spans="1:43" ht="12.6" customHeight="1" x14ac:dyDescent="0.25">
      <c r="A954" s="8" t="s">
        <v>6080</v>
      </c>
      <c r="B954" s="9">
        <v>20151231</v>
      </c>
      <c r="C954" s="12">
        <f>_xll.FDS("SPX","FG_PRICE(12/30/2015)")</f>
        <v>2063.36</v>
      </c>
      <c r="D954" s="12">
        <f>_xll.FDS("SPX","FG_PRICE(12/30/2017)")</f>
        <v>2673.61</v>
      </c>
      <c r="E954" s="15">
        <f>D954/C954-1</f>
        <v>0.2957554668114144</v>
      </c>
      <c r="F954" s="8" t="s">
        <v>6081</v>
      </c>
      <c r="G954" s="8" t="s">
        <v>6082</v>
      </c>
      <c r="H954" s="13">
        <f>_xll.FDS(G954,"FG_PRICE(12/30/2015)")</f>
        <v>51.85</v>
      </c>
      <c r="I954" s="13">
        <f>_xll.FDS(G954,"FG_PRICE(12/31/2017)")</f>
        <v>63.18</v>
      </c>
      <c r="J954" s="13">
        <f>I954/H954-1</f>
        <v>0.21851494696239149</v>
      </c>
      <c r="K954" s="13">
        <f>J954-E954</f>
        <v>-7.7240519849022915E-2</v>
      </c>
      <c r="L954" s="13">
        <f>_xll.FDS(G954,"FF_ROE(ANN_R,12/30/2015)")</f>
        <v>8.3676909272009379</v>
      </c>
      <c r="M954" s="8" t="s">
        <v>6083</v>
      </c>
      <c r="N954" s="4" t="s">
        <v>6083</v>
      </c>
      <c r="O954" s="4" t="s">
        <v>6084</v>
      </c>
      <c r="P954" s="4" t="s">
        <v>96</v>
      </c>
      <c r="Q954" s="4" t="s">
        <v>78</v>
      </c>
      <c r="R954" s="4" t="s">
        <v>61</v>
      </c>
      <c r="S954" s="4" t="s">
        <v>62</v>
      </c>
      <c r="T954" s="6" t="e">
        <v>#N/A</v>
      </c>
      <c r="U954" s="5">
        <v>71</v>
      </c>
      <c r="V954" s="5">
        <v>67</v>
      </c>
      <c r="W954" s="5">
        <v>75</v>
      </c>
      <c r="X954" s="5">
        <v>73</v>
      </c>
      <c r="Y954" s="5">
        <v>81.150000000000006</v>
      </c>
      <c r="Z954" s="5">
        <v>82.69</v>
      </c>
      <c r="AA954" s="5">
        <v>81.150000000000006</v>
      </c>
      <c r="AB954" s="5">
        <v>59.62</v>
      </c>
      <c r="AC954" s="6">
        <v>0.45</v>
      </c>
      <c r="AD954" s="6">
        <v>0.3</v>
      </c>
      <c r="AE954" s="6">
        <v>0.25</v>
      </c>
      <c r="AF954" s="4" t="s">
        <v>42</v>
      </c>
      <c r="AG954" s="4" t="s">
        <v>6296</v>
      </c>
      <c r="AH954" s="4" t="s">
        <v>6296</v>
      </c>
      <c r="AI954" s="4" t="s">
        <v>42</v>
      </c>
      <c r="AJ954" s="4" t="s">
        <v>6296</v>
      </c>
      <c r="AK954" s="4" t="s">
        <v>42</v>
      </c>
      <c r="AL954" s="4" t="s">
        <v>42</v>
      </c>
      <c r="AM954" s="4" t="s">
        <v>42</v>
      </c>
      <c r="AN954" s="4" t="s">
        <v>6296</v>
      </c>
      <c r="AO954" s="4" t="s">
        <v>6296</v>
      </c>
      <c r="AP954" s="4" t="s">
        <v>6085</v>
      </c>
      <c r="AQ954" s="4" t="s">
        <v>47</v>
      </c>
    </row>
    <row r="955" spans="1:43" ht="12.6" customHeight="1" x14ac:dyDescent="0.25">
      <c r="A955" s="8" t="s">
        <v>1523</v>
      </c>
      <c r="B955" s="9">
        <v>20151231</v>
      </c>
      <c r="C955" s="12">
        <f>_xll.FDS("SPX","FG_PRICE(12/30/2015)")</f>
        <v>2063.36</v>
      </c>
      <c r="D955" s="12">
        <f>_xll.FDS("SPX","FG_PRICE(12/30/2017)")</f>
        <v>2673.61</v>
      </c>
      <c r="E955" s="15">
        <f>D955/C955-1</f>
        <v>0.2957554668114144</v>
      </c>
      <c r="F955" s="8" t="s">
        <v>1524</v>
      </c>
      <c r="G955" s="8" t="s">
        <v>1525</v>
      </c>
      <c r="H955" s="13">
        <f>_xll.FDS(G955,"FG_PRICE(12/30/2015)")</f>
        <v>69.25</v>
      </c>
      <c r="I955" s="13">
        <f>_xll.FDS(G955,"FG_PRICE(12/31/2017)")</f>
        <v>81.39</v>
      </c>
      <c r="J955" s="13">
        <f>I955/H955-1</f>
        <v>0.17530685920577627</v>
      </c>
      <c r="K955" s="13">
        <f>J955-E955</f>
        <v>-0.12044860760563814</v>
      </c>
      <c r="L955" s="13">
        <f>_xll.FDS(G955,"FF_ROE(ANN_R,12/30/2015)")</f>
        <v>9.5839048660780684</v>
      </c>
      <c r="M955" s="8" t="s">
        <v>1526</v>
      </c>
      <c r="N955" s="4" t="s">
        <v>1526</v>
      </c>
      <c r="O955" s="4" t="s">
        <v>1527</v>
      </c>
      <c r="P955" s="4" t="s">
        <v>96</v>
      </c>
      <c r="Q955" s="4" t="s">
        <v>78</v>
      </c>
      <c r="R955" s="4" t="s">
        <v>61</v>
      </c>
      <c r="S955" s="4" t="s">
        <v>62</v>
      </c>
      <c r="T955" s="6" t="e">
        <v>#N/A</v>
      </c>
      <c r="U955" s="5">
        <v>66</v>
      </c>
      <c r="V955" s="5">
        <v>56</v>
      </c>
      <c r="W955" s="5">
        <v>73</v>
      </c>
      <c r="X955" s="5">
        <v>77</v>
      </c>
      <c r="Y955" s="5">
        <v>71.150000000000006</v>
      </c>
      <c r="Z955" s="5">
        <v>62.69</v>
      </c>
      <c r="AA955" s="5">
        <v>76.150000000000006</v>
      </c>
      <c r="AB955" s="5">
        <v>75</v>
      </c>
      <c r="AC955" s="6">
        <v>0.45</v>
      </c>
      <c r="AD955" s="6">
        <v>0.3</v>
      </c>
      <c r="AE955" s="6">
        <v>0.25</v>
      </c>
      <c r="AF955" s="4" t="s">
        <v>42</v>
      </c>
      <c r="AG955" s="4" t="s">
        <v>6296</v>
      </c>
      <c r="AH955" s="4" t="s">
        <v>6296</v>
      </c>
      <c r="AI955" s="4" t="s">
        <v>37</v>
      </c>
      <c r="AJ955" s="4" t="s">
        <v>6296</v>
      </c>
      <c r="AK955" s="4" t="s">
        <v>42</v>
      </c>
      <c r="AL955" s="4" t="s">
        <v>37</v>
      </c>
      <c r="AM955" s="4" t="s">
        <v>42</v>
      </c>
      <c r="AN955" s="4" t="s">
        <v>42</v>
      </c>
      <c r="AO955" s="4" t="s">
        <v>6296</v>
      </c>
      <c r="AP955" s="4" t="s">
        <v>1528</v>
      </c>
      <c r="AQ955" s="4" t="s">
        <v>47</v>
      </c>
    </row>
    <row r="956" spans="1:43" ht="12.6" customHeight="1" x14ac:dyDescent="0.25">
      <c r="A956" s="8" t="s">
        <v>3049</v>
      </c>
      <c r="B956" s="9">
        <v>20151231</v>
      </c>
      <c r="C956" s="12">
        <f>_xll.FDS("SPX","FG_PRICE(12/30/2015)")</f>
        <v>2063.36</v>
      </c>
      <c r="D956" s="12">
        <f>_xll.FDS("SPX","FG_PRICE(12/30/2017)")</f>
        <v>2673.61</v>
      </c>
      <c r="E956" s="15">
        <f>D956/C956-1</f>
        <v>0.2957554668114144</v>
      </c>
      <c r="F956" s="8" t="s">
        <v>3050</v>
      </c>
      <c r="G956" s="8" t="s">
        <v>3051</v>
      </c>
      <c r="H956" s="13">
        <f>_xll.FDS(G956,"FG_PRICE(12/30/2015)")</f>
        <v>27.69</v>
      </c>
      <c r="I956" s="13">
        <f>_xll.FDS(G956,"FG_PRICE(12/31/2017)")</f>
        <v>39.409999999999997</v>
      </c>
      <c r="J956" s="13">
        <f>I956/H956-1</f>
        <v>0.42325749368002863</v>
      </c>
      <c r="K956" s="13">
        <f>J956-E956</f>
        <v>0.12750202686861423</v>
      </c>
      <c r="L956" s="13">
        <f>_xll.FDS(G956,"FF_ROE(ANN_R,12/30/2015)")</f>
        <v>7.1592412880458758</v>
      </c>
      <c r="M956" s="8" t="s">
        <v>3052</v>
      </c>
      <c r="N956" s="4" t="s">
        <v>3052</v>
      </c>
      <c r="O956" s="4" t="s">
        <v>3053</v>
      </c>
      <c r="P956" s="4" t="s">
        <v>96</v>
      </c>
      <c r="Q956" s="4" t="s">
        <v>78</v>
      </c>
      <c r="R956" s="4" t="s">
        <v>61</v>
      </c>
      <c r="S956" s="4" t="s">
        <v>62</v>
      </c>
      <c r="T956" s="6" t="e">
        <v>#N/A</v>
      </c>
      <c r="U956" s="5">
        <v>75</v>
      </c>
      <c r="V956" s="5">
        <v>74</v>
      </c>
      <c r="W956" s="5">
        <v>76</v>
      </c>
      <c r="X956" s="5">
        <v>75</v>
      </c>
      <c r="Y956" s="5">
        <v>89.23</v>
      </c>
      <c r="Z956" s="5">
        <v>92.31</v>
      </c>
      <c r="AA956" s="5">
        <v>83.46</v>
      </c>
      <c r="AB956" s="5">
        <v>64.23</v>
      </c>
      <c r="AC956" s="6">
        <v>0.45</v>
      </c>
      <c r="AD956" s="6">
        <v>0.3</v>
      </c>
      <c r="AE956" s="6">
        <v>0.25</v>
      </c>
      <c r="AF956" s="4" t="s">
        <v>42</v>
      </c>
      <c r="AG956" s="4" t="s">
        <v>6296</v>
      </c>
      <c r="AH956" s="4" t="s">
        <v>6296</v>
      </c>
      <c r="AI956" s="4" t="s">
        <v>42</v>
      </c>
      <c r="AJ956" s="4" t="s">
        <v>6296</v>
      </c>
      <c r="AK956" s="4" t="s">
        <v>37</v>
      </c>
      <c r="AL956" s="4" t="s">
        <v>42</v>
      </c>
      <c r="AM956" s="4" t="s">
        <v>6296</v>
      </c>
      <c r="AN956" s="4" t="s">
        <v>6296</v>
      </c>
      <c r="AO956" s="4" t="s">
        <v>6296</v>
      </c>
      <c r="AP956" s="4" t="s">
        <v>3054</v>
      </c>
      <c r="AQ956" s="4" t="s">
        <v>47</v>
      </c>
    </row>
    <row r="957" spans="1:43" ht="12.6" customHeight="1" x14ac:dyDescent="0.25">
      <c r="A957" s="8" t="s">
        <v>642</v>
      </c>
      <c r="B957" s="9">
        <v>20151231</v>
      </c>
      <c r="C957" s="12">
        <f>_xll.FDS("SPX","FG_PRICE(12/30/2015)")</f>
        <v>2063.36</v>
      </c>
      <c r="D957" s="12">
        <f>_xll.FDS("SPX","FG_PRICE(12/30/2017)")</f>
        <v>2673.61</v>
      </c>
      <c r="E957" s="15">
        <f>D957/C957-1</f>
        <v>0.2957554668114144</v>
      </c>
      <c r="F957" s="8" t="s">
        <v>643</v>
      </c>
      <c r="G957" s="8" t="s">
        <v>644</v>
      </c>
      <c r="H957" s="13">
        <f>_xll.FDS(G957,"FG_PRICE(12/30/2015)")</f>
        <v>32.29</v>
      </c>
      <c r="I957" s="13">
        <f>_xll.FDS(G957,"FG_PRICE(12/31/2017)")</f>
        <v>30.62</v>
      </c>
      <c r="J957" s="13">
        <f>I957/H957-1</f>
        <v>-5.1718798389594256E-2</v>
      </c>
      <c r="K957" s="13">
        <f>J957-E957</f>
        <v>-0.34747426520100866</v>
      </c>
      <c r="L957" s="13">
        <f>_xll.FDS(G957,"FF_ROE(ANN_R,12/30/2015)")</f>
        <v>1.6964001274291181</v>
      </c>
      <c r="M957" s="8" t="s">
        <v>645</v>
      </c>
      <c r="N957" s="4" t="s">
        <v>645</v>
      </c>
      <c r="O957" s="4" t="s">
        <v>646</v>
      </c>
      <c r="P957" s="4" t="s">
        <v>96</v>
      </c>
      <c r="Q957" s="4" t="s">
        <v>78</v>
      </c>
      <c r="R957" s="4" t="s">
        <v>61</v>
      </c>
      <c r="S957" s="4" t="s">
        <v>62</v>
      </c>
      <c r="T957" s="6" t="e">
        <v>#N/A</v>
      </c>
      <c r="U957" s="5">
        <v>53</v>
      </c>
      <c r="V957" s="5">
        <v>38</v>
      </c>
      <c r="W957" s="5">
        <v>59</v>
      </c>
      <c r="X957" s="5">
        <v>73</v>
      </c>
      <c r="Y957" s="5">
        <v>23.46</v>
      </c>
      <c r="Z957" s="6">
        <v>4.2300000000000004</v>
      </c>
      <c r="AA957" s="5">
        <v>33.85</v>
      </c>
      <c r="AB957" s="5">
        <v>59.62</v>
      </c>
      <c r="AC957" s="6">
        <v>0.45</v>
      </c>
      <c r="AD957" s="6">
        <v>0.3</v>
      </c>
      <c r="AE957" s="6">
        <v>0.25</v>
      </c>
      <c r="AF957" s="4" t="s">
        <v>37</v>
      </c>
      <c r="AG957" s="4" t="s">
        <v>6296</v>
      </c>
      <c r="AH957" s="4" t="s">
        <v>6296</v>
      </c>
      <c r="AI957" s="4" t="s">
        <v>37</v>
      </c>
      <c r="AJ957" s="4" t="s">
        <v>6296</v>
      </c>
      <c r="AK957" s="4" t="s">
        <v>46</v>
      </c>
      <c r="AL957" s="4" t="s">
        <v>37</v>
      </c>
      <c r="AM957" s="4" t="s">
        <v>6296</v>
      </c>
      <c r="AN957" s="4" t="s">
        <v>42</v>
      </c>
      <c r="AO957" s="4" t="s">
        <v>6296</v>
      </c>
      <c r="AP957" s="4" t="s">
        <v>647</v>
      </c>
      <c r="AQ957" s="4" t="s">
        <v>47</v>
      </c>
    </row>
    <row r="958" spans="1:43" ht="12.6" customHeight="1" x14ac:dyDescent="0.25">
      <c r="A958" s="8" t="s">
        <v>439</v>
      </c>
      <c r="B958" s="9">
        <v>20151231</v>
      </c>
      <c r="C958" s="12">
        <f>_xll.FDS("SPX","FG_PRICE(12/30/2015)")</f>
        <v>2063.36</v>
      </c>
      <c r="D958" s="12">
        <f>_xll.FDS("SPX","FG_PRICE(12/30/2017)")</f>
        <v>2673.61</v>
      </c>
      <c r="E958" s="15">
        <f>D958/C958-1</f>
        <v>0.2957554668114144</v>
      </c>
      <c r="F958" s="8" t="s">
        <v>440</v>
      </c>
      <c r="G958" s="8" t="s">
        <v>441</v>
      </c>
      <c r="H958" s="13">
        <f>_xll.FDS(G958,"FG_PRICE(12/30/2015)")</f>
        <v>63.82</v>
      </c>
      <c r="I958" s="13" t="e">
        <f>_xll.FDS(G958,"FG_PRICE(12/31/2017)")</f>
        <v>#N/A</v>
      </c>
      <c r="J958" s="13" t="e">
        <f>I958/H958-1</f>
        <v>#N/A</v>
      </c>
      <c r="K958" s="13" t="e">
        <f>J958-E958</f>
        <v>#N/A</v>
      </c>
      <c r="L958" s="13">
        <f>_xll.FDS(G958,"FF_ROE(ANN_R,12/30/2015)")</f>
        <v>15.28835690968444</v>
      </c>
      <c r="M958" s="8" t="s">
        <v>442</v>
      </c>
      <c r="N958" s="4" t="s">
        <v>443</v>
      </c>
      <c r="O958" s="4" t="s">
        <v>47</v>
      </c>
      <c r="P958" s="4" t="s">
        <v>96</v>
      </c>
      <c r="Q958" s="4" t="s">
        <v>78</v>
      </c>
      <c r="R958" s="4" t="s">
        <v>61</v>
      </c>
      <c r="S958" s="4" t="s">
        <v>62</v>
      </c>
      <c r="T958" s="6" t="e">
        <v>#N/A</v>
      </c>
      <c r="U958" s="5">
        <v>56</v>
      </c>
      <c r="V958" s="5">
        <v>45</v>
      </c>
      <c r="W958" s="5">
        <v>60</v>
      </c>
      <c r="X958" s="5">
        <v>70</v>
      </c>
      <c r="Y958" s="5">
        <v>34.229999999999997</v>
      </c>
      <c r="Z958" s="5">
        <v>25.38</v>
      </c>
      <c r="AA958" s="5">
        <v>35.380000000000003</v>
      </c>
      <c r="AB958" s="5">
        <v>50.38</v>
      </c>
      <c r="AC958" s="6">
        <v>0.45</v>
      </c>
      <c r="AD958" s="6">
        <v>0.3</v>
      </c>
      <c r="AE958" s="6">
        <v>0.25</v>
      </c>
      <c r="AF958" s="4" t="s">
        <v>6296</v>
      </c>
      <c r="AG958" s="4" t="s">
        <v>6296</v>
      </c>
      <c r="AH958" s="4" t="s">
        <v>6296</v>
      </c>
      <c r="AI958" s="4" t="s">
        <v>6296</v>
      </c>
      <c r="AJ958" s="4" t="s">
        <v>6296</v>
      </c>
      <c r="AK958" s="4" t="s">
        <v>6296</v>
      </c>
      <c r="AL958" s="4" t="s">
        <v>42</v>
      </c>
      <c r="AM958" s="4" t="s">
        <v>6296</v>
      </c>
      <c r="AN958" s="4" t="s">
        <v>6296</v>
      </c>
      <c r="AO958" s="4" t="s">
        <v>6296</v>
      </c>
      <c r="AP958" s="4" t="s">
        <v>444</v>
      </c>
      <c r="AQ958" s="4" t="s">
        <v>47</v>
      </c>
    </row>
    <row r="959" spans="1:43" ht="12.6" customHeight="1" x14ac:dyDescent="0.25">
      <c r="A959" s="8" t="s">
        <v>2251</v>
      </c>
      <c r="B959" s="9">
        <v>20151231</v>
      </c>
      <c r="C959" s="12">
        <f>_xll.FDS("SPX","FG_PRICE(12/30/2015)")</f>
        <v>2063.36</v>
      </c>
      <c r="D959" s="12">
        <f>_xll.FDS("SPX","FG_PRICE(12/30/2017)")</f>
        <v>2673.61</v>
      </c>
      <c r="E959" s="15">
        <f>D959/C959-1</f>
        <v>0.2957554668114144</v>
      </c>
      <c r="F959" s="8" t="s">
        <v>2252</v>
      </c>
      <c r="G959" s="8" t="s">
        <v>2253</v>
      </c>
      <c r="H959" s="13">
        <f>_xll.FDS(G959,"FG_PRICE(12/30/2015)")</f>
        <v>27.78</v>
      </c>
      <c r="I959" s="13">
        <f>_xll.FDS(G959,"FG_PRICE(12/31/2017)")</f>
        <v>32.24</v>
      </c>
      <c r="J959" s="13">
        <f>I959/H959-1</f>
        <v>0.16054715622750182</v>
      </c>
      <c r="K959" s="13">
        <f>J959-E959</f>
        <v>-0.13520831058391258</v>
      </c>
      <c r="L959" s="13">
        <f>_xll.FDS(G959,"FF_ROE(ANN_R,12/30/2015)")</f>
        <v>6.8025495552286914</v>
      </c>
      <c r="M959" s="8" t="s">
        <v>2254</v>
      </c>
      <c r="N959" s="4" t="s">
        <v>2254</v>
      </c>
      <c r="O959" s="4" t="s">
        <v>2255</v>
      </c>
      <c r="P959" s="4" t="s">
        <v>96</v>
      </c>
      <c r="Q959" s="4" t="s">
        <v>78</v>
      </c>
      <c r="R959" s="4" t="s">
        <v>61</v>
      </c>
      <c r="S959" s="4" t="s">
        <v>62</v>
      </c>
      <c r="T959" s="6" t="e">
        <v>#N/A</v>
      </c>
      <c r="U959" s="5">
        <v>53</v>
      </c>
      <c r="V959" s="5">
        <v>40</v>
      </c>
      <c r="W959" s="5">
        <v>63</v>
      </c>
      <c r="X959" s="5">
        <v>66</v>
      </c>
      <c r="Y959" s="5">
        <v>23.46</v>
      </c>
      <c r="Z959" s="5">
        <v>10.77</v>
      </c>
      <c r="AA959" s="5">
        <v>50.38</v>
      </c>
      <c r="AB959" s="5">
        <v>39.229999999999997</v>
      </c>
      <c r="AC959" s="6">
        <v>0.45</v>
      </c>
      <c r="AD959" s="6">
        <v>0.3</v>
      </c>
      <c r="AE959" s="6">
        <v>0.25</v>
      </c>
      <c r="AF959" s="4" t="s">
        <v>6296</v>
      </c>
      <c r="AG959" s="4" t="s">
        <v>6296</v>
      </c>
      <c r="AH959" s="4" t="s">
        <v>6296</v>
      </c>
      <c r="AI959" s="4" t="s">
        <v>42</v>
      </c>
      <c r="AJ959" s="4" t="s">
        <v>6296</v>
      </c>
      <c r="AK959" s="4" t="s">
        <v>6296</v>
      </c>
      <c r="AL959" s="4" t="s">
        <v>6296</v>
      </c>
      <c r="AM959" s="4" t="s">
        <v>6296</v>
      </c>
      <c r="AN959" s="4" t="s">
        <v>6296</v>
      </c>
      <c r="AO959" s="4" t="s">
        <v>6296</v>
      </c>
      <c r="AP959" s="4" t="s">
        <v>2256</v>
      </c>
      <c r="AQ959" s="4" t="s">
        <v>47</v>
      </c>
    </row>
    <row r="960" spans="1:43" ht="12.6" customHeight="1" x14ac:dyDescent="0.25">
      <c r="A960" s="8" t="s">
        <v>1894</v>
      </c>
      <c r="B960" s="9">
        <v>20151231</v>
      </c>
      <c r="C960" s="12">
        <f>_xll.FDS("SPX","FG_PRICE(12/30/2015)")</f>
        <v>2063.36</v>
      </c>
      <c r="D960" s="12">
        <f>_xll.FDS("SPX","FG_PRICE(12/30/2017)")</f>
        <v>2673.61</v>
      </c>
      <c r="E960" s="15">
        <f>D960/C960-1</f>
        <v>0.2957554668114144</v>
      </c>
      <c r="F960" s="8" t="s">
        <v>1895</v>
      </c>
      <c r="G960" s="8" t="s">
        <v>1896</v>
      </c>
      <c r="H960" s="13">
        <f>_xll.FDS(G960,"FG_PRICE(12/30/2015)")</f>
        <v>29.16</v>
      </c>
      <c r="I960" s="13">
        <f>_xll.FDS(G960,"FG_PRICE(12/31/2017)")</f>
        <v>36.15</v>
      </c>
      <c r="J960" s="13">
        <f>I960/H960-1</f>
        <v>0.23971193415637848</v>
      </c>
      <c r="K960" s="13">
        <f>J960-E960</f>
        <v>-5.6043532655035921E-2</v>
      </c>
      <c r="L960" s="13">
        <f>_xll.FDS(G960,"FF_ROE(ANN_R,12/30/2015)")</f>
        <v>9.4901596951730163</v>
      </c>
      <c r="M960" s="8" t="s">
        <v>1897</v>
      </c>
      <c r="N960" s="4" t="s">
        <v>1898</v>
      </c>
      <c r="O960" s="4" t="s">
        <v>1899</v>
      </c>
      <c r="P960" s="4" t="s">
        <v>96</v>
      </c>
      <c r="Q960" s="4" t="s">
        <v>78</v>
      </c>
      <c r="R960" s="4" t="s">
        <v>61</v>
      </c>
      <c r="S960" s="4" t="s">
        <v>62</v>
      </c>
      <c r="T960" s="6" t="e">
        <v>#N/A</v>
      </c>
      <c r="U960" s="5">
        <v>54</v>
      </c>
      <c r="V960" s="5">
        <v>38</v>
      </c>
      <c r="W960" s="5">
        <v>58</v>
      </c>
      <c r="X960" s="5">
        <v>80</v>
      </c>
      <c r="Y960" s="5">
        <v>27.31</v>
      </c>
      <c r="Z960" s="6">
        <v>4.2300000000000004</v>
      </c>
      <c r="AA960" s="5">
        <v>31.54</v>
      </c>
      <c r="AB960" s="5">
        <v>83.08</v>
      </c>
      <c r="AC960" s="6">
        <v>0.45</v>
      </c>
      <c r="AD960" s="6">
        <v>0.3</v>
      </c>
      <c r="AE960" s="6">
        <v>0.25</v>
      </c>
      <c r="AF960" s="4" t="s">
        <v>42</v>
      </c>
      <c r="AG960" s="4" t="s">
        <v>6296</v>
      </c>
      <c r="AH960" s="4" t="s">
        <v>6296</v>
      </c>
      <c r="AI960" s="4" t="s">
        <v>42</v>
      </c>
      <c r="AJ960" s="4" t="s">
        <v>6296</v>
      </c>
      <c r="AK960" s="4" t="s">
        <v>6296</v>
      </c>
      <c r="AL960" s="4" t="s">
        <v>6296</v>
      </c>
      <c r="AM960" s="4" t="s">
        <v>6296</v>
      </c>
      <c r="AN960" s="4" t="s">
        <v>6296</v>
      </c>
      <c r="AO960" s="4" t="s">
        <v>6296</v>
      </c>
      <c r="AP960" s="4" t="s">
        <v>1900</v>
      </c>
      <c r="AQ960" s="4" t="s">
        <v>47</v>
      </c>
    </row>
    <row r="961" spans="1:43" ht="12.6" customHeight="1" x14ac:dyDescent="0.25">
      <c r="A961" s="8" t="s">
        <v>6442</v>
      </c>
      <c r="B961" s="9">
        <v>20151231</v>
      </c>
      <c r="C961" s="12">
        <f>_xll.FDS("SPX","FG_PRICE(12/30/2015)")</f>
        <v>2063.36</v>
      </c>
      <c r="D961" s="12">
        <f>_xll.FDS("SPX","FG_PRICE(12/30/2017)")</f>
        <v>2673.61</v>
      </c>
      <c r="E961" s="15">
        <f>D961/C961-1</f>
        <v>0.2957554668114144</v>
      </c>
      <c r="F961" s="8" t="s">
        <v>6443</v>
      </c>
      <c r="G961" s="8" t="s">
        <v>6444</v>
      </c>
      <c r="H961" s="13">
        <f>_xll.FDS(G961,"FG_PRICE(12/30/2015)")</f>
        <v>38.86</v>
      </c>
      <c r="I961" s="13" t="e">
        <f>_xll.FDS(G961,"FG_PRICE(12/31/2017)")</f>
        <v>#N/A</v>
      </c>
      <c r="J961" s="13" t="e">
        <f>I961/H961-1</f>
        <v>#N/A</v>
      </c>
      <c r="K961" s="13" t="e">
        <f>J961-E961</f>
        <v>#N/A</v>
      </c>
      <c r="L961" s="13">
        <f>_xll.FDS(G961,"FF_ROE(ANN_R,12/30/2015)")</f>
        <v>14.754412419984959</v>
      </c>
      <c r="M961" s="8" t="s">
        <v>6445</v>
      </c>
      <c r="N961" s="4" t="s">
        <v>6445</v>
      </c>
      <c r="O961" s="4" t="s">
        <v>47</v>
      </c>
      <c r="P961" s="4" t="s">
        <v>96</v>
      </c>
      <c r="Q961" s="4" t="s">
        <v>78</v>
      </c>
      <c r="R961" s="4" t="s">
        <v>61</v>
      </c>
      <c r="S961" s="4" t="s">
        <v>62</v>
      </c>
      <c r="T961" s="6" t="e">
        <v>#N/A</v>
      </c>
      <c r="U961" s="5">
        <v>54</v>
      </c>
      <c r="V961" s="5">
        <v>47</v>
      </c>
      <c r="W961" s="5">
        <v>53</v>
      </c>
      <c r="X961" s="5">
        <v>69</v>
      </c>
      <c r="Y961" s="5">
        <v>27.31</v>
      </c>
      <c r="Z961" s="5">
        <v>29.23</v>
      </c>
      <c r="AA961" s="5">
        <v>16.54</v>
      </c>
      <c r="AB961" s="5">
        <v>47.31</v>
      </c>
      <c r="AC961" s="6">
        <v>0.45</v>
      </c>
      <c r="AD961" s="6">
        <v>0.3</v>
      </c>
      <c r="AE961" s="6">
        <v>0.25</v>
      </c>
      <c r="AF961" s="4" t="s">
        <v>6296</v>
      </c>
      <c r="AG961" s="4" t="s">
        <v>6296</v>
      </c>
      <c r="AH961" s="4" t="s">
        <v>6296</v>
      </c>
      <c r="AI961" s="4" t="s">
        <v>6296</v>
      </c>
      <c r="AJ961" s="4" t="s">
        <v>6296</v>
      </c>
      <c r="AK961" s="4" t="s">
        <v>6296</v>
      </c>
      <c r="AL961" s="4" t="s">
        <v>42</v>
      </c>
      <c r="AM961" s="4" t="s">
        <v>42</v>
      </c>
      <c r="AN961" s="4" t="s">
        <v>6296</v>
      </c>
      <c r="AO961" s="4" t="s">
        <v>6296</v>
      </c>
      <c r="AP961" s="4" t="s">
        <v>6446</v>
      </c>
      <c r="AQ961" s="4" t="s">
        <v>47</v>
      </c>
    </row>
    <row r="962" spans="1:43" ht="12.6" customHeight="1" x14ac:dyDescent="0.25">
      <c r="A962" s="8" t="s">
        <v>4415</v>
      </c>
      <c r="B962" s="9">
        <v>20151231</v>
      </c>
      <c r="C962" s="12">
        <f>_xll.FDS("SPX","FG_PRICE(12/30/2015)")</f>
        <v>2063.36</v>
      </c>
      <c r="D962" s="12">
        <f>_xll.FDS("SPX","FG_PRICE(12/30/2017)")</f>
        <v>2673.61</v>
      </c>
      <c r="E962" s="15">
        <f>D962/C962-1</f>
        <v>0.2957554668114144</v>
      </c>
      <c r="F962" s="8" t="s">
        <v>4416</v>
      </c>
      <c r="G962" s="8" t="s">
        <v>4417</v>
      </c>
      <c r="H962" s="13">
        <f>_xll.FDS(G962,"FG_PRICE(12/30/2015)")</f>
        <v>31.725000000000001</v>
      </c>
      <c r="I962" s="13">
        <f>_xll.FDS(G962,"FG_PRICE(12/31/2017)")</f>
        <v>42.61</v>
      </c>
      <c r="J962" s="13">
        <f>I962/H962-1</f>
        <v>0.34310480693459411</v>
      </c>
      <c r="K962" s="13">
        <f>J962-E962</f>
        <v>4.7349340123179706E-2</v>
      </c>
      <c r="L962" s="13">
        <f>_xll.FDS(G962,"FF_ROE(ANN_R,12/30/2015)")</f>
        <v>11.115012429600711</v>
      </c>
      <c r="M962" s="8" t="s">
        <v>4418</v>
      </c>
      <c r="N962" s="4" t="s">
        <v>4419</v>
      </c>
      <c r="O962" s="4" t="s">
        <v>4420</v>
      </c>
      <c r="P962" s="4" t="s">
        <v>96</v>
      </c>
      <c r="Q962" s="4" t="s">
        <v>78</v>
      </c>
      <c r="R962" s="4" t="s">
        <v>61</v>
      </c>
      <c r="S962" s="4" t="s">
        <v>62</v>
      </c>
      <c r="T962" s="6" t="e">
        <v>#N/A</v>
      </c>
      <c r="U962" s="5">
        <v>61</v>
      </c>
      <c r="V962" s="5">
        <v>49</v>
      </c>
      <c r="W962" s="5">
        <v>68</v>
      </c>
      <c r="X962" s="5">
        <v>76</v>
      </c>
      <c r="Y962" s="5">
        <v>54.23</v>
      </c>
      <c r="Z962" s="5">
        <v>35.380000000000003</v>
      </c>
      <c r="AA962" s="5">
        <v>65.77</v>
      </c>
      <c r="AB962" s="5">
        <v>71.540000000000006</v>
      </c>
      <c r="AC962" s="6">
        <v>0.45</v>
      </c>
      <c r="AD962" s="6">
        <v>0.3</v>
      </c>
      <c r="AE962" s="6">
        <v>0.25</v>
      </c>
      <c r="AF962" s="4" t="s">
        <v>37</v>
      </c>
      <c r="AG962" s="4" t="s">
        <v>6296</v>
      </c>
      <c r="AH962" s="4" t="s">
        <v>6296</v>
      </c>
      <c r="AI962" s="4" t="s">
        <v>42</v>
      </c>
      <c r="AJ962" s="4" t="s">
        <v>6296</v>
      </c>
      <c r="AK962" s="4" t="s">
        <v>6296</v>
      </c>
      <c r="AL962" s="4" t="s">
        <v>6296</v>
      </c>
      <c r="AM962" s="4" t="s">
        <v>6296</v>
      </c>
      <c r="AN962" s="4" t="s">
        <v>6296</v>
      </c>
      <c r="AO962" s="4" t="s">
        <v>6296</v>
      </c>
      <c r="AP962" s="4" t="s">
        <v>4421</v>
      </c>
      <c r="AQ962" s="4" t="s">
        <v>47</v>
      </c>
    </row>
    <row r="963" spans="1:43" ht="12.6" customHeight="1" x14ac:dyDescent="0.25">
      <c r="A963" s="8" t="s">
        <v>2524</v>
      </c>
      <c r="B963" s="9">
        <v>20151231</v>
      </c>
      <c r="C963" s="12">
        <f>_xll.FDS("SPX","FG_PRICE(12/30/2015)")</f>
        <v>2063.36</v>
      </c>
      <c r="D963" s="12">
        <f>_xll.FDS("SPX","FG_PRICE(12/30/2017)")</f>
        <v>2673.61</v>
      </c>
      <c r="E963" s="15">
        <f>D963/C963-1</f>
        <v>0.2957554668114144</v>
      </c>
      <c r="F963" s="8" t="s">
        <v>2525</v>
      </c>
      <c r="G963" s="8" t="s">
        <v>2526</v>
      </c>
      <c r="H963" s="13">
        <f>_xll.FDS(G963,"FG_PRICE(12/30/2015)")</f>
        <v>18.54</v>
      </c>
      <c r="I963" s="13">
        <f>_xll.FDS(G963,"FG_PRICE(12/31/2017)")</f>
        <v>26.88</v>
      </c>
      <c r="J963" s="13">
        <f>I963/H963-1</f>
        <v>0.44983818770226547</v>
      </c>
      <c r="K963" s="13">
        <f>J963-E963</f>
        <v>0.15408272089085107</v>
      </c>
      <c r="L963" s="13">
        <f>_xll.FDS(G963,"FF_ROE(ANN_R,12/30/2015)")</f>
        <v>9.9058535000893873</v>
      </c>
      <c r="M963" s="8" t="s">
        <v>2527</v>
      </c>
      <c r="N963" s="4" t="s">
        <v>2528</v>
      </c>
      <c r="O963" s="4" t="s">
        <v>2529</v>
      </c>
      <c r="P963" s="4" t="s">
        <v>96</v>
      </c>
      <c r="Q963" s="4" t="s">
        <v>78</v>
      </c>
      <c r="R963" s="4" t="s">
        <v>61</v>
      </c>
      <c r="S963" s="4" t="s">
        <v>62</v>
      </c>
      <c r="T963" s="6" t="e">
        <v>#N/A</v>
      </c>
      <c r="U963" s="5">
        <v>60</v>
      </c>
      <c r="V963" s="5">
        <v>49</v>
      </c>
      <c r="W963" s="5">
        <v>64</v>
      </c>
      <c r="X963" s="5">
        <v>75</v>
      </c>
      <c r="Y963" s="5">
        <v>49.62</v>
      </c>
      <c r="Z963" s="5">
        <v>35.380000000000003</v>
      </c>
      <c r="AA963" s="5">
        <v>51.92</v>
      </c>
      <c r="AB963" s="5">
        <v>64.23</v>
      </c>
      <c r="AC963" s="6">
        <v>0.45</v>
      </c>
      <c r="AD963" s="6">
        <v>0.3</v>
      </c>
      <c r="AE963" s="6">
        <v>0.25</v>
      </c>
      <c r="AF963" s="4" t="s">
        <v>6296</v>
      </c>
      <c r="AG963" s="4" t="s">
        <v>6296</v>
      </c>
      <c r="AH963" s="4" t="s">
        <v>6296</v>
      </c>
      <c r="AI963" s="4" t="s">
        <v>6296</v>
      </c>
      <c r="AJ963" s="4" t="s">
        <v>6296</v>
      </c>
      <c r="AK963" s="4" t="s">
        <v>6296</v>
      </c>
      <c r="AL963" s="4" t="s">
        <v>42</v>
      </c>
      <c r="AM963" s="4" t="s">
        <v>6296</v>
      </c>
      <c r="AN963" s="4" t="s">
        <v>6296</v>
      </c>
      <c r="AO963" s="4" t="s">
        <v>6296</v>
      </c>
      <c r="AP963" s="4" t="s">
        <v>2530</v>
      </c>
      <c r="AQ963" s="4" t="s">
        <v>47</v>
      </c>
    </row>
    <row r="964" spans="1:43" ht="12.6" customHeight="1" x14ac:dyDescent="0.25">
      <c r="A964" s="8" t="s">
        <v>1580</v>
      </c>
      <c r="B964" s="9">
        <v>20151231</v>
      </c>
      <c r="C964" s="12">
        <f>_xll.FDS("SPX","FG_PRICE(12/30/2015)")</f>
        <v>2063.36</v>
      </c>
      <c r="D964" s="12">
        <f>_xll.FDS("SPX","FG_PRICE(12/30/2017)")</f>
        <v>2673.61</v>
      </c>
      <c r="E964" s="15">
        <f>D964/C964-1</f>
        <v>0.2957554668114144</v>
      </c>
      <c r="F964" s="8" t="s">
        <v>1581</v>
      </c>
      <c r="G964" s="8" t="s">
        <v>1582</v>
      </c>
      <c r="H964" s="13">
        <f>_xll.FDS(G964,"FG_PRICE(12/30/2015)")</f>
        <v>104.91</v>
      </c>
      <c r="I964" s="13">
        <f>_xll.FDS(G964,"FG_PRICE(12/31/2017)")</f>
        <v>156.19</v>
      </c>
      <c r="J964" s="13">
        <f>I964/H964-1</f>
        <v>0.48879992374416159</v>
      </c>
      <c r="K964" s="13">
        <f>J964-E964</f>
        <v>0.19304445693274719</v>
      </c>
      <c r="L964" s="13">
        <f>_xll.FDS(G964,"FF_ROE(ANN_R,12/30/2015)")</f>
        <v>12.98872378543577</v>
      </c>
      <c r="M964" s="8" t="s">
        <v>1583</v>
      </c>
      <c r="N964" s="4" t="s">
        <v>1584</v>
      </c>
      <c r="O964" s="4" t="s">
        <v>1585</v>
      </c>
      <c r="P964" s="4" t="s">
        <v>96</v>
      </c>
      <c r="Q964" s="4" t="s">
        <v>78</v>
      </c>
      <c r="R964" s="4" t="s">
        <v>61</v>
      </c>
      <c r="S964" s="4" t="s">
        <v>62</v>
      </c>
      <c r="T964" s="6" t="e">
        <v>#N/A</v>
      </c>
      <c r="U964" s="5">
        <v>62</v>
      </c>
      <c r="V964" s="5">
        <v>49</v>
      </c>
      <c r="W964" s="5">
        <v>75</v>
      </c>
      <c r="X964" s="5">
        <v>69</v>
      </c>
      <c r="Y964" s="5">
        <v>58.46</v>
      </c>
      <c r="Z964" s="5">
        <v>35.380000000000003</v>
      </c>
      <c r="AA964" s="5">
        <v>81.150000000000006</v>
      </c>
      <c r="AB964" s="5">
        <v>47.31</v>
      </c>
      <c r="AC964" s="6">
        <v>0.45</v>
      </c>
      <c r="AD964" s="6">
        <v>0.3</v>
      </c>
      <c r="AE964" s="6">
        <v>0.25</v>
      </c>
      <c r="AF964" s="4" t="s">
        <v>42</v>
      </c>
      <c r="AG964" s="4" t="s">
        <v>6296</v>
      </c>
      <c r="AH964" s="4" t="s">
        <v>6296</v>
      </c>
      <c r="AI964" s="4" t="s">
        <v>42</v>
      </c>
      <c r="AJ964" s="4" t="s">
        <v>6296</v>
      </c>
      <c r="AK964" s="4" t="s">
        <v>6296</v>
      </c>
      <c r="AL964" s="4" t="s">
        <v>42</v>
      </c>
      <c r="AM964" s="4" t="s">
        <v>42</v>
      </c>
      <c r="AN964" s="4" t="s">
        <v>6296</v>
      </c>
      <c r="AO964" s="4" t="s">
        <v>37</v>
      </c>
      <c r="AP964" s="4" t="s">
        <v>1586</v>
      </c>
      <c r="AQ964" s="4" t="s">
        <v>47</v>
      </c>
    </row>
    <row r="965" spans="1:43" ht="12.6" customHeight="1" x14ac:dyDescent="0.25">
      <c r="A965" s="8" t="s">
        <v>2825</v>
      </c>
      <c r="B965" s="9">
        <v>20151231</v>
      </c>
      <c r="C965" s="12">
        <f>_xll.FDS("SPX","FG_PRICE(12/30/2015)")</f>
        <v>2063.36</v>
      </c>
      <c r="D965" s="12">
        <f>_xll.FDS("SPX","FG_PRICE(12/30/2017)")</f>
        <v>2673.61</v>
      </c>
      <c r="E965" s="15">
        <f>D965/C965-1</f>
        <v>0.2957554668114144</v>
      </c>
      <c r="F965" s="8" t="s">
        <v>2826</v>
      </c>
      <c r="G965" s="8" t="s">
        <v>2827</v>
      </c>
      <c r="H965" s="13">
        <f>_xll.FDS(G965,"FG_PRICE(12/30/2015)")</f>
        <v>42.26</v>
      </c>
      <c r="I965" s="13">
        <f>_xll.FDS(G965,"FG_PRICE(12/31/2017)")</f>
        <v>54.91</v>
      </c>
      <c r="J965" s="13">
        <f>I965/H965-1</f>
        <v>0.29933743492664466</v>
      </c>
      <c r="K965" s="13">
        <f>J965-E965</f>
        <v>3.5819681152302607E-3</v>
      </c>
      <c r="L965" s="13">
        <f>_xll.FDS(G965,"FF_ROE(ANN_R,12/30/2015)")</f>
        <v>-17.106243447262401</v>
      </c>
      <c r="M965" s="8" t="s">
        <v>2828</v>
      </c>
      <c r="N965" s="4" t="s">
        <v>2828</v>
      </c>
      <c r="O965" s="4" t="s">
        <v>2829</v>
      </c>
      <c r="P965" s="4" t="s">
        <v>96</v>
      </c>
      <c r="Q965" s="4" t="s">
        <v>78</v>
      </c>
      <c r="R965" s="4" t="s">
        <v>61</v>
      </c>
      <c r="S965" s="4" t="s">
        <v>62</v>
      </c>
      <c r="T965" s="6" t="e">
        <v>#N/A</v>
      </c>
      <c r="U965" s="5">
        <v>51</v>
      </c>
      <c r="V965" s="5">
        <v>41</v>
      </c>
      <c r="W965" s="5">
        <v>57</v>
      </c>
      <c r="X965" s="5">
        <v>64</v>
      </c>
      <c r="Y965" s="5">
        <v>18.46</v>
      </c>
      <c r="Z965" s="5">
        <v>14.23</v>
      </c>
      <c r="AA965" s="5">
        <v>27.31</v>
      </c>
      <c r="AB965" s="5">
        <v>31.54</v>
      </c>
      <c r="AC965" s="6">
        <v>0.45</v>
      </c>
      <c r="AD965" s="6">
        <v>0.3</v>
      </c>
      <c r="AE965" s="6">
        <v>0.25</v>
      </c>
      <c r="AF965" s="4" t="s">
        <v>42</v>
      </c>
      <c r="AG965" s="4" t="s">
        <v>6296</v>
      </c>
      <c r="AH965" s="4" t="s">
        <v>6296</v>
      </c>
      <c r="AI965" s="4" t="s">
        <v>6296</v>
      </c>
      <c r="AJ965" s="4" t="s">
        <v>6296</v>
      </c>
      <c r="AK965" s="4" t="s">
        <v>6296</v>
      </c>
      <c r="AL965" s="4" t="s">
        <v>6296</v>
      </c>
      <c r="AM965" s="4" t="s">
        <v>6296</v>
      </c>
      <c r="AN965" s="4" t="s">
        <v>6296</v>
      </c>
      <c r="AO965" s="4" t="s">
        <v>6296</v>
      </c>
      <c r="AP965" s="4" t="s">
        <v>2830</v>
      </c>
      <c r="AQ965" s="4" t="s">
        <v>47</v>
      </c>
    </row>
    <row r="966" spans="1:43" ht="12.6" customHeight="1" x14ac:dyDescent="0.25">
      <c r="A966" s="8" t="s">
        <v>2932</v>
      </c>
      <c r="B966" s="9">
        <v>20151231</v>
      </c>
      <c r="C966" s="12">
        <f>_xll.FDS("SPX","FG_PRICE(12/30/2015)")</f>
        <v>2063.36</v>
      </c>
      <c r="D966" s="12">
        <f>_xll.FDS("SPX","FG_PRICE(12/30/2017)")</f>
        <v>2673.61</v>
      </c>
      <c r="E966" s="15">
        <f>D966/C966-1</f>
        <v>0.2957554668114144</v>
      </c>
      <c r="F966" s="8" t="s">
        <v>2933</v>
      </c>
      <c r="G966" s="8" t="s">
        <v>2934</v>
      </c>
      <c r="H966" s="13">
        <f>_xll.FDS(G966,"FG_PRICE(12/30/2015)")</f>
        <v>19.82</v>
      </c>
      <c r="I966" s="13">
        <f>_xll.FDS(G966,"FG_PRICE(12/31/2017)")</f>
        <v>25.67</v>
      </c>
      <c r="J966" s="13">
        <f>I966/H966-1</f>
        <v>0.29515640766902118</v>
      </c>
      <c r="K966" s="13">
        <f>J966-E966</f>
        <v>-5.9905914239322122E-4</v>
      </c>
      <c r="L966" s="13">
        <f>_xll.FDS(G966,"FF_ROE(ANN_R,12/30/2015)")</f>
        <v>8.7996086851988498</v>
      </c>
      <c r="M966" s="8" t="s">
        <v>2935</v>
      </c>
      <c r="N966" s="4" t="s">
        <v>2936</v>
      </c>
      <c r="O966" s="4" t="s">
        <v>2937</v>
      </c>
      <c r="P966" s="4" t="s">
        <v>96</v>
      </c>
      <c r="Q966" s="4" t="s">
        <v>78</v>
      </c>
      <c r="R966" s="4" t="s">
        <v>61</v>
      </c>
      <c r="S966" s="4" t="s">
        <v>62</v>
      </c>
      <c r="T966" s="6" t="e">
        <v>#N/A</v>
      </c>
      <c r="U966" s="5">
        <v>68</v>
      </c>
      <c r="V966" s="5">
        <v>57</v>
      </c>
      <c r="W966" s="5">
        <v>69</v>
      </c>
      <c r="X966" s="5">
        <v>86</v>
      </c>
      <c r="Y966" s="5">
        <v>76.540000000000006</v>
      </c>
      <c r="Z966" s="5">
        <v>65</v>
      </c>
      <c r="AA966" s="5">
        <v>68.459999999999994</v>
      </c>
      <c r="AB966" s="5">
        <v>94.23</v>
      </c>
      <c r="AC966" s="6">
        <v>0.45</v>
      </c>
      <c r="AD966" s="6">
        <v>0.3</v>
      </c>
      <c r="AE966" s="6">
        <v>0.25</v>
      </c>
      <c r="AF966" s="4" t="s">
        <v>6296</v>
      </c>
      <c r="AG966" s="4" t="s">
        <v>6296</v>
      </c>
      <c r="AH966" s="4" t="s">
        <v>6296</v>
      </c>
      <c r="AI966" s="4" t="s">
        <v>6296</v>
      </c>
      <c r="AJ966" s="4" t="s">
        <v>6296</v>
      </c>
      <c r="AK966" s="4" t="s">
        <v>6296</v>
      </c>
      <c r="AL966" s="4" t="s">
        <v>37</v>
      </c>
      <c r="AM966" s="4" t="s">
        <v>6296</v>
      </c>
      <c r="AN966" s="4" t="s">
        <v>6296</v>
      </c>
      <c r="AO966" s="4" t="s">
        <v>6296</v>
      </c>
      <c r="AP966" s="4" t="s">
        <v>2938</v>
      </c>
      <c r="AQ966" s="4" t="s">
        <v>47</v>
      </c>
    </row>
    <row r="967" spans="1:43" ht="12.6" customHeight="1" x14ac:dyDescent="0.25">
      <c r="A967" s="8" t="s">
        <v>1106</v>
      </c>
      <c r="B967" s="9">
        <v>20151231</v>
      </c>
      <c r="C967" s="12">
        <f>_xll.FDS("SPX","FG_PRICE(12/30/2015)")</f>
        <v>2063.36</v>
      </c>
      <c r="D967" s="12">
        <f>_xll.FDS("SPX","FG_PRICE(12/30/2017)")</f>
        <v>2673.61</v>
      </c>
      <c r="E967" s="15">
        <f>D967/C967-1</f>
        <v>0.2957554668114144</v>
      </c>
      <c r="F967" s="8" t="s">
        <v>1107</v>
      </c>
      <c r="G967" s="8" t="s">
        <v>1108</v>
      </c>
      <c r="H967" s="13">
        <f>_xll.FDS(G967,"FG_PRICE(12/30/2015)")</f>
        <v>11.09</v>
      </c>
      <c r="I967" s="13">
        <f>_xll.FDS(G967,"FG_PRICE(12/31/2017)")</f>
        <v>28.48</v>
      </c>
      <c r="J967" s="13">
        <f>I967/H967-1</f>
        <v>1.5680793507664563</v>
      </c>
      <c r="K967" s="13">
        <f>J967-E967</f>
        <v>1.2723238839550419</v>
      </c>
      <c r="L967" s="13">
        <f>_xll.FDS(G967,"FF_ROE(ANN_R,12/30/2015)")</f>
        <v>1.346463022508039</v>
      </c>
      <c r="M967" s="8" t="s">
        <v>1109</v>
      </c>
      <c r="N967" s="4" t="s">
        <v>1110</v>
      </c>
      <c r="O967" s="4" t="s">
        <v>1111</v>
      </c>
      <c r="P967" s="4" t="s">
        <v>96</v>
      </c>
      <c r="Q967" s="4" t="s">
        <v>78</v>
      </c>
      <c r="R967" s="4" t="s">
        <v>61</v>
      </c>
      <c r="S967" s="4" t="s">
        <v>62</v>
      </c>
      <c r="T967" s="6" t="e">
        <v>#N/A</v>
      </c>
      <c r="U967" s="5">
        <v>60</v>
      </c>
      <c r="V967" s="5">
        <v>47</v>
      </c>
      <c r="W967" s="5">
        <v>65</v>
      </c>
      <c r="X967" s="5">
        <v>78</v>
      </c>
      <c r="Y967" s="5">
        <v>49.62</v>
      </c>
      <c r="Z967" s="5">
        <v>29.23</v>
      </c>
      <c r="AA967" s="5">
        <v>54.62</v>
      </c>
      <c r="AB967" s="5">
        <v>76.92</v>
      </c>
      <c r="AC967" s="6">
        <v>0.45</v>
      </c>
      <c r="AD967" s="6">
        <v>0.3</v>
      </c>
      <c r="AE967" s="6">
        <v>0.25</v>
      </c>
      <c r="AF967" s="4" t="s">
        <v>37</v>
      </c>
      <c r="AG967" s="4" t="s">
        <v>6296</v>
      </c>
      <c r="AH967" s="4" t="s">
        <v>6296</v>
      </c>
      <c r="AI967" s="4" t="s">
        <v>6296</v>
      </c>
      <c r="AJ967" s="4" t="s">
        <v>6296</v>
      </c>
      <c r="AK967" s="4" t="s">
        <v>42</v>
      </c>
      <c r="AL967" s="4" t="s">
        <v>42</v>
      </c>
      <c r="AM967" s="4" t="s">
        <v>6296</v>
      </c>
      <c r="AN967" s="4" t="s">
        <v>42</v>
      </c>
      <c r="AO967" s="4" t="s">
        <v>6296</v>
      </c>
      <c r="AP967" s="4" t="s">
        <v>1112</v>
      </c>
      <c r="AQ967" s="4" t="s">
        <v>47</v>
      </c>
    </row>
    <row r="968" spans="1:43" ht="12.6" customHeight="1" x14ac:dyDescent="0.25">
      <c r="A968" s="8" t="s">
        <v>3010</v>
      </c>
      <c r="B968" s="9">
        <v>20151231</v>
      </c>
      <c r="C968" s="12">
        <f>_xll.FDS("SPX","FG_PRICE(12/30/2015)")</f>
        <v>2063.36</v>
      </c>
      <c r="D968" s="12">
        <f>_xll.FDS("SPX","FG_PRICE(12/30/2017)")</f>
        <v>2673.61</v>
      </c>
      <c r="E968" s="15">
        <f>D968/C968-1</f>
        <v>0.2957554668114144</v>
      </c>
      <c r="F968" s="8" t="s">
        <v>3011</v>
      </c>
      <c r="G968" s="8" t="s">
        <v>3012</v>
      </c>
      <c r="H968" s="13">
        <f>_xll.FDS(G968,"FG_PRICE(12/30/2015)")</f>
        <v>26.66</v>
      </c>
      <c r="I968" s="13">
        <f>_xll.FDS(G968,"FG_PRICE(12/31/2017)")</f>
        <v>32.909999999999997</v>
      </c>
      <c r="J968" s="13">
        <f>I968/H968-1</f>
        <v>0.23443360840210037</v>
      </c>
      <c r="K968" s="13">
        <f>J968-E968</f>
        <v>-6.1321858409314034E-2</v>
      </c>
      <c r="L968" s="13">
        <f>_xll.FDS(G968,"FF_ROE(ANN_R,12/30/2015)")</f>
        <v>12.60208548913476</v>
      </c>
      <c r="M968" s="8" t="s">
        <v>3013</v>
      </c>
      <c r="N968" s="4" t="s">
        <v>3013</v>
      </c>
      <c r="O968" s="4" t="s">
        <v>3014</v>
      </c>
      <c r="P968" s="4" t="s">
        <v>96</v>
      </c>
      <c r="Q968" s="4" t="s">
        <v>78</v>
      </c>
      <c r="R968" s="4" t="s">
        <v>61</v>
      </c>
      <c r="S968" s="4" t="s">
        <v>62</v>
      </c>
      <c r="T968" s="6" t="e">
        <v>#N/A</v>
      </c>
      <c r="U968" s="5">
        <v>58</v>
      </c>
      <c r="V968" s="5">
        <v>44</v>
      </c>
      <c r="W968" s="5">
        <v>65</v>
      </c>
      <c r="X968" s="5">
        <v>74</v>
      </c>
      <c r="Y968" s="5">
        <v>40.380000000000003</v>
      </c>
      <c r="Z968" s="5">
        <v>21.92</v>
      </c>
      <c r="AA968" s="5">
        <v>54.62</v>
      </c>
      <c r="AB968" s="5">
        <v>62.31</v>
      </c>
      <c r="AC968" s="6">
        <v>0.45</v>
      </c>
      <c r="AD968" s="6">
        <v>0.3</v>
      </c>
      <c r="AE968" s="6">
        <v>0.25</v>
      </c>
      <c r="AF968" s="4" t="s">
        <v>42</v>
      </c>
      <c r="AG968" s="4" t="s">
        <v>6296</v>
      </c>
      <c r="AH968" s="4" t="s">
        <v>6296</v>
      </c>
      <c r="AI968" s="4" t="s">
        <v>6296</v>
      </c>
      <c r="AJ968" s="4" t="s">
        <v>6296</v>
      </c>
      <c r="AK968" s="4" t="s">
        <v>6296</v>
      </c>
      <c r="AL968" s="4" t="s">
        <v>6296</v>
      </c>
      <c r="AM968" s="4" t="s">
        <v>42</v>
      </c>
      <c r="AN968" s="4" t="s">
        <v>6296</v>
      </c>
      <c r="AO968" s="4" t="s">
        <v>6296</v>
      </c>
      <c r="AP968" s="4" t="s">
        <v>3015</v>
      </c>
      <c r="AQ968" s="4" t="s">
        <v>47</v>
      </c>
    </row>
    <row r="969" spans="1:43" ht="12.6" customHeight="1" x14ac:dyDescent="0.25">
      <c r="A969" s="8" t="s">
        <v>5852</v>
      </c>
      <c r="B969" s="9">
        <v>20151231</v>
      </c>
      <c r="C969" s="12">
        <f>_xll.FDS("SPX","FG_PRICE(12/30/2015)")</f>
        <v>2063.36</v>
      </c>
      <c r="D969" s="12">
        <f>_xll.FDS("SPX","FG_PRICE(12/30/2017)")</f>
        <v>2673.61</v>
      </c>
      <c r="E969" s="15">
        <f>D969/C969-1</f>
        <v>0.2957554668114144</v>
      </c>
      <c r="F969" s="8" t="s">
        <v>5853</v>
      </c>
      <c r="G969" s="8" t="s">
        <v>5854</v>
      </c>
      <c r="H969" s="13">
        <f>_xll.FDS(G969,"FG_PRICE(12/30/2015)")</f>
        <v>51.34</v>
      </c>
      <c r="I969" s="13">
        <f>_xll.FDS(G969,"FG_PRICE(12/31/2017)")</f>
        <v>73.260000000000005</v>
      </c>
      <c r="J969" s="13">
        <f>I969/H969-1</f>
        <v>0.42695753798208025</v>
      </c>
      <c r="K969" s="13">
        <f>J969-E969</f>
        <v>0.13120207117066585</v>
      </c>
      <c r="L969" s="13">
        <f>_xll.FDS(G969,"FF_ROE(ANN_R,12/30/2015)")</f>
        <v>7.2395534542673081</v>
      </c>
      <c r="M969" s="8" t="s">
        <v>5855</v>
      </c>
      <c r="N969" s="4" t="s">
        <v>5856</v>
      </c>
      <c r="O969" s="4" t="s">
        <v>5857</v>
      </c>
      <c r="P969" s="4" t="s">
        <v>96</v>
      </c>
      <c r="Q969" s="4" t="s">
        <v>78</v>
      </c>
      <c r="R969" s="4" t="s">
        <v>61</v>
      </c>
      <c r="S969" s="4" t="s">
        <v>62</v>
      </c>
      <c r="T969" s="6" t="e">
        <v>#N/A</v>
      </c>
      <c r="U969" s="5">
        <v>57</v>
      </c>
      <c r="V969" s="5">
        <v>42</v>
      </c>
      <c r="W969" s="5">
        <v>59</v>
      </c>
      <c r="X969" s="5">
        <v>82</v>
      </c>
      <c r="Y969" s="5">
        <v>37.69</v>
      </c>
      <c r="Z969" s="5">
        <v>16.54</v>
      </c>
      <c r="AA969" s="5">
        <v>33.85</v>
      </c>
      <c r="AB969" s="5">
        <v>87.69</v>
      </c>
      <c r="AC969" s="6">
        <v>0.45</v>
      </c>
      <c r="AD969" s="6">
        <v>0.3</v>
      </c>
      <c r="AE969" s="6">
        <v>0.25</v>
      </c>
      <c r="AF969" s="4" t="s">
        <v>6296</v>
      </c>
      <c r="AG969" s="4" t="s">
        <v>6296</v>
      </c>
      <c r="AH969" s="4" t="s">
        <v>6296</v>
      </c>
      <c r="AI969" s="4" t="s">
        <v>6296</v>
      </c>
      <c r="AJ969" s="4" t="s">
        <v>6296</v>
      </c>
      <c r="AK969" s="4" t="s">
        <v>6296</v>
      </c>
      <c r="AL969" s="4" t="s">
        <v>6296</v>
      </c>
      <c r="AM969" s="4" t="s">
        <v>6296</v>
      </c>
      <c r="AN969" s="4" t="s">
        <v>6296</v>
      </c>
      <c r="AO969" s="4" t="s">
        <v>6296</v>
      </c>
      <c r="AP969" s="4" t="s">
        <v>5858</v>
      </c>
      <c r="AQ969" s="4" t="s">
        <v>47</v>
      </c>
    </row>
    <row r="970" spans="1:43" ht="12.6" customHeight="1" x14ac:dyDescent="0.25">
      <c r="A970" s="8" t="s">
        <v>4596</v>
      </c>
      <c r="B970" s="9">
        <v>20151231</v>
      </c>
      <c r="C970" s="12">
        <f>_xll.FDS("SPX","FG_PRICE(12/30/2015)")</f>
        <v>2063.36</v>
      </c>
      <c r="D970" s="12">
        <f>_xll.FDS("SPX","FG_PRICE(12/30/2017)")</f>
        <v>2673.61</v>
      </c>
      <c r="E970" s="15">
        <f>D970/C970-1</f>
        <v>0.2957554668114144</v>
      </c>
      <c r="F970" s="8" t="s">
        <v>4597</v>
      </c>
      <c r="G970" s="8" t="s">
        <v>4598</v>
      </c>
      <c r="H970" s="13">
        <f>_xll.FDS(G970,"FG_PRICE(12/30/2015)")</f>
        <v>36.56</v>
      </c>
      <c r="I970" s="13">
        <f>_xll.FDS(G970,"FG_PRICE(12/31/2017)")</f>
        <v>63.96</v>
      </c>
      <c r="J970" s="13">
        <f>I970/H970-1</f>
        <v>0.74945295404814005</v>
      </c>
      <c r="K970" s="13">
        <f>J970-E970</f>
        <v>0.45369748723672565</v>
      </c>
      <c r="L970" s="13">
        <f>_xll.FDS(G970,"FF_ROE(ANN_R,12/30/2015)")</f>
        <v>7.1875478803950221</v>
      </c>
      <c r="M970" s="8" t="s">
        <v>4599</v>
      </c>
      <c r="N970" s="4" t="s">
        <v>4600</v>
      </c>
      <c r="O970" s="4" t="s">
        <v>4498</v>
      </c>
      <c r="P970" s="4" t="s">
        <v>96</v>
      </c>
      <c r="Q970" s="4" t="s">
        <v>78</v>
      </c>
      <c r="R970" s="4" t="s">
        <v>61</v>
      </c>
      <c r="S970" s="4" t="s">
        <v>62</v>
      </c>
      <c r="T970" s="6" t="e">
        <v>#N/A</v>
      </c>
      <c r="U970" s="5">
        <v>65</v>
      </c>
      <c r="V970" s="5">
        <v>66</v>
      </c>
      <c r="W970" s="5">
        <v>57</v>
      </c>
      <c r="X970" s="5">
        <v>73</v>
      </c>
      <c r="Y970" s="5">
        <v>69.23</v>
      </c>
      <c r="Z970" s="5">
        <v>81.540000000000006</v>
      </c>
      <c r="AA970" s="5">
        <v>27.31</v>
      </c>
      <c r="AB970" s="5">
        <v>59.62</v>
      </c>
      <c r="AC970" s="6">
        <v>0.45</v>
      </c>
      <c r="AD970" s="6">
        <v>0.3</v>
      </c>
      <c r="AE970" s="6">
        <v>0.25</v>
      </c>
      <c r="AF970" s="4" t="s">
        <v>6296</v>
      </c>
      <c r="AG970" s="4" t="s">
        <v>6296</v>
      </c>
      <c r="AH970" s="4" t="s">
        <v>6296</v>
      </c>
      <c r="AI970" s="4" t="s">
        <v>6296</v>
      </c>
      <c r="AJ970" s="4" t="s">
        <v>6296</v>
      </c>
      <c r="AK970" s="4" t="s">
        <v>6296</v>
      </c>
      <c r="AL970" s="4" t="s">
        <v>6296</v>
      </c>
      <c r="AM970" s="4" t="s">
        <v>37</v>
      </c>
      <c r="AN970" s="4" t="s">
        <v>6296</v>
      </c>
      <c r="AO970" s="4" t="s">
        <v>6296</v>
      </c>
      <c r="AP970" s="4" t="s">
        <v>4601</v>
      </c>
      <c r="AQ970" s="4" t="s">
        <v>47</v>
      </c>
    </row>
    <row r="971" spans="1:43" ht="12.6" customHeight="1" x14ac:dyDescent="0.25">
      <c r="A971" s="8" t="s">
        <v>3135</v>
      </c>
      <c r="B971" s="9">
        <v>20151231</v>
      </c>
      <c r="C971" s="12">
        <f>_xll.FDS("SPX","FG_PRICE(12/30/2015)")</f>
        <v>2063.36</v>
      </c>
      <c r="D971" s="12">
        <f>_xll.FDS("SPX","FG_PRICE(12/30/2017)")</f>
        <v>2673.61</v>
      </c>
      <c r="E971" s="15">
        <f>D971/C971-1</f>
        <v>0.2957554668114144</v>
      </c>
      <c r="F971" s="8" t="s">
        <v>3136</v>
      </c>
      <c r="G971" s="8" t="s">
        <v>3137</v>
      </c>
      <c r="H971" s="13">
        <f>_xll.FDS(G971,"FG_PRICE(12/30/2015)")</f>
        <v>53.92</v>
      </c>
      <c r="I971" s="13">
        <f>_xll.FDS(G971,"FG_PRICE(12/31/2017)")</f>
        <v>44.83</v>
      </c>
      <c r="J971" s="13">
        <f>I971/H971-1</f>
        <v>-0.16858308605341255</v>
      </c>
      <c r="K971" s="13">
        <f>J971-E971</f>
        <v>-0.46433855286482695</v>
      </c>
      <c r="L971" s="13">
        <f>_xll.FDS(G971,"FF_ROE(ANN_R,12/30/2015)")</f>
        <v>9.5577087865005605</v>
      </c>
      <c r="M971" s="8" t="s">
        <v>3138</v>
      </c>
      <c r="N971" s="4" t="s">
        <v>3138</v>
      </c>
      <c r="O971" s="4" t="s">
        <v>3139</v>
      </c>
      <c r="P971" s="4" t="s">
        <v>96</v>
      </c>
      <c r="Q971" s="4" t="s">
        <v>78</v>
      </c>
      <c r="R971" s="4" t="s">
        <v>61</v>
      </c>
      <c r="S971" s="4" t="s">
        <v>62</v>
      </c>
      <c r="T971" s="6" t="e">
        <v>#N/A</v>
      </c>
      <c r="U971" s="5">
        <v>71</v>
      </c>
      <c r="V971" s="5">
        <v>72</v>
      </c>
      <c r="W971" s="5">
        <v>68</v>
      </c>
      <c r="X971" s="5">
        <v>72</v>
      </c>
      <c r="Y971" s="5">
        <v>81.150000000000006</v>
      </c>
      <c r="Z971" s="5">
        <v>90.77</v>
      </c>
      <c r="AA971" s="5">
        <v>65.77</v>
      </c>
      <c r="AB971" s="5">
        <v>56.15</v>
      </c>
      <c r="AC971" s="6">
        <v>0.45</v>
      </c>
      <c r="AD971" s="6">
        <v>0.3</v>
      </c>
      <c r="AE971" s="6">
        <v>0.25</v>
      </c>
      <c r="AF971" s="4" t="s">
        <v>37</v>
      </c>
      <c r="AG971" s="4" t="s">
        <v>6296</v>
      </c>
      <c r="AH971" s="4" t="s">
        <v>6296</v>
      </c>
      <c r="AI971" s="4" t="s">
        <v>37</v>
      </c>
      <c r="AJ971" s="4" t="s">
        <v>6296</v>
      </c>
      <c r="AK971" s="4" t="s">
        <v>37</v>
      </c>
      <c r="AL971" s="4" t="s">
        <v>45</v>
      </c>
      <c r="AM971" s="4" t="s">
        <v>6296</v>
      </c>
      <c r="AN971" s="4" t="s">
        <v>37</v>
      </c>
      <c r="AO971" s="4" t="s">
        <v>37</v>
      </c>
      <c r="AP971" s="4" t="s">
        <v>3140</v>
      </c>
      <c r="AQ971" s="4" t="s">
        <v>47</v>
      </c>
    </row>
    <row r="972" spans="1:43" ht="12.6" customHeight="1" x14ac:dyDescent="0.25">
      <c r="A972" s="8" t="s">
        <v>3257</v>
      </c>
      <c r="B972" s="9">
        <v>20151231</v>
      </c>
      <c r="C972" s="12">
        <f>_xll.FDS("SPX","FG_PRICE(12/30/2015)")</f>
        <v>2063.36</v>
      </c>
      <c r="D972" s="12">
        <f>_xll.FDS("SPX","FG_PRICE(12/30/2017)")</f>
        <v>2673.61</v>
      </c>
      <c r="E972" s="15">
        <f>D972/C972-1</f>
        <v>0.2957554668114144</v>
      </c>
      <c r="F972" s="8" t="s">
        <v>3258</v>
      </c>
      <c r="G972" s="8" t="s">
        <v>3259</v>
      </c>
      <c r="H972" s="13">
        <f>_xll.FDS(G972,"FG_PRICE(12/30/2015)")</f>
        <v>38.99</v>
      </c>
      <c r="I972" s="13">
        <f>_xll.FDS(G972,"FG_PRICE(12/31/2017)")</f>
        <v>51.5</v>
      </c>
      <c r="J972" s="13">
        <f>I972/H972-1</f>
        <v>0.32085150038471388</v>
      </c>
      <c r="K972" s="13">
        <f>J972-E972</f>
        <v>2.5096033573299481E-2</v>
      </c>
      <c r="L972" s="13">
        <f>_xll.FDS(G972,"FF_ROE(ANN_R,12/30/2015)")</f>
        <v>12.76005547850208</v>
      </c>
      <c r="M972" s="8" t="s">
        <v>3260</v>
      </c>
      <c r="N972" s="4" t="s">
        <v>3261</v>
      </c>
      <c r="O972" s="4" t="s">
        <v>3262</v>
      </c>
      <c r="P972" s="4" t="s">
        <v>96</v>
      </c>
      <c r="Q972" s="4" t="s">
        <v>78</v>
      </c>
      <c r="R972" s="4" t="s">
        <v>61</v>
      </c>
      <c r="S972" s="4" t="s">
        <v>62</v>
      </c>
      <c r="T972" s="6" t="e">
        <v>#N/A</v>
      </c>
      <c r="U972" s="5">
        <v>64</v>
      </c>
      <c r="V972" s="5">
        <v>49</v>
      </c>
      <c r="W972" s="5">
        <v>76</v>
      </c>
      <c r="X972" s="5">
        <v>75</v>
      </c>
      <c r="Y972" s="5">
        <v>66.150000000000006</v>
      </c>
      <c r="Z972" s="5">
        <v>35.380000000000003</v>
      </c>
      <c r="AA972" s="5">
        <v>83.46</v>
      </c>
      <c r="AB972" s="5">
        <v>64.23</v>
      </c>
      <c r="AC972" s="6">
        <v>0.45</v>
      </c>
      <c r="AD972" s="6">
        <v>0.3</v>
      </c>
      <c r="AE972" s="6">
        <v>0.25</v>
      </c>
      <c r="AF972" s="4" t="s">
        <v>42</v>
      </c>
      <c r="AG972" s="4" t="s">
        <v>6296</v>
      </c>
      <c r="AH972" s="4" t="s">
        <v>6296</v>
      </c>
      <c r="AI972" s="4" t="s">
        <v>42</v>
      </c>
      <c r="AJ972" s="4" t="s">
        <v>6296</v>
      </c>
      <c r="AK972" s="4" t="s">
        <v>6296</v>
      </c>
      <c r="AL972" s="4" t="s">
        <v>42</v>
      </c>
      <c r="AM972" s="4" t="s">
        <v>6296</v>
      </c>
      <c r="AN972" s="4" t="s">
        <v>6296</v>
      </c>
      <c r="AO972" s="4" t="s">
        <v>6296</v>
      </c>
      <c r="AP972" s="4" t="s">
        <v>3263</v>
      </c>
      <c r="AQ972" s="4" t="s">
        <v>47</v>
      </c>
    </row>
    <row r="973" spans="1:43" ht="12.6" customHeight="1" x14ac:dyDescent="0.25">
      <c r="A973" s="8" t="s">
        <v>394</v>
      </c>
      <c r="B973" s="9">
        <v>20151231</v>
      </c>
      <c r="C973" s="12">
        <f>_xll.FDS("SPX","FG_PRICE(12/30/2015)")</f>
        <v>2063.36</v>
      </c>
      <c r="D973" s="12">
        <f>_xll.FDS("SPX","FG_PRICE(12/30/2017)")</f>
        <v>2673.61</v>
      </c>
      <c r="E973" s="15">
        <f>D973/C973-1</f>
        <v>0.2957554668114144</v>
      </c>
      <c r="F973" s="8" t="s">
        <v>395</v>
      </c>
      <c r="G973" s="8" t="s">
        <v>396</v>
      </c>
      <c r="H973" s="13">
        <f>_xll.FDS(G973,"FG_PRICE(12/30/2015)")</f>
        <v>65.23</v>
      </c>
      <c r="I973" s="13">
        <f>_xll.FDS(G973,"FG_PRICE(12/31/2017)")</f>
        <v>85.18</v>
      </c>
      <c r="J973" s="13">
        <f>I973/H973-1</f>
        <v>0.30584087076498556</v>
      </c>
      <c r="K973" s="13">
        <f>J973-E973</f>
        <v>1.0085403953571159E-2</v>
      </c>
      <c r="L973" s="13">
        <f>_xll.FDS(G973,"FF_ROE(ANN_R,12/30/2015)")</f>
        <v>9.2874729778673437</v>
      </c>
      <c r="M973" s="8" t="s">
        <v>397</v>
      </c>
      <c r="N973" s="4" t="s">
        <v>397</v>
      </c>
      <c r="O973" s="4" t="s">
        <v>398</v>
      </c>
      <c r="P973" s="4" t="s">
        <v>96</v>
      </c>
      <c r="Q973" s="4" t="s">
        <v>78</v>
      </c>
      <c r="R973" s="4" t="s">
        <v>61</v>
      </c>
      <c r="S973" s="4" t="s">
        <v>62</v>
      </c>
      <c r="T973" s="6" t="e">
        <v>#N/A</v>
      </c>
      <c r="U973" s="5">
        <v>72</v>
      </c>
      <c r="V973" s="5">
        <v>65</v>
      </c>
      <c r="W973" s="5">
        <v>80</v>
      </c>
      <c r="X973" s="5">
        <v>76</v>
      </c>
      <c r="Y973" s="5">
        <v>83.85</v>
      </c>
      <c r="Z973" s="5">
        <v>80</v>
      </c>
      <c r="AA973" s="5">
        <v>92.31</v>
      </c>
      <c r="AB973" s="5">
        <v>71.540000000000006</v>
      </c>
      <c r="AC973" s="6">
        <v>0.45</v>
      </c>
      <c r="AD973" s="6">
        <v>0.3</v>
      </c>
      <c r="AE973" s="6">
        <v>0.25</v>
      </c>
      <c r="AF973" s="4" t="s">
        <v>37</v>
      </c>
      <c r="AG973" s="4" t="s">
        <v>6296</v>
      </c>
      <c r="AH973" s="4" t="s">
        <v>6296</v>
      </c>
      <c r="AI973" s="4" t="s">
        <v>6296</v>
      </c>
      <c r="AJ973" s="4" t="s">
        <v>6296</v>
      </c>
      <c r="AK973" s="4" t="s">
        <v>6296</v>
      </c>
      <c r="AL973" s="4" t="s">
        <v>6296</v>
      </c>
      <c r="AM973" s="4" t="s">
        <v>6296</v>
      </c>
      <c r="AN973" s="4" t="s">
        <v>6296</v>
      </c>
      <c r="AO973" s="4" t="s">
        <v>6296</v>
      </c>
      <c r="AP973" s="4" t="s">
        <v>399</v>
      </c>
      <c r="AQ973" s="4" t="s">
        <v>47</v>
      </c>
    </row>
    <row r="974" spans="1:43" ht="12.6" customHeight="1" x14ac:dyDescent="0.25">
      <c r="A974" s="8" t="s">
        <v>6410</v>
      </c>
      <c r="B974" s="9">
        <v>20151231</v>
      </c>
      <c r="C974" s="12">
        <f>_xll.FDS("SPX","FG_PRICE(12/30/2015)")</f>
        <v>2063.36</v>
      </c>
      <c r="D974" s="12">
        <f>_xll.FDS("SPX","FG_PRICE(12/30/2017)")</f>
        <v>2673.61</v>
      </c>
      <c r="E974" s="15">
        <f>D974/C974-1</f>
        <v>0.2957554668114144</v>
      </c>
      <c r="F974" s="8" t="s">
        <v>6411</v>
      </c>
      <c r="G974" s="8" t="s">
        <v>6412</v>
      </c>
      <c r="H974" s="13">
        <f>_xll.FDS(G974,"FG_PRICE(12/30/2015)")</f>
        <v>26.17</v>
      </c>
      <c r="I974" s="13" t="e">
        <f>_xll.FDS(G974,"FG_PRICE(12/31/2017)")</f>
        <v>#N/A</v>
      </c>
      <c r="J974" s="13" t="e">
        <f>I974/H974-1</f>
        <v>#N/A</v>
      </c>
      <c r="K974" s="13" t="e">
        <f>J974-E974</f>
        <v>#N/A</v>
      </c>
      <c r="L974" s="13">
        <f>_xll.FDS(G974,"FF_ROE(ANN_R,12/30/2015)")</f>
        <v>5.5213324207164041</v>
      </c>
      <c r="M974" s="8" t="s">
        <v>6413</v>
      </c>
      <c r="N974" s="4" t="s">
        <v>4529</v>
      </c>
      <c r="O974" s="4" t="s">
        <v>4654</v>
      </c>
      <c r="P974" s="4" t="s">
        <v>96</v>
      </c>
      <c r="Q974" s="4" t="s">
        <v>78</v>
      </c>
      <c r="R974" s="4" t="s">
        <v>61</v>
      </c>
      <c r="S974" s="4" t="s">
        <v>62</v>
      </c>
      <c r="T974" s="6" t="e">
        <v>#N/A</v>
      </c>
      <c r="U974" s="5">
        <v>63</v>
      </c>
      <c r="V974" s="5">
        <v>53</v>
      </c>
      <c r="W974" s="5">
        <v>67</v>
      </c>
      <c r="X974" s="5">
        <v>75</v>
      </c>
      <c r="Y974" s="5">
        <v>62.69</v>
      </c>
      <c r="Z974" s="5">
        <v>55.77</v>
      </c>
      <c r="AA974" s="5">
        <v>60.38</v>
      </c>
      <c r="AB974" s="5">
        <v>64.23</v>
      </c>
      <c r="AC974" s="6">
        <v>0.45</v>
      </c>
      <c r="AD974" s="6">
        <v>0.3</v>
      </c>
      <c r="AE974" s="6">
        <v>0.25</v>
      </c>
      <c r="AF974" s="4" t="s">
        <v>37</v>
      </c>
      <c r="AG974" s="4" t="s">
        <v>6296</v>
      </c>
      <c r="AH974" s="4" t="s">
        <v>6296</v>
      </c>
      <c r="AI974" s="4" t="s">
        <v>37</v>
      </c>
      <c r="AJ974" s="4" t="s">
        <v>6296</v>
      </c>
      <c r="AK974" s="4" t="s">
        <v>6296</v>
      </c>
      <c r="AL974" s="4" t="s">
        <v>6296</v>
      </c>
      <c r="AM974" s="4" t="s">
        <v>6296</v>
      </c>
      <c r="AN974" s="4" t="s">
        <v>42</v>
      </c>
      <c r="AO974" s="4" t="s">
        <v>6296</v>
      </c>
      <c r="AP974" s="4" t="s">
        <v>6414</v>
      </c>
      <c r="AQ974" s="4" t="s">
        <v>47</v>
      </c>
    </row>
    <row r="975" spans="1:43" ht="12.6" customHeight="1" x14ac:dyDescent="0.25">
      <c r="A975" s="8" t="s">
        <v>4760</v>
      </c>
      <c r="B975" s="9">
        <v>20151231</v>
      </c>
      <c r="C975" s="12">
        <f>_xll.FDS("SPX","FG_PRICE(12/30/2015)")</f>
        <v>2063.36</v>
      </c>
      <c r="D975" s="12">
        <f>_xll.FDS("SPX","FG_PRICE(12/30/2017)")</f>
        <v>2673.61</v>
      </c>
      <c r="E975" s="15">
        <f>D975/C975-1</f>
        <v>0.2957554668114144</v>
      </c>
      <c r="F975" s="8" t="s">
        <v>4761</v>
      </c>
      <c r="G975" s="8" t="s">
        <v>4762</v>
      </c>
      <c r="H975" s="13">
        <f>_xll.FDS(G975,"FG_PRICE(12/30/2015)")</f>
        <v>37.22</v>
      </c>
      <c r="I975" s="13">
        <f>_xll.FDS(G975,"FG_PRICE(12/31/2017)")</f>
        <v>45.58</v>
      </c>
      <c r="J975" s="13">
        <f>I975/H975-1</f>
        <v>0.22461042450295543</v>
      </c>
      <c r="K975" s="13">
        <f>J975-E975</f>
        <v>-7.1145042308458972E-2</v>
      </c>
      <c r="L975" s="13">
        <f>_xll.FDS(G975,"FF_ROE(ANN_R,12/30/2015)")</f>
        <v>9.3833780160857909</v>
      </c>
      <c r="M975" s="8" t="s">
        <v>4763</v>
      </c>
      <c r="N975" s="4" t="s">
        <v>4763</v>
      </c>
      <c r="O975" s="4" t="s">
        <v>4764</v>
      </c>
      <c r="P975" s="4" t="s">
        <v>96</v>
      </c>
      <c r="Q975" s="4" t="s">
        <v>78</v>
      </c>
      <c r="R975" s="4" t="s">
        <v>61</v>
      </c>
      <c r="S975" s="4" t="s">
        <v>62</v>
      </c>
      <c r="T975" s="6" t="e">
        <v>#N/A</v>
      </c>
      <c r="U975" s="5">
        <v>56</v>
      </c>
      <c r="V975" s="5">
        <v>44</v>
      </c>
      <c r="W975" s="5">
        <v>60</v>
      </c>
      <c r="X975" s="5">
        <v>75</v>
      </c>
      <c r="Y975" s="5">
        <v>34.229999999999997</v>
      </c>
      <c r="Z975" s="5">
        <v>21.92</v>
      </c>
      <c r="AA975" s="5">
        <v>35.380000000000003</v>
      </c>
      <c r="AB975" s="5">
        <v>64.23</v>
      </c>
      <c r="AC975" s="6">
        <v>0.45</v>
      </c>
      <c r="AD975" s="6">
        <v>0.3</v>
      </c>
      <c r="AE975" s="6">
        <v>0.25</v>
      </c>
      <c r="AF975" s="4" t="s">
        <v>6296</v>
      </c>
      <c r="AG975" s="4" t="s">
        <v>6296</v>
      </c>
      <c r="AH975" s="4" t="s">
        <v>6296</v>
      </c>
      <c r="AI975" s="4" t="s">
        <v>6296</v>
      </c>
      <c r="AJ975" s="4" t="s">
        <v>6296</v>
      </c>
      <c r="AK975" s="4" t="s">
        <v>6296</v>
      </c>
      <c r="AL975" s="4" t="s">
        <v>6296</v>
      </c>
      <c r="AM975" s="4" t="s">
        <v>6296</v>
      </c>
      <c r="AN975" s="4" t="s">
        <v>6296</v>
      </c>
      <c r="AO975" s="4" t="s">
        <v>6296</v>
      </c>
      <c r="AP975" s="4" t="s">
        <v>4765</v>
      </c>
      <c r="AQ975" s="4" t="s">
        <v>47</v>
      </c>
    </row>
    <row r="976" spans="1:43" ht="12.6" customHeight="1" x14ac:dyDescent="0.25">
      <c r="A976" s="8" t="s">
        <v>3096</v>
      </c>
      <c r="B976" s="9">
        <v>20151231</v>
      </c>
      <c r="C976" s="12">
        <f>_xll.FDS("SPX","FG_PRICE(12/30/2015)")</f>
        <v>2063.36</v>
      </c>
      <c r="D976" s="12">
        <f>_xll.FDS("SPX","FG_PRICE(12/30/2017)")</f>
        <v>2673.61</v>
      </c>
      <c r="E976" s="15">
        <f>D976/C976-1</f>
        <v>0.2957554668114144</v>
      </c>
      <c r="F976" s="8" t="s">
        <v>3097</v>
      </c>
      <c r="G976" s="8" t="s">
        <v>3098</v>
      </c>
      <c r="H976" s="13">
        <f>_xll.FDS(G976,"FG_PRICE(12/30/2015)")</f>
        <v>34.340000000000003</v>
      </c>
      <c r="I976" s="13">
        <f>_xll.FDS(G976,"FG_PRICE(12/31/2017)")</f>
        <v>30.95</v>
      </c>
      <c r="J976" s="13">
        <f>I976/H976-1</f>
        <v>-9.8718695398951728E-2</v>
      </c>
      <c r="K976" s="13">
        <f>J976-E976</f>
        <v>-0.39447416221036613</v>
      </c>
      <c r="L976" s="13">
        <f>_xll.FDS(G976,"FF_ROE(ANN_R,12/30/2015)")</f>
        <v>10.94504483789377</v>
      </c>
      <c r="M976" s="8" t="s">
        <v>3099</v>
      </c>
      <c r="N976" s="4" t="s">
        <v>3099</v>
      </c>
      <c r="O976" s="4" t="s">
        <v>3100</v>
      </c>
      <c r="P976" s="4" t="s">
        <v>96</v>
      </c>
      <c r="Q976" s="4" t="s">
        <v>78</v>
      </c>
      <c r="R976" s="4" t="s">
        <v>61</v>
      </c>
      <c r="S976" s="4" t="s">
        <v>62</v>
      </c>
      <c r="T976" s="6" t="e">
        <v>#N/A</v>
      </c>
      <c r="U976" s="5">
        <v>57</v>
      </c>
      <c r="V976" s="5">
        <v>46</v>
      </c>
      <c r="W976" s="5">
        <v>63</v>
      </c>
      <c r="X976" s="5">
        <v>69</v>
      </c>
      <c r="Y976" s="5">
        <v>37.69</v>
      </c>
      <c r="Z976" s="5">
        <v>25.77</v>
      </c>
      <c r="AA976" s="5">
        <v>50.38</v>
      </c>
      <c r="AB976" s="5">
        <v>47.31</v>
      </c>
      <c r="AC976" s="6">
        <v>0.45</v>
      </c>
      <c r="AD976" s="6">
        <v>0.3</v>
      </c>
      <c r="AE976" s="6">
        <v>0.25</v>
      </c>
      <c r="AF976" s="4" t="s">
        <v>42</v>
      </c>
      <c r="AG976" s="4" t="s">
        <v>6296</v>
      </c>
      <c r="AH976" s="4" t="s">
        <v>6296</v>
      </c>
      <c r="AI976" s="4" t="s">
        <v>42</v>
      </c>
      <c r="AJ976" s="4" t="s">
        <v>6296</v>
      </c>
      <c r="AK976" s="4" t="s">
        <v>6296</v>
      </c>
      <c r="AL976" s="4" t="s">
        <v>37</v>
      </c>
      <c r="AM976" s="4" t="s">
        <v>6296</v>
      </c>
      <c r="AN976" s="4" t="s">
        <v>6296</v>
      </c>
      <c r="AO976" s="4" t="s">
        <v>6296</v>
      </c>
      <c r="AP976" s="4" t="s">
        <v>3101</v>
      </c>
      <c r="AQ976" s="4" t="s">
        <v>47</v>
      </c>
    </row>
    <row r="977" spans="1:43" ht="12.6" customHeight="1" x14ac:dyDescent="0.25">
      <c r="A977" s="8" t="s">
        <v>2512</v>
      </c>
      <c r="B977" s="9">
        <v>20151231</v>
      </c>
      <c r="C977" s="12">
        <f>_xll.FDS("SPX","FG_PRICE(12/30/2015)")</f>
        <v>2063.36</v>
      </c>
      <c r="D977" s="12">
        <f>_xll.FDS("SPX","FG_PRICE(12/30/2017)")</f>
        <v>2673.61</v>
      </c>
      <c r="E977" s="15">
        <f>D977/C977-1</f>
        <v>0.2957554668114144</v>
      </c>
      <c r="F977" s="8" t="s">
        <v>2513</v>
      </c>
      <c r="G977" s="8" t="s">
        <v>2514</v>
      </c>
      <c r="H977" s="13">
        <f>_xll.FDS(G977,"FG_PRICE(12/30/2015)")</f>
        <v>61.3</v>
      </c>
      <c r="I977" s="13">
        <f>_xll.FDS(G977,"FG_PRICE(12/31/2017)")</f>
        <v>39.78</v>
      </c>
      <c r="J977" s="13">
        <f>I977/H977-1</f>
        <v>-0.35106035889070142</v>
      </c>
      <c r="K977" s="13">
        <f>J977-E977</f>
        <v>-0.64681582570211582</v>
      </c>
      <c r="L977" s="13">
        <f>_xll.FDS(G977,"FF_ROE(ANN_R,12/30/2015)")</f>
        <v>11.149103719821779</v>
      </c>
      <c r="M977" s="8" t="s">
        <v>2515</v>
      </c>
      <c r="N977" s="4" t="s">
        <v>2515</v>
      </c>
      <c r="O977" s="4" t="s">
        <v>2516</v>
      </c>
      <c r="P977" s="4" t="s">
        <v>96</v>
      </c>
      <c r="Q977" s="4" t="s">
        <v>78</v>
      </c>
      <c r="R977" s="4" t="s">
        <v>61</v>
      </c>
      <c r="S977" s="4" t="s">
        <v>62</v>
      </c>
      <c r="T977" s="6" t="e">
        <v>#N/A</v>
      </c>
      <c r="U977" s="5">
        <v>58</v>
      </c>
      <c r="V977" s="5">
        <v>51</v>
      </c>
      <c r="W977" s="5">
        <v>58</v>
      </c>
      <c r="X977" s="5">
        <v>69</v>
      </c>
      <c r="Y977" s="5">
        <v>40.380000000000003</v>
      </c>
      <c r="Z977" s="5">
        <v>48.85</v>
      </c>
      <c r="AA977" s="5">
        <v>31.54</v>
      </c>
      <c r="AB977" s="5">
        <v>47.31</v>
      </c>
      <c r="AC977" s="6">
        <v>0.45</v>
      </c>
      <c r="AD977" s="6">
        <v>0.3</v>
      </c>
      <c r="AE977" s="6">
        <v>0.25</v>
      </c>
      <c r="AF977" s="4" t="s">
        <v>42</v>
      </c>
      <c r="AG977" s="4" t="s">
        <v>6296</v>
      </c>
      <c r="AH977" s="4" t="s">
        <v>6296</v>
      </c>
      <c r="AI977" s="4" t="s">
        <v>42</v>
      </c>
      <c r="AJ977" s="4" t="s">
        <v>6296</v>
      </c>
      <c r="AK977" s="4" t="s">
        <v>6296</v>
      </c>
      <c r="AL977" s="4" t="s">
        <v>42</v>
      </c>
      <c r="AM977" s="4" t="s">
        <v>6296</v>
      </c>
      <c r="AN977" s="4" t="s">
        <v>6296</v>
      </c>
      <c r="AO977" s="4" t="s">
        <v>6296</v>
      </c>
      <c r="AP977" s="4" t="s">
        <v>2517</v>
      </c>
      <c r="AQ977" s="4" t="s">
        <v>47</v>
      </c>
    </row>
    <row r="978" spans="1:43" ht="12.6" customHeight="1" x14ac:dyDescent="0.25">
      <c r="A978" s="8" t="s">
        <v>3757</v>
      </c>
      <c r="B978" s="9">
        <v>20151231</v>
      </c>
      <c r="C978" s="12">
        <f>_xll.FDS("SPX","FG_PRICE(12/30/2015)")</f>
        <v>2063.36</v>
      </c>
      <c r="D978" s="12">
        <f>_xll.FDS("SPX","FG_PRICE(12/30/2017)")</f>
        <v>2673.61</v>
      </c>
      <c r="E978" s="15">
        <f>D978/C978-1</f>
        <v>0.2957554668114144</v>
      </c>
      <c r="F978" s="8" t="s">
        <v>3758</v>
      </c>
      <c r="G978" s="8" t="s">
        <v>3759</v>
      </c>
      <c r="H978" s="13">
        <f>_xll.FDS(G978,"FG_PRICE(12/30/2015)")</f>
        <v>47.27</v>
      </c>
      <c r="I978" s="13">
        <f>_xll.FDS(G978,"FG_PRICE(12/31/2017)")</f>
        <v>48.09</v>
      </c>
      <c r="J978" s="13">
        <f>I978/H978-1</f>
        <v>1.7347154643537088E-2</v>
      </c>
      <c r="K978" s="13">
        <f>J978-E978</f>
        <v>-0.27840831216787731</v>
      </c>
      <c r="L978" s="13">
        <f>_xll.FDS(G978,"FF_ROE(ANN_R,12/30/2015)")</f>
        <v>9.8546786676047446</v>
      </c>
      <c r="M978" s="8" t="s">
        <v>3760</v>
      </c>
      <c r="N978" s="4" t="s">
        <v>3761</v>
      </c>
      <c r="O978" s="4" t="s">
        <v>3762</v>
      </c>
      <c r="P978" s="4" t="s">
        <v>96</v>
      </c>
      <c r="Q978" s="4" t="s">
        <v>78</v>
      </c>
      <c r="R978" s="4" t="s">
        <v>61</v>
      </c>
      <c r="S978" s="4" t="s">
        <v>62</v>
      </c>
      <c r="T978" s="6" t="e">
        <v>#N/A</v>
      </c>
      <c r="U978" s="5">
        <v>63</v>
      </c>
      <c r="V978" s="5">
        <v>54</v>
      </c>
      <c r="W978" s="5">
        <v>68</v>
      </c>
      <c r="X978" s="5">
        <v>73</v>
      </c>
      <c r="Y978" s="5">
        <v>62.69</v>
      </c>
      <c r="Z978" s="5">
        <v>58.85</v>
      </c>
      <c r="AA978" s="5">
        <v>65.77</v>
      </c>
      <c r="AB978" s="5">
        <v>59.62</v>
      </c>
      <c r="AC978" s="6">
        <v>0.45</v>
      </c>
      <c r="AD978" s="6">
        <v>0.3</v>
      </c>
      <c r="AE978" s="6">
        <v>0.25</v>
      </c>
      <c r="AF978" s="4" t="s">
        <v>6296</v>
      </c>
      <c r="AG978" s="4" t="s">
        <v>6296</v>
      </c>
      <c r="AH978" s="4" t="s">
        <v>6296</v>
      </c>
      <c r="AI978" s="4" t="s">
        <v>42</v>
      </c>
      <c r="AJ978" s="4" t="s">
        <v>42</v>
      </c>
      <c r="AK978" s="4" t="s">
        <v>6296</v>
      </c>
      <c r="AL978" s="4" t="s">
        <v>42</v>
      </c>
      <c r="AM978" s="4" t="s">
        <v>6296</v>
      </c>
      <c r="AN978" s="4" t="s">
        <v>42</v>
      </c>
      <c r="AO978" s="4" t="s">
        <v>42</v>
      </c>
      <c r="AP978" s="4" t="s">
        <v>3763</v>
      </c>
      <c r="AQ978" s="4" t="s">
        <v>47</v>
      </c>
    </row>
    <row r="979" spans="1:43" ht="12.6" customHeight="1" x14ac:dyDescent="0.25">
      <c r="A979" s="8" t="s">
        <v>781</v>
      </c>
      <c r="B979" s="9">
        <v>20151231</v>
      </c>
      <c r="C979" s="12">
        <f>_xll.FDS("SPX","FG_PRICE(12/30/2015)")</f>
        <v>2063.36</v>
      </c>
      <c r="D979" s="12">
        <f>_xll.FDS("SPX","FG_PRICE(12/30/2017)")</f>
        <v>2673.61</v>
      </c>
      <c r="E979" s="15">
        <f>D979/C979-1</f>
        <v>0.2957554668114144</v>
      </c>
      <c r="F979" s="8" t="s">
        <v>782</v>
      </c>
      <c r="G979" s="8" t="s">
        <v>783</v>
      </c>
      <c r="H979" s="13">
        <f>_xll.FDS(G979,"FG_PRICE(12/30/2015)")</f>
        <v>94.85</v>
      </c>
      <c r="I979" s="13">
        <f>_xll.FDS(G979,"FG_PRICE(12/31/2017)")</f>
        <v>106.92</v>
      </c>
      <c r="J979" s="13">
        <f>I979/H979-1</f>
        <v>0.12725355824986839</v>
      </c>
      <c r="K979" s="13">
        <f>J979-E979</f>
        <v>-0.16850190856154601</v>
      </c>
      <c r="L979" s="13">
        <f>_xll.FDS(G979,"FF_ROE(ANN_R,12/30/2015)")</f>
        <v>10.387056404755519</v>
      </c>
      <c r="M979" s="8" t="s">
        <v>784</v>
      </c>
      <c r="N979" s="4" t="s">
        <v>784</v>
      </c>
      <c r="O979" s="4" t="s">
        <v>785</v>
      </c>
      <c r="P979" s="4" t="s">
        <v>96</v>
      </c>
      <c r="Q979" s="4" t="s">
        <v>78</v>
      </c>
      <c r="R979" s="4" t="s">
        <v>61</v>
      </c>
      <c r="S979" s="4" t="s">
        <v>62</v>
      </c>
      <c r="T979" s="6" t="e">
        <v>#N/A</v>
      </c>
      <c r="U979" s="5">
        <v>74</v>
      </c>
      <c r="V979" s="5">
        <v>57</v>
      </c>
      <c r="W979" s="5">
        <v>89</v>
      </c>
      <c r="X979" s="5">
        <v>84</v>
      </c>
      <c r="Y979" s="5">
        <v>88.46</v>
      </c>
      <c r="Z979" s="5">
        <v>65</v>
      </c>
      <c r="AA979" s="5">
        <v>98.85</v>
      </c>
      <c r="AB979" s="5">
        <v>91.54</v>
      </c>
      <c r="AC979" s="6">
        <v>0.45</v>
      </c>
      <c r="AD979" s="6">
        <v>0.3</v>
      </c>
      <c r="AE979" s="6">
        <v>0.25</v>
      </c>
      <c r="AF979" s="4" t="s">
        <v>46</v>
      </c>
      <c r="AG979" s="4" t="s">
        <v>6296</v>
      </c>
      <c r="AH979" s="4" t="s">
        <v>6296</v>
      </c>
      <c r="AI979" s="4" t="s">
        <v>6296</v>
      </c>
      <c r="AJ979" s="4" t="s">
        <v>6296</v>
      </c>
      <c r="AK979" s="4" t="s">
        <v>6296</v>
      </c>
      <c r="AL979" s="4" t="s">
        <v>42</v>
      </c>
      <c r="AM979" s="4" t="s">
        <v>42</v>
      </c>
      <c r="AN979" s="4" t="s">
        <v>6296</v>
      </c>
      <c r="AO979" s="4" t="s">
        <v>6296</v>
      </c>
      <c r="AP979" s="4" t="s">
        <v>786</v>
      </c>
      <c r="AQ979" s="4" t="s">
        <v>47</v>
      </c>
    </row>
    <row r="980" spans="1:43" ht="12.6" customHeight="1" x14ac:dyDescent="0.25">
      <c r="A980" s="8" t="s">
        <v>6396</v>
      </c>
      <c r="B980" s="9">
        <v>20151231</v>
      </c>
      <c r="C980" s="12">
        <f>_xll.FDS("SPX","FG_PRICE(12/30/2015)")</f>
        <v>2063.36</v>
      </c>
      <c r="D980" s="12">
        <f>_xll.FDS("SPX","FG_PRICE(12/30/2017)")</f>
        <v>2673.61</v>
      </c>
      <c r="E980" s="15">
        <f>D980/C980-1</f>
        <v>0.2957554668114144</v>
      </c>
      <c r="F980" s="8" t="s">
        <v>6397</v>
      </c>
      <c r="G980" s="8" t="s">
        <v>6398</v>
      </c>
      <c r="H980" s="13">
        <f>_xll.FDS(G980,"FG_PRICE(12/30/2015)")</f>
        <v>19.86</v>
      </c>
      <c r="I980" s="13" t="e">
        <f>_xll.FDS(G980,"FG_PRICE(12/31/2017)")</f>
        <v>#N/A</v>
      </c>
      <c r="J980" s="13" t="e">
        <f>I980/H980-1</f>
        <v>#N/A</v>
      </c>
      <c r="K980" s="13" t="e">
        <f>J980-E980</f>
        <v>#N/A</v>
      </c>
      <c r="L980" s="13">
        <f>_xll.FDS(G980,"FF_ROE(ANN_R,12/30/2015)")</f>
        <v>18.527607361963192</v>
      </c>
      <c r="M980" s="8" t="s">
        <v>6399</v>
      </c>
      <c r="N980" s="4" t="s">
        <v>6399</v>
      </c>
      <c r="O980" s="4" t="s">
        <v>47</v>
      </c>
      <c r="P980" s="4" t="s">
        <v>96</v>
      </c>
      <c r="Q980" s="4" t="s">
        <v>78</v>
      </c>
      <c r="R980" s="4" t="s">
        <v>61</v>
      </c>
      <c r="S980" s="4" t="s">
        <v>62</v>
      </c>
      <c r="T980" s="6" t="e">
        <v>#N/A</v>
      </c>
      <c r="U980" s="5">
        <v>58</v>
      </c>
      <c r="V980" s="5">
        <v>47</v>
      </c>
      <c r="W980" s="5">
        <v>64</v>
      </c>
      <c r="X980" s="5">
        <v>73</v>
      </c>
      <c r="Y980" s="5">
        <v>40.380000000000003</v>
      </c>
      <c r="Z980" s="5">
        <v>29.23</v>
      </c>
      <c r="AA980" s="5">
        <v>51.92</v>
      </c>
      <c r="AB980" s="5">
        <v>59.62</v>
      </c>
      <c r="AC980" s="6">
        <v>0.45</v>
      </c>
      <c r="AD980" s="6">
        <v>0.3</v>
      </c>
      <c r="AE980" s="6">
        <v>0.25</v>
      </c>
      <c r="AF980" s="4" t="s">
        <v>6296</v>
      </c>
      <c r="AG980" s="4" t="s">
        <v>6296</v>
      </c>
      <c r="AH980" s="4" t="s">
        <v>6296</v>
      </c>
      <c r="AI980" s="4" t="s">
        <v>6296</v>
      </c>
      <c r="AJ980" s="4" t="s">
        <v>6296</v>
      </c>
      <c r="AK980" s="4" t="s">
        <v>6296</v>
      </c>
      <c r="AL980" s="4" t="s">
        <v>6296</v>
      </c>
      <c r="AM980" s="4" t="s">
        <v>6296</v>
      </c>
      <c r="AN980" s="4" t="s">
        <v>6296</v>
      </c>
      <c r="AO980" s="4" t="s">
        <v>6296</v>
      </c>
      <c r="AP980" s="4" t="s">
        <v>6400</v>
      </c>
      <c r="AQ980" s="4" t="s">
        <v>47</v>
      </c>
    </row>
    <row r="981" spans="1:43" ht="12.6" customHeight="1" x14ac:dyDescent="0.25">
      <c r="A981" s="8" t="s">
        <v>3952</v>
      </c>
      <c r="B981" s="9">
        <v>20151231</v>
      </c>
      <c r="C981" s="12">
        <f>_xll.FDS("SPX","FG_PRICE(12/30/2015)")</f>
        <v>2063.36</v>
      </c>
      <c r="D981" s="12">
        <f>_xll.FDS("SPX","FG_PRICE(12/30/2017)")</f>
        <v>2673.61</v>
      </c>
      <c r="E981" s="15">
        <f>D981/C981-1</f>
        <v>0.2957554668114144</v>
      </c>
      <c r="F981" s="8" t="s">
        <v>3953</v>
      </c>
      <c r="G981" s="8" t="s">
        <v>3954</v>
      </c>
      <c r="H981" s="13">
        <f>_xll.FDS(G981,"FG_PRICE(12/30/2015)")</f>
        <v>26.82</v>
      </c>
      <c r="I981" s="13" t="e">
        <f>_xll.FDS(G981,"FG_PRICE(12/31/2017)")</f>
        <v>#N/A</v>
      </c>
      <c r="J981" s="13" t="e">
        <f>I981/H981-1</f>
        <v>#N/A</v>
      </c>
      <c r="K981" s="13" t="e">
        <f>J981-E981</f>
        <v>#N/A</v>
      </c>
      <c r="L981" s="13">
        <f>_xll.FDS(G981,"FF_ROE(ANN_R,12/30/2015)")</f>
        <v>8.3815499959253525</v>
      </c>
      <c r="M981" s="8" t="s">
        <v>3955</v>
      </c>
      <c r="N981" s="4" t="s">
        <v>3956</v>
      </c>
      <c r="O981" s="4" t="s">
        <v>47</v>
      </c>
      <c r="P981" s="4" t="s">
        <v>96</v>
      </c>
      <c r="Q981" s="4" t="s">
        <v>78</v>
      </c>
      <c r="R981" s="4" t="s">
        <v>61</v>
      </c>
      <c r="S981" s="4" t="s">
        <v>62</v>
      </c>
      <c r="T981" s="6" t="e">
        <v>#N/A</v>
      </c>
      <c r="U981" s="5">
        <v>59</v>
      </c>
      <c r="V981" s="5">
        <v>51</v>
      </c>
      <c r="W981" s="5">
        <v>67</v>
      </c>
      <c r="X981" s="5">
        <v>66</v>
      </c>
      <c r="Y981" s="5">
        <v>44.23</v>
      </c>
      <c r="Z981" s="5">
        <v>48.85</v>
      </c>
      <c r="AA981" s="5">
        <v>60.38</v>
      </c>
      <c r="AB981" s="5">
        <v>39.229999999999997</v>
      </c>
      <c r="AC981" s="6">
        <v>0.45</v>
      </c>
      <c r="AD981" s="6">
        <v>0.3</v>
      </c>
      <c r="AE981" s="6">
        <v>0.25</v>
      </c>
      <c r="AF981" s="4" t="s">
        <v>6296</v>
      </c>
      <c r="AG981" s="4" t="s">
        <v>6296</v>
      </c>
      <c r="AH981" s="4" t="s">
        <v>6296</v>
      </c>
      <c r="AI981" s="4" t="s">
        <v>6296</v>
      </c>
      <c r="AJ981" s="4" t="s">
        <v>6296</v>
      </c>
      <c r="AK981" s="4" t="s">
        <v>6296</v>
      </c>
      <c r="AL981" s="4" t="s">
        <v>6296</v>
      </c>
      <c r="AM981" s="4" t="s">
        <v>6296</v>
      </c>
      <c r="AN981" s="4" t="s">
        <v>37</v>
      </c>
      <c r="AO981" s="4" t="s">
        <v>37</v>
      </c>
      <c r="AP981" s="4" t="s">
        <v>3957</v>
      </c>
      <c r="AQ981" s="4" t="s">
        <v>47</v>
      </c>
    </row>
    <row r="982" spans="1:43" ht="12.6" customHeight="1" x14ac:dyDescent="0.25">
      <c r="A982" s="8" t="s">
        <v>6111</v>
      </c>
      <c r="B982" s="9">
        <v>20151231</v>
      </c>
      <c r="C982" s="12">
        <f>_xll.FDS("SPX","FG_PRICE(12/30/2015)")</f>
        <v>2063.36</v>
      </c>
      <c r="D982" s="12">
        <f>_xll.FDS("SPX","FG_PRICE(12/30/2017)")</f>
        <v>2673.61</v>
      </c>
      <c r="E982" s="15">
        <f>D982/C982-1</f>
        <v>0.2957554668114144</v>
      </c>
      <c r="F982" s="8" t="s">
        <v>6112</v>
      </c>
      <c r="G982" s="8" t="s">
        <v>6113</v>
      </c>
      <c r="H982" s="13">
        <f>_xll.FDS(G982,"FG_PRICE(12/30/2015)")</f>
        <v>6.32</v>
      </c>
      <c r="I982" s="13" t="e">
        <f>_xll.FDS(G982,"FG_PRICE(12/31/2017)")</f>
        <v>#N/A</v>
      </c>
      <c r="J982" s="13" t="e">
        <f>I982/H982-1</f>
        <v>#N/A</v>
      </c>
      <c r="K982" s="13" t="e">
        <f>J982-E982</f>
        <v>#N/A</v>
      </c>
      <c r="L982" s="13" t="e">
        <f>_xll.FDS(G982,"FF_ROE(ANN_R,12/30/2015)")</f>
        <v>#N/A</v>
      </c>
      <c r="M982" s="8" t="s">
        <v>6114</v>
      </c>
      <c r="N982" s="4" t="s">
        <v>6115</v>
      </c>
      <c r="O982" s="4" t="s">
        <v>47</v>
      </c>
      <c r="P982" s="4" t="s">
        <v>96</v>
      </c>
      <c r="Q982" s="4" t="s">
        <v>78</v>
      </c>
      <c r="R982" s="4" t="s">
        <v>61</v>
      </c>
      <c r="S982" s="4" t="s">
        <v>62</v>
      </c>
      <c r="T982" s="6" t="e">
        <v>#N/A</v>
      </c>
      <c r="U982" s="5">
        <v>50</v>
      </c>
      <c r="V982" s="5">
        <v>38</v>
      </c>
      <c r="W982" s="5">
        <v>52</v>
      </c>
      <c r="X982" s="5">
        <v>71</v>
      </c>
      <c r="Y982" s="5">
        <v>15.38</v>
      </c>
      <c r="Z982" s="6">
        <v>4.2300000000000004</v>
      </c>
      <c r="AA982" s="5">
        <v>12.69</v>
      </c>
      <c r="AB982" s="5">
        <v>53.85</v>
      </c>
      <c r="AC982" s="6">
        <v>0.45</v>
      </c>
      <c r="AD982" s="6">
        <v>0.3</v>
      </c>
      <c r="AE982" s="6">
        <v>0.25</v>
      </c>
      <c r="AF982" s="4" t="s">
        <v>6296</v>
      </c>
      <c r="AG982" s="4" t="s">
        <v>6296</v>
      </c>
      <c r="AH982" s="4" t="s">
        <v>6296</v>
      </c>
      <c r="AI982" s="4" t="s">
        <v>6296</v>
      </c>
      <c r="AJ982" s="4" t="s">
        <v>6296</v>
      </c>
      <c r="AK982" s="4" t="s">
        <v>6296</v>
      </c>
      <c r="AL982" s="4" t="s">
        <v>6296</v>
      </c>
      <c r="AM982" s="4" t="s">
        <v>6296</v>
      </c>
      <c r="AN982" s="4" t="s">
        <v>6296</v>
      </c>
      <c r="AO982" s="4" t="s">
        <v>6296</v>
      </c>
      <c r="AP982" s="4" t="s">
        <v>6116</v>
      </c>
      <c r="AQ982" s="4" t="s">
        <v>47</v>
      </c>
    </row>
    <row r="983" spans="1:43" ht="12.6" customHeight="1" x14ac:dyDescent="0.25">
      <c r="A983" s="8" t="s">
        <v>4115</v>
      </c>
      <c r="B983" s="9">
        <v>20151231</v>
      </c>
      <c r="C983" s="12">
        <f>_xll.FDS("SPX","FG_PRICE(12/30/2015)")</f>
        <v>2063.36</v>
      </c>
      <c r="D983" s="12">
        <f>_xll.FDS("SPX","FG_PRICE(12/30/2017)")</f>
        <v>2673.61</v>
      </c>
      <c r="E983" s="15">
        <f>D983/C983-1</f>
        <v>0.2957554668114144</v>
      </c>
      <c r="F983" s="8" t="s">
        <v>4116</v>
      </c>
      <c r="G983" s="8" t="s">
        <v>4117</v>
      </c>
      <c r="H983" s="13">
        <f>_xll.FDS(G983,"FG_PRICE(12/30/2015)")</f>
        <v>34.26</v>
      </c>
      <c r="I983" s="13">
        <f>_xll.FDS(G983,"FG_PRICE(12/31/2017)")</f>
        <v>46.95</v>
      </c>
      <c r="J983" s="13">
        <f>I983/H983-1</f>
        <v>0.37040280210157639</v>
      </c>
      <c r="K983" s="13">
        <f>J983-E983</f>
        <v>7.4647335290161987E-2</v>
      </c>
      <c r="L983" s="13">
        <f>_xll.FDS(G983,"FF_ROE(ANN_R,12/30/2015)")</f>
        <v>10.502513501896811</v>
      </c>
      <c r="M983" s="8" t="s">
        <v>4118</v>
      </c>
      <c r="N983" s="4" t="s">
        <v>4118</v>
      </c>
      <c r="O983" s="4" t="s">
        <v>4119</v>
      </c>
      <c r="P983" s="4" t="s">
        <v>96</v>
      </c>
      <c r="Q983" s="4" t="s">
        <v>78</v>
      </c>
      <c r="R983" s="4" t="s">
        <v>61</v>
      </c>
      <c r="S983" s="4" t="s">
        <v>62</v>
      </c>
      <c r="T983" s="6" t="e">
        <v>#N/A</v>
      </c>
      <c r="U983" s="5">
        <v>48</v>
      </c>
      <c r="V983" s="5">
        <v>32</v>
      </c>
      <c r="W983" s="5">
        <v>56</v>
      </c>
      <c r="X983" s="5">
        <v>68</v>
      </c>
      <c r="Y983" s="5">
        <v>10.77</v>
      </c>
      <c r="Z983" s="6">
        <v>0.38</v>
      </c>
      <c r="AA983" s="5">
        <v>24.23</v>
      </c>
      <c r="AB983" s="5">
        <v>45.38</v>
      </c>
      <c r="AC983" s="6">
        <v>0.45</v>
      </c>
      <c r="AD983" s="6">
        <v>0.3</v>
      </c>
      <c r="AE983" s="6">
        <v>0.25</v>
      </c>
      <c r="AF983" s="4" t="s">
        <v>37</v>
      </c>
      <c r="AG983" s="4" t="s">
        <v>6296</v>
      </c>
      <c r="AH983" s="4" t="s">
        <v>6296</v>
      </c>
      <c r="AI983" s="4" t="s">
        <v>6296</v>
      </c>
      <c r="AJ983" s="4" t="s">
        <v>6296</v>
      </c>
      <c r="AK983" s="4" t="s">
        <v>42</v>
      </c>
      <c r="AL983" s="4" t="s">
        <v>42</v>
      </c>
      <c r="AM983" s="4" t="s">
        <v>6296</v>
      </c>
      <c r="AN983" s="4" t="s">
        <v>6296</v>
      </c>
      <c r="AO983" s="4" t="s">
        <v>6296</v>
      </c>
      <c r="AP983" s="4" t="s">
        <v>4120</v>
      </c>
      <c r="AQ983" s="4" t="s">
        <v>47</v>
      </c>
    </row>
    <row r="984" spans="1:43" ht="12.6" customHeight="1" x14ac:dyDescent="0.25">
      <c r="A984" s="8" t="s">
        <v>2644</v>
      </c>
      <c r="B984" s="9">
        <v>20151231</v>
      </c>
      <c r="C984" s="12">
        <f>_xll.FDS("SPX","FG_PRICE(12/30/2015)")</f>
        <v>2063.36</v>
      </c>
      <c r="D984" s="12">
        <f>_xll.FDS("SPX","FG_PRICE(12/30/2017)")</f>
        <v>2673.61</v>
      </c>
      <c r="E984" s="15">
        <f>D984/C984-1</f>
        <v>0.2957554668114144</v>
      </c>
      <c r="F984" s="8" t="s">
        <v>2645</v>
      </c>
      <c r="G984" s="8" t="s">
        <v>2646</v>
      </c>
      <c r="H984" s="13">
        <f>_xll.FDS(G984,"FG_PRICE(12/30/2015)")</f>
        <v>43.46</v>
      </c>
      <c r="I984" s="13">
        <f>_xll.FDS(G984,"FG_PRICE(12/31/2017)")</f>
        <v>65.02</v>
      </c>
      <c r="J984" s="13">
        <f>I984/H984-1</f>
        <v>0.49608835710998611</v>
      </c>
      <c r="K984" s="13">
        <f>J984-E984</f>
        <v>0.20033289029857171</v>
      </c>
      <c r="L984" s="13">
        <f>_xll.FDS(G984,"FF_ROE(ANN_R,12/30/2015)")</f>
        <v>10.560283463570499</v>
      </c>
      <c r="M984" s="8" t="s">
        <v>2647</v>
      </c>
      <c r="N984" s="4" t="s">
        <v>2647</v>
      </c>
      <c r="O984" s="4" t="s">
        <v>2648</v>
      </c>
      <c r="P984" s="4" t="s">
        <v>96</v>
      </c>
      <c r="Q984" s="4" t="s">
        <v>78</v>
      </c>
      <c r="R984" s="4" t="s">
        <v>61</v>
      </c>
      <c r="S984" s="4" t="s">
        <v>62</v>
      </c>
      <c r="T984" s="6" t="e">
        <v>#N/A</v>
      </c>
      <c r="U984" s="5">
        <v>57</v>
      </c>
      <c r="V984" s="5">
        <v>46</v>
      </c>
      <c r="W984" s="5">
        <v>64</v>
      </c>
      <c r="X984" s="5">
        <v>70</v>
      </c>
      <c r="Y984" s="5">
        <v>37.69</v>
      </c>
      <c r="Z984" s="5">
        <v>25.77</v>
      </c>
      <c r="AA984" s="5">
        <v>51.92</v>
      </c>
      <c r="AB984" s="5">
        <v>50.38</v>
      </c>
      <c r="AC984" s="6">
        <v>0.45</v>
      </c>
      <c r="AD984" s="6">
        <v>0.3</v>
      </c>
      <c r="AE984" s="6">
        <v>0.25</v>
      </c>
      <c r="AF984" s="4" t="s">
        <v>6296</v>
      </c>
      <c r="AG984" s="4" t="s">
        <v>6296</v>
      </c>
      <c r="AH984" s="4" t="s">
        <v>6296</v>
      </c>
      <c r="AI984" s="4" t="s">
        <v>6296</v>
      </c>
      <c r="AJ984" s="4" t="s">
        <v>6296</v>
      </c>
      <c r="AK984" s="4" t="s">
        <v>6296</v>
      </c>
      <c r="AL984" s="4" t="s">
        <v>42</v>
      </c>
      <c r="AM984" s="4" t="s">
        <v>6296</v>
      </c>
      <c r="AN984" s="4" t="s">
        <v>6296</v>
      </c>
      <c r="AO984" s="4" t="s">
        <v>6296</v>
      </c>
      <c r="AP984" s="4" t="s">
        <v>2649</v>
      </c>
      <c r="AQ984" s="4" t="s">
        <v>47</v>
      </c>
    </row>
    <row r="985" spans="1:43" ht="12.6" customHeight="1" x14ac:dyDescent="0.25">
      <c r="A985" s="8" t="s">
        <v>6218</v>
      </c>
      <c r="B985" s="9">
        <v>20151231</v>
      </c>
      <c r="C985" s="12">
        <f>_xll.FDS("SPX","FG_PRICE(12/30/2015)")</f>
        <v>2063.36</v>
      </c>
      <c r="D985" s="12">
        <f>_xll.FDS("SPX","FG_PRICE(12/30/2017)")</f>
        <v>2673.61</v>
      </c>
      <c r="E985" s="15">
        <f>D985/C985-1</f>
        <v>0.2957554668114144</v>
      </c>
      <c r="F985" s="8" t="s">
        <v>6219</v>
      </c>
      <c r="G985" s="8" t="s">
        <v>6220</v>
      </c>
      <c r="H985" s="13">
        <f>_xll.FDS(G985,"FG_PRICE(12/30/2015)")</f>
        <v>52.23</v>
      </c>
      <c r="I985" s="13">
        <f>_xll.FDS(G985,"FG_PRICE(12/31/2017)")</f>
        <v>66.430000000000007</v>
      </c>
      <c r="J985" s="13">
        <f>I985/H985-1</f>
        <v>0.27187440168485555</v>
      </c>
      <c r="K985" s="13">
        <f>J985-E985</f>
        <v>-2.3881065126558854E-2</v>
      </c>
      <c r="L985" s="13">
        <f>_xll.FDS(G985,"FF_ROE(ANN_R,12/30/2015)")</f>
        <v>13.5031847133758</v>
      </c>
      <c r="M985" s="8" t="s">
        <v>6221</v>
      </c>
      <c r="N985" s="4" t="s">
        <v>6222</v>
      </c>
      <c r="O985" s="4" t="s">
        <v>4520</v>
      </c>
      <c r="P985" s="4" t="s">
        <v>96</v>
      </c>
      <c r="Q985" s="4" t="s">
        <v>78</v>
      </c>
      <c r="R985" s="4" t="s">
        <v>61</v>
      </c>
      <c r="S985" s="4" t="s">
        <v>62</v>
      </c>
      <c r="T985" s="6" t="e">
        <v>#N/A</v>
      </c>
      <c r="U985" s="5">
        <v>66</v>
      </c>
      <c r="V985" s="5">
        <v>54</v>
      </c>
      <c r="W985" s="5">
        <v>73</v>
      </c>
      <c r="X985" s="5">
        <v>78</v>
      </c>
      <c r="Y985" s="5">
        <v>71.150000000000006</v>
      </c>
      <c r="Z985" s="5">
        <v>58.85</v>
      </c>
      <c r="AA985" s="5">
        <v>76.150000000000006</v>
      </c>
      <c r="AB985" s="5">
        <v>76.92</v>
      </c>
      <c r="AC985" s="6">
        <v>0.45</v>
      </c>
      <c r="AD985" s="6">
        <v>0.3</v>
      </c>
      <c r="AE985" s="6">
        <v>0.25</v>
      </c>
      <c r="AF985" s="4" t="s">
        <v>42</v>
      </c>
      <c r="AG985" s="4" t="s">
        <v>6296</v>
      </c>
      <c r="AH985" s="4" t="s">
        <v>6296</v>
      </c>
      <c r="AI985" s="4" t="s">
        <v>6296</v>
      </c>
      <c r="AJ985" s="4" t="s">
        <v>6296</v>
      </c>
      <c r="AK985" s="4" t="s">
        <v>6296</v>
      </c>
      <c r="AL985" s="4" t="s">
        <v>42</v>
      </c>
      <c r="AM985" s="4" t="s">
        <v>6296</v>
      </c>
      <c r="AN985" s="4" t="s">
        <v>42</v>
      </c>
      <c r="AO985" s="4" t="s">
        <v>6296</v>
      </c>
      <c r="AP985" s="4" t="s">
        <v>6223</v>
      </c>
      <c r="AQ985" s="4" t="s">
        <v>47</v>
      </c>
    </row>
    <row r="986" spans="1:43" ht="12.6" customHeight="1" x14ac:dyDescent="0.25">
      <c r="A986" s="8" t="s">
        <v>2257</v>
      </c>
      <c r="B986" s="9">
        <v>20151231</v>
      </c>
      <c r="C986" s="12">
        <f>_xll.FDS("SPX","FG_PRICE(12/30/2015)")</f>
        <v>2063.36</v>
      </c>
      <c r="D986" s="12">
        <f>_xll.FDS("SPX","FG_PRICE(12/30/2017)")</f>
        <v>2673.61</v>
      </c>
      <c r="E986" s="15">
        <f>D986/C986-1</f>
        <v>0.2957554668114144</v>
      </c>
      <c r="F986" s="8" t="s">
        <v>2258</v>
      </c>
      <c r="G986" s="8" t="s">
        <v>2259</v>
      </c>
      <c r="H986" s="13">
        <f>_xll.FDS(G986,"FG_PRICE(12/30/2015)")</f>
        <v>43.16</v>
      </c>
      <c r="I986" s="13">
        <f>_xll.FDS(G986,"FG_PRICE(12/31/2017)")</f>
        <v>52.8</v>
      </c>
      <c r="J986" s="13">
        <f>I986/H986-1</f>
        <v>0.22335495829471741</v>
      </c>
      <c r="K986" s="13">
        <f>J986-E986</f>
        <v>-7.2400508516696993E-2</v>
      </c>
      <c r="L986" s="13">
        <f>_xll.FDS(G986,"FF_ROE(ANN_R,12/30/2015)")</f>
        <v>9.8297321486151272</v>
      </c>
      <c r="M986" s="8" t="s">
        <v>2260</v>
      </c>
      <c r="N986" s="4" t="s">
        <v>2261</v>
      </c>
      <c r="O986" s="4" t="s">
        <v>2262</v>
      </c>
      <c r="P986" s="4" t="s">
        <v>96</v>
      </c>
      <c r="Q986" s="4" t="s">
        <v>78</v>
      </c>
      <c r="R986" s="4" t="s">
        <v>61</v>
      </c>
      <c r="S986" s="4" t="s">
        <v>62</v>
      </c>
      <c r="T986" s="6" t="e">
        <v>#N/A</v>
      </c>
      <c r="U986" s="5">
        <v>59</v>
      </c>
      <c r="V986" s="5">
        <v>48</v>
      </c>
      <c r="W986" s="5">
        <v>61</v>
      </c>
      <c r="X986" s="5">
        <v>75</v>
      </c>
      <c r="Y986" s="5">
        <v>44.23</v>
      </c>
      <c r="Z986" s="5">
        <v>33.08</v>
      </c>
      <c r="AA986" s="5">
        <v>40.380000000000003</v>
      </c>
      <c r="AB986" s="5">
        <v>64.23</v>
      </c>
      <c r="AC986" s="6">
        <v>0.45</v>
      </c>
      <c r="AD986" s="6">
        <v>0.3</v>
      </c>
      <c r="AE986" s="6">
        <v>0.25</v>
      </c>
      <c r="AF986" s="4" t="s">
        <v>6296</v>
      </c>
      <c r="AG986" s="4" t="s">
        <v>6296</v>
      </c>
      <c r="AH986" s="4" t="s">
        <v>6296</v>
      </c>
      <c r="AI986" s="4" t="s">
        <v>6296</v>
      </c>
      <c r="AJ986" s="4" t="s">
        <v>6296</v>
      </c>
      <c r="AK986" s="4" t="s">
        <v>6296</v>
      </c>
      <c r="AL986" s="4" t="s">
        <v>6296</v>
      </c>
      <c r="AM986" s="4" t="s">
        <v>6296</v>
      </c>
      <c r="AN986" s="4" t="s">
        <v>6296</v>
      </c>
      <c r="AO986" s="4" t="s">
        <v>6296</v>
      </c>
      <c r="AP986" s="4" t="s">
        <v>2263</v>
      </c>
      <c r="AQ986" s="4" t="s">
        <v>47</v>
      </c>
    </row>
    <row r="987" spans="1:43" ht="12.6" customHeight="1" x14ac:dyDescent="0.25">
      <c r="A987" s="8" t="s">
        <v>3122</v>
      </c>
      <c r="B987" s="9">
        <v>20151231</v>
      </c>
      <c r="C987" s="12">
        <f>_xll.FDS("SPX","FG_PRICE(12/30/2015)")</f>
        <v>2063.36</v>
      </c>
      <c r="D987" s="12">
        <f>_xll.FDS("SPX","FG_PRICE(12/30/2017)")</f>
        <v>2673.61</v>
      </c>
      <c r="E987" s="15">
        <f>D987/C987-1</f>
        <v>0.2957554668114144</v>
      </c>
      <c r="F987" s="8" t="s">
        <v>3123</v>
      </c>
      <c r="G987" s="8" t="s">
        <v>3124</v>
      </c>
      <c r="H987" s="13">
        <f>_xll.FDS(G987,"FG_PRICE(12/30/2015)")</f>
        <v>30.27</v>
      </c>
      <c r="I987" s="13">
        <f>_xll.FDS(G987,"FG_PRICE(12/31/2017)")</f>
        <v>39.229999999999997</v>
      </c>
      <c r="J987" s="13">
        <f>I987/H987-1</f>
        <v>0.29600264288073985</v>
      </c>
      <c r="K987" s="13">
        <f>J987-E987</f>
        <v>2.4717606932544989E-4</v>
      </c>
      <c r="L987" s="13">
        <f>_xll.FDS(G987,"FF_ROE(ANN_R,12/30/2015)")</f>
        <v>13.408906963812051</v>
      </c>
      <c r="M987" s="8" t="s">
        <v>3125</v>
      </c>
      <c r="N987" s="4" t="s">
        <v>3126</v>
      </c>
      <c r="O987" s="4" t="s">
        <v>3127</v>
      </c>
      <c r="P987" s="4" t="s">
        <v>96</v>
      </c>
      <c r="Q987" s="4" t="s">
        <v>78</v>
      </c>
      <c r="R987" s="4" t="s">
        <v>61</v>
      </c>
      <c r="S987" s="4" t="s">
        <v>62</v>
      </c>
      <c r="T987" s="6" t="e">
        <v>#N/A</v>
      </c>
      <c r="U987" s="5">
        <v>57</v>
      </c>
      <c r="V987" s="5">
        <v>46</v>
      </c>
      <c r="W987" s="5">
        <v>58</v>
      </c>
      <c r="X987" s="5">
        <v>76</v>
      </c>
      <c r="Y987" s="5">
        <v>37.69</v>
      </c>
      <c r="Z987" s="5">
        <v>25.77</v>
      </c>
      <c r="AA987" s="5">
        <v>31.54</v>
      </c>
      <c r="AB987" s="5">
        <v>71.540000000000006</v>
      </c>
      <c r="AC987" s="6">
        <v>0.45</v>
      </c>
      <c r="AD987" s="6">
        <v>0.3</v>
      </c>
      <c r="AE987" s="6">
        <v>0.25</v>
      </c>
      <c r="AF987" s="4" t="s">
        <v>6296</v>
      </c>
      <c r="AG987" s="4" t="s">
        <v>6296</v>
      </c>
      <c r="AH987" s="4" t="s">
        <v>6296</v>
      </c>
      <c r="AI987" s="4" t="s">
        <v>6296</v>
      </c>
      <c r="AJ987" s="4" t="s">
        <v>6296</v>
      </c>
      <c r="AK987" s="4" t="s">
        <v>42</v>
      </c>
      <c r="AL987" s="4" t="s">
        <v>42</v>
      </c>
      <c r="AM987" s="4" t="s">
        <v>6296</v>
      </c>
      <c r="AN987" s="4" t="s">
        <v>42</v>
      </c>
      <c r="AO987" s="4" t="s">
        <v>6296</v>
      </c>
      <c r="AP987" s="4" t="s">
        <v>3128</v>
      </c>
      <c r="AQ987" s="4" t="s">
        <v>47</v>
      </c>
    </row>
    <row r="988" spans="1:43" ht="12.6" customHeight="1" x14ac:dyDescent="0.25">
      <c r="A988" s="8" t="s">
        <v>2786</v>
      </c>
      <c r="B988" s="9">
        <v>20151231</v>
      </c>
      <c r="C988" s="12">
        <f>_xll.FDS("SPX","FG_PRICE(12/30/2015)")</f>
        <v>2063.36</v>
      </c>
      <c r="D988" s="12">
        <f>_xll.FDS("SPX","FG_PRICE(12/30/2017)")</f>
        <v>2673.61</v>
      </c>
      <c r="E988" s="15">
        <f>D988/C988-1</f>
        <v>0.2957554668114144</v>
      </c>
      <c r="F988" s="8" t="s">
        <v>2787</v>
      </c>
      <c r="G988" s="8" t="s">
        <v>2788</v>
      </c>
      <c r="H988" s="13">
        <f>_xll.FDS(G988,"FG_PRICE(12/30/2015)")</f>
        <v>36.4</v>
      </c>
      <c r="I988" s="13">
        <f>_xll.FDS(G988,"FG_PRICE(12/31/2017)")</f>
        <v>48.11</v>
      </c>
      <c r="J988" s="13">
        <f>I988/H988-1</f>
        <v>0.32170329670329667</v>
      </c>
      <c r="K988" s="13">
        <f>J988-E988</f>
        <v>2.5947829891882268E-2</v>
      </c>
      <c r="L988" s="13">
        <f>_xll.FDS(G988,"FF_ROE(ANN_R,12/30/2015)")</f>
        <v>10.32642765334953</v>
      </c>
      <c r="M988" s="8" t="s">
        <v>2789</v>
      </c>
      <c r="N988" s="4" t="s">
        <v>2789</v>
      </c>
      <c r="O988" s="4" t="s">
        <v>2790</v>
      </c>
      <c r="P988" s="4" t="s">
        <v>96</v>
      </c>
      <c r="Q988" s="4" t="s">
        <v>78</v>
      </c>
      <c r="R988" s="4" t="s">
        <v>61</v>
      </c>
      <c r="S988" s="4" t="s">
        <v>62</v>
      </c>
      <c r="T988" s="6" t="e">
        <v>#N/A</v>
      </c>
      <c r="U988" s="5">
        <v>71</v>
      </c>
      <c r="V988" s="5">
        <v>62</v>
      </c>
      <c r="W988" s="5">
        <v>78</v>
      </c>
      <c r="X988" s="5">
        <v>78</v>
      </c>
      <c r="Y988" s="5">
        <v>81.150000000000006</v>
      </c>
      <c r="Z988" s="5">
        <v>75.38</v>
      </c>
      <c r="AA988" s="5">
        <v>88.08</v>
      </c>
      <c r="AB988" s="5">
        <v>76.92</v>
      </c>
      <c r="AC988" s="6">
        <v>0.45</v>
      </c>
      <c r="AD988" s="6">
        <v>0.3</v>
      </c>
      <c r="AE988" s="6">
        <v>0.25</v>
      </c>
      <c r="AF988" s="4" t="s">
        <v>42</v>
      </c>
      <c r="AG988" s="4" t="s">
        <v>6296</v>
      </c>
      <c r="AH988" s="4" t="s">
        <v>6296</v>
      </c>
      <c r="AI988" s="4" t="s">
        <v>42</v>
      </c>
      <c r="AJ988" s="4" t="s">
        <v>6296</v>
      </c>
      <c r="AK988" s="4" t="s">
        <v>42</v>
      </c>
      <c r="AL988" s="4" t="s">
        <v>42</v>
      </c>
      <c r="AM988" s="4" t="s">
        <v>6296</v>
      </c>
      <c r="AN988" s="4" t="s">
        <v>6296</v>
      </c>
      <c r="AO988" s="4" t="s">
        <v>6296</v>
      </c>
      <c r="AP988" s="4" t="s">
        <v>2791</v>
      </c>
      <c r="AQ988" s="4" t="s">
        <v>47</v>
      </c>
    </row>
  </sheetData>
  <sortState ref="A2:AQ988">
    <sortCondition ref="Q2:Q988"/>
    <sortCondition ref="G2:G988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20151231</vt:lpstr>
    </vt:vector>
  </TitlesOfParts>
  <Company>Bessemer Trust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Sivin</dc:creator>
  <cp:keywords/>
  <cp:lastModifiedBy>Rutledge, Jeffrey A.</cp:lastModifiedBy>
  <dcterms:created xsi:type="dcterms:W3CDTF">2018-04-18T18:05:29Z</dcterms:created>
  <dcterms:modified xsi:type="dcterms:W3CDTF">2018-05-04T20:10:25Z</dcterms:modified>
</cp:coreProperties>
</file>